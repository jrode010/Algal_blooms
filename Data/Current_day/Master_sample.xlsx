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4c59a01e372ca2/Desktop/Algal_blooms/Data/Current_day/"/>
    </mc:Choice>
  </mc:AlternateContent>
  <xr:revisionPtr revIDLastSave="0" documentId="8_{AA40DB2B-9661-4189-A5CB-20C29CCBC801}" xr6:coauthVersionLast="47" xr6:coauthVersionMax="47" xr10:uidLastSave="{00000000-0000-0000-0000-000000000000}"/>
  <bookViews>
    <workbookView xWindow="-110" yWindow="-110" windowWidth="25820" windowHeight="15500" activeTab="2" xr2:uid="{D85A6CDB-37DC-40E3-8784-A61E649616A3}"/>
  </bookViews>
  <sheets>
    <sheet name="Sediment" sheetId="2" r:id="rId1"/>
    <sheet name="Water_SIA" sheetId="5" r:id="rId2"/>
    <sheet name="wQ_nut" sheetId="1" r:id="rId3"/>
    <sheet name="WQ_sonde" sheetId="4" r:id="rId4"/>
    <sheet name="WQ_sonde1" sheetId="10" r:id="rId5"/>
    <sheet name="chl" sheetId="3" r:id="rId6"/>
    <sheet name="Algal_ID" sheetId="6" r:id="rId7"/>
    <sheet name="site_metadata" sheetId="7" r:id="rId8"/>
    <sheet name="List_Metadata" sheetId="8" r:id="rId9"/>
    <sheet name="SIA Filter Tests" sheetId="9" r:id="rId10"/>
  </sheets>
  <definedNames>
    <definedName name="_xlnm._FilterDatabase" localSheetId="5" hidden="1">chl!$A$1:$H$351</definedName>
    <definedName name="_xlnm._FilterDatabase" localSheetId="0" hidden="1">Sediment!$A$1:$N$293</definedName>
    <definedName name="_xlnm._FilterDatabase" localSheetId="1" hidden="1">Water_SIA!$A$1:$BD$184</definedName>
    <definedName name="_xlnm._FilterDatabase" localSheetId="2" hidden="1">wQ_nut!$A$1:$F$737</definedName>
    <definedName name="_xlnm._FilterDatabase" localSheetId="3" hidden="1">WQ_sonde!$A$1:$M$141</definedName>
    <definedName name="_xlnm._FilterDatabase" localSheetId="4" hidden="1">WQ_sonde1!$A$1:$D$192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6" l="1"/>
  <c r="C32" i="6"/>
  <c r="C31" i="6"/>
  <c r="C30" i="6"/>
  <c r="C29" i="6"/>
  <c r="C28" i="6"/>
  <c r="C27" i="6"/>
  <c r="C26" i="6"/>
  <c r="AW139" i="5"/>
  <c r="AN139" i="5"/>
  <c r="Z139" i="5"/>
  <c r="AW138" i="5"/>
  <c r="AN138" i="5"/>
  <c r="Z138" i="5"/>
  <c r="AW137" i="5"/>
  <c r="AN137" i="5"/>
  <c r="Z137" i="5"/>
  <c r="D77" i="2"/>
  <c r="D72" i="2"/>
  <c r="D62" i="2"/>
  <c r="D25" i="2"/>
  <c r="D6" i="2"/>
  <c r="D82" i="2"/>
  <c r="D29" i="2"/>
  <c r="D9" i="2"/>
  <c r="D3" i="2"/>
  <c r="D70" i="2"/>
  <c r="D39" i="2"/>
  <c r="D32" i="2"/>
  <c r="C74" i="5"/>
  <c r="H74" i="5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2" i="10"/>
  <c r="D14" i="2"/>
  <c r="D12" i="2"/>
  <c r="D20" i="2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L29" i="5"/>
  <c r="L66" i="5"/>
  <c r="L69" i="5"/>
  <c r="L61" i="5"/>
  <c r="L64" i="5"/>
  <c r="L2" i="5"/>
  <c r="H59" i="5"/>
  <c r="AN136" i="5" l="1"/>
  <c r="Z136" i="5"/>
  <c r="M115" i="5"/>
  <c r="L115" i="5"/>
  <c r="H115" i="5"/>
  <c r="C115" i="5"/>
  <c r="AN135" i="5"/>
  <c r="Z135" i="5"/>
  <c r="M59" i="5"/>
  <c r="L59" i="5"/>
  <c r="C59" i="5"/>
  <c r="H41" i="5"/>
  <c r="L41" i="5"/>
  <c r="M41" i="5"/>
  <c r="Z128" i="5"/>
  <c r="AN128" i="5"/>
  <c r="H102" i="5"/>
  <c r="L102" i="5"/>
  <c r="M102" i="5"/>
  <c r="Z129" i="5"/>
  <c r="AN129" i="5"/>
  <c r="H92" i="5"/>
  <c r="L92" i="5"/>
  <c r="M92" i="5"/>
  <c r="Z130" i="5"/>
  <c r="AN130" i="5"/>
  <c r="H54" i="5"/>
  <c r="L54" i="5"/>
  <c r="M54" i="5"/>
  <c r="Z131" i="5"/>
  <c r="AN131" i="5"/>
  <c r="H81" i="5"/>
  <c r="L81" i="5"/>
  <c r="M81" i="5"/>
  <c r="Z132" i="5"/>
  <c r="AN132" i="5"/>
  <c r="H97" i="5"/>
  <c r="L97" i="5"/>
  <c r="M97" i="5"/>
  <c r="Z133" i="5"/>
  <c r="AN133" i="5"/>
  <c r="H26" i="5"/>
  <c r="L26" i="5"/>
  <c r="M26" i="5"/>
  <c r="Z134" i="5"/>
  <c r="AN134" i="5"/>
  <c r="C41" i="5"/>
  <c r="C102" i="5"/>
  <c r="C92" i="5"/>
  <c r="C54" i="5"/>
  <c r="C81" i="5"/>
  <c r="C97" i="5"/>
  <c r="C26" i="5"/>
  <c r="H3" i="5"/>
  <c r="H126" i="5"/>
  <c r="H86" i="5"/>
  <c r="Z102" i="5" l="1"/>
  <c r="M68" i="5"/>
  <c r="M49" i="5"/>
  <c r="M103" i="5"/>
  <c r="L68" i="5"/>
  <c r="L112" i="5"/>
  <c r="L103" i="5"/>
  <c r="L49" i="5"/>
  <c r="Z125" i="5"/>
  <c r="AN125" i="5"/>
  <c r="Z126" i="5"/>
  <c r="AN126" i="5"/>
  <c r="Z127" i="5"/>
  <c r="AN127" i="5"/>
  <c r="L3" i="5"/>
  <c r="M3" i="5"/>
  <c r="L126" i="5"/>
  <c r="M126" i="5"/>
  <c r="L86" i="5"/>
  <c r="M86" i="5"/>
  <c r="C3" i="5"/>
  <c r="C126" i="5"/>
  <c r="C86" i="5"/>
  <c r="D347" i="3"/>
  <c r="D346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285" i="3"/>
  <c r="D284" i="3"/>
  <c r="D283" i="3"/>
  <c r="D282" i="3"/>
  <c r="L46" i="5"/>
  <c r="AN100" i="5"/>
  <c r="Z100" i="5"/>
  <c r="AN98" i="5"/>
  <c r="Z98" i="5"/>
  <c r="Z99" i="5"/>
  <c r="AN99" i="5"/>
  <c r="M112" i="5"/>
  <c r="AN97" i="5"/>
  <c r="Z97" i="5"/>
  <c r="AN96" i="5"/>
  <c r="Z96" i="5"/>
  <c r="M28" i="5"/>
  <c r="H42" i="5"/>
  <c r="H52" i="5"/>
  <c r="L24" i="5"/>
  <c r="L50" i="5"/>
  <c r="L45" i="5"/>
  <c r="L32" i="5"/>
  <c r="L40" i="5"/>
  <c r="H77" i="5"/>
  <c r="H65" i="5"/>
  <c r="H121" i="5"/>
  <c r="H25" i="5"/>
  <c r="H79" i="5"/>
  <c r="H29" i="5"/>
  <c r="H32" i="5"/>
  <c r="H45" i="5"/>
  <c r="H18" i="5"/>
  <c r="H12" i="5"/>
  <c r="H9" i="5"/>
  <c r="H6" i="5"/>
  <c r="H66" i="5"/>
  <c r="H50" i="5"/>
  <c r="H104" i="5"/>
  <c r="H113" i="5"/>
  <c r="H107" i="5"/>
  <c r="H85" i="5"/>
  <c r="H110" i="5"/>
  <c r="H101" i="5"/>
  <c r="H69" i="5"/>
  <c r="H64" i="5"/>
  <c r="H61" i="5"/>
  <c r="H131" i="5"/>
  <c r="H90" i="5"/>
  <c r="H129" i="5"/>
  <c r="H125" i="5"/>
  <c r="H96" i="5"/>
  <c r="H22" i="5"/>
  <c r="H58" i="5"/>
  <c r="H119" i="5"/>
  <c r="H136" i="5"/>
  <c r="H139" i="5"/>
  <c r="H40" i="5"/>
  <c r="H2" i="5"/>
  <c r="H37" i="5"/>
  <c r="H75" i="5"/>
  <c r="H23" i="5"/>
  <c r="H72" i="5"/>
  <c r="H120" i="5"/>
  <c r="H70" i="5"/>
  <c r="H80" i="5"/>
  <c r="H91" i="5"/>
  <c r="H46" i="5"/>
  <c r="H114" i="5"/>
  <c r="H132" i="5"/>
  <c r="H53" i="5"/>
  <c r="H47" i="5"/>
  <c r="H82" i="5"/>
  <c r="H116" i="5"/>
  <c r="H55" i="5"/>
  <c r="H93" i="5"/>
  <c r="H19" i="5"/>
  <c r="H62" i="5"/>
  <c r="H98" i="5"/>
  <c r="H133" i="5"/>
  <c r="H15" i="5"/>
  <c r="H35" i="5"/>
  <c r="H4" i="5"/>
  <c r="H10" i="5"/>
  <c r="H51" i="5"/>
  <c r="H87" i="5"/>
  <c r="H122" i="5"/>
  <c r="H71" i="5"/>
  <c r="H73" i="5"/>
  <c r="H105" i="5"/>
  <c r="H111" i="5"/>
  <c r="H67" i="5"/>
  <c r="H108" i="5"/>
  <c r="H99" i="5"/>
  <c r="H88" i="5"/>
  <c r="H123" i="5"/>
  <c r="H130" i="5"/>
  <c r="H127" i="5"/>
  <c r="H30" i="5"/>
  <c r="H16" i="5"/>
  <c r="H7" i="5"/>
  <c r="H13" i="5"/>
  <c r="H27" i="5"/>
  <c r="H33" i="5"/>
  <c r="H43" i="5"/>
  <c r="H83" i="5"/>
  <c r="H117" i="5"/>
  <c r="H94" i="5"/>
  <c r="H134" i="5"/>
  <c r="H20" i="5"/>
  <c r="H56" i="5"/>
  <c r="H137" i="5"/>
  <c r="H48" i="5"/>
  <c r="H76" i="5"/>
  <c r="H24" i="5"/>
  <c r="H38" i="5"/>
  <c r="H78" i="5"/>
  <c r="H5" i="5"/>
  <c r="H8" i="5"/>
  <c r="H11" i="5"/>
  <c r="H14" i="5"/>
  <c r="H17" i="5"/>
  <c r="H28" i="5"/>
  <c r="H31" i="5"/>
  <c r="H36" i="5"/>
  <c r="H44" i="5"/>
  <c r="H60" i="5"/>
  <c r="H68" i="5"/>
  <c r="H109" i="5"/>
  <c r="H100" i="5"/>
  <c r="H103" i="5"/>
  <c r="H49" i="5"/>
  <c r="H84" i="5"/>
  <c r="H95" i="5"/>
  <c r="H135" i="5"/>
  <c r="H138" i="5"/>
  <c r="H57" i="5"/>
  <c r="H106" i="5"/>
  <c r="H63" i="5"/>
  <c r="H128" i="5"/>
  <c r="H124" i="5"/>
  <c r="H34" i="5"/>
  <c r="H89" i="5"/>
  <c r="H118" i="5"/>
  <c r="H21" i="5"/>
  <c r="H39" i="5"/>
  <c r="L118" i="5"/>
  <c r="L138" i="5"/>
  <c r="L42" i="5"/>
  <c r="M10" i="5"/>
  <c r="L79" i="5"/>
  <c r="AN79" i="5"/>
  <c r="AN80" i="5"/>
  <c r="O126" i="5" l="1"/>
  <c r="P126" i="5" s="1"/>
  <c r="AA126" i="5" s="1"/>
  <c r="R126" i="5"/>
  <c r="S126" i="5" s="1"/>
  <c r="AO126" i="5" s="1"/>
  <c r="U126" i="5"/>
  <c r="V126" i="5" s="1"/>
  <c r="AX126" i="5" s="1"/>
  <c r="L5" i="5"/>
  <c r="M5" i="5"/>
  <c r="L8" i="5"/>
  <c r="M8" i="5"/>
  <c r="L11" i="5"/>
  <c r="M11" i="5"/>
  <c r="L14" i="5"/>
  <c r="M14" i="5"/>
  <c r="L17" i="5"/>
  <c r="M17" i="5"/>
  <c r="L28" i="5"/>
  <c r="L34" i="5"/>
  <c r="M34" i="5"/>
  <c r="L31" i="5"/>
  <c r="M31" i="5"/>
  <c r="L36" i="5"/>
  <c r="M36" i="5"/>
  <c r="L44" i="5"/>
  <c r="M44" i="5"/>
  <c r="L60" i="5"/>
  <c r="M60" i="5"/>
  <c r="L63" i="5"/>
  <c r="M63" i="5"/>
  <c r="L65" i="5"/>
  <c r="M65" i="5"/>
  <c r="L106" i="5"/>
  <c r="M106" i="5"/>
  <c r="L109" i="5"/>
  <c r="M109" i="5"/>
  <c r="L100" i="5"/>
  <c r="M100" i="5"/>
  <c r="U100" i="5" s="1"/>
  <c r="V100" i="5" s="1"/>
  <c r="AX100" i="5" s="1"/>
  <c r="AY100" i="5" s="1"/>
  <c r="L84" i="5"/>
  <c r="M84" i="5"/>
  <c r="L124" i="5"/>
  <c r="M124" i="5"/>
  <c r="L128" i="5"/>
  <c r="M128" i="5"/>
  <c r="L89" i="5"/>
  <c r="M89" i="5"/>
  <c r="L95" i="5"/>
  <c r="M95" i="5"/>
  <c r="L135" i="5"/>
  <c r="M135" i="5"/>
  <c r="M138" i="5"/>
  <c r="M118" i="5"/>
  <c r="L57" i="5"/>
  <c r="M57" i="5"/>
  <c r="M21" i="5"/>
  <c r="Z105" i="5"/>
  <c r="AN105" i="5"/>
  <c r="Z111" i="5"/>
  <c r="AN111" i="5"/>
  <c r="Z118" i="5"/>
  <c r="AN118" i="5"/>
  <c r="Z107" i="5"/>
  <c r="AN107" i="5"/>
  <c r="Z108" i="5"/>
  <c r="AN108" i="5"/>
  <c r="Z110" i="5"/>
  <c r="AN110" i="5"/>
  <c r="Z115" i="5"/>
  <c r="AN115" i="5"/>
  <c r="Z104" i="5"/>
  <c r="AN104" i="5"/>
  <c r="Z121" i="5"/>
  <c r="AN121" i="5"/>
  <c r="Z124" i="5"/>
  <c r="AN124" i="5"/>
  <c r="Z120" i="5"/>
  <c r="AN120" i="5"/>
  <c r="Z117" i="5"/>
  <c r="AN117" i="5"/>
  <c r="Z122" i="5"/>
  <c r="AN122" i="5"/>
  <c r="Z101" i="5"/>
  <c r="AN101" i="5"/>
  <c r="AN102" i="5"/>
  <c r="Z106" i="5"/>
  <c r="AN106" i="5"/>
  <c r="Z114" i="5"/>
  <c r="AN114" i="5"/>
  <c r="Z119" i="5"/>
  <c r="AN119" i="5"/>
  <c r="Z112" i="5"/>
  <c r="AN112" i="5"/>
  <c r="Z103" i="5"/>
  <c r="AN103" i="5"/>
  <c r="Z116" i="5"/>
  <c r="AN116" i="5"/>
  <c r="Z113" i="5"/>
  <c r="AN113" i="5"/>
  <c r="Z123" i="5"/>
  <c r="AN123" i="5"/>
  <c r="Z109" i="5"/>
  <c r="AN109" i="5"/>
  <c r="C106" i="5"/>
  <c r="D230" i="2"/>
  <c r="C5" i="5"/>
  <c r="C8" i="5"/>
  <c r="C11" i="5"/>
  <c r="C14" i="5"/>
  <c r="C17" i="5"/>
  <c r="C28" i="5"/>
  <c r="C34" i="5"/>
  <c r="C31" i="5"/>
  <c r="C36" i="5"/>
  <c r="C44" i="5"/>
  <c r="C60" i="5"/>
  <c r="C63" i="5"/>
  <c r="C65" i="5"/>
  <c r="C68" i="5"/>
  <c r="C112" i="5"/>
  <c r="C109" i="5"/>
  <c r="C100" i="5"/>
  <c r="C103" i="5"/>
  <c r="C49" i="5"/>
  <c r="C84" i="5"/>
  <c r="C124" i="5"/>
  <c r="C128" i="5"/>
  <c r="C89" i="5"/>
  <c r="C95" i="5"/>
  <c r="C135" i="5"/>
  <c r="C138" i="5"/>
  <c r="C118" i="5"/>
  <c r="C57" i="5"/>
  <c r="C21" i="5"/>
  <c r="O100" i="5" l="1"/>
  <c r="P100" i="5" s="1"/>
  <c r="AA100" i="5" s="1"/>
  <c r="AB100" i="5" s="1"/>
  <c r="R100" i="5"/>
  <c r="O135" i="5"/>
  <c r="P135" i="5" s="1"/>
  <c r="AA135" i="5" s="1"/>
  <c r="AB135" i="5" s="1"/>
  <c r="AC135" i="5" s="1"/>
  <c r="U135" i="5"/>
  <c r="V135" i="5" s="1"/>
  <c r="AX135" i="5" s="1"/>
  <c r="AY135" i="5" s="1"/>
  <c r="AZ135" i="5" s="1"/>
  <c r="BB135" i="5" s="1"/>
  <c r="R135" i="5"/>
  <c r="S135" i="5" s="1"/>
  <c r="AO135" i="5" s="1"/>
  <c r="AP135" i="5" s="1"/>
  <c r="AQ135" i="5" s="1"/>
  <c r="AS135" i="5" s="1"/>
  <c r="S100" i="5"/>
  <c r="AO100" i="5" s="1"/>
  <c r="AP100" i="5" s="1"/>
  <c r="AQ100" i="5" s="1"/>
  <c r="AS100" i="5" s="1"/>
  <c r="R128" i="5"/>
  <c r="S128" i="5" s="1"/>
  <c r="AO128" i="5" s="1"/>
  <c r="AP128" i="5" s="1"/>
  <c r="AQ128" i="5" s="1"/>
  <c r="AS128" i="5" s="1"/>
  <c r="O128" i="5"/>
  <c r="P128" i="5" s="1"/>
  <c r="AA128" i="5" s="1"/>
  <c r="AB128" i="5" s="1"/>
  <c r="AC128" i="5" s="1"/>
  <c r="U128" i="5"/>
  <c r="V128" i="5" s="1"/>
  <c r="AX128" i="5" s="1"/>
  <c r="R138" i="5"/>
  <c r="S138" i="5" s="1"/>
  <c r="AO138" i="5" s="1"/>
  <c r="AP138" i="5" s="1"/>
  <c r="AQ138" i="5" s="1"/>
  <c r="AS138" i="5" s="1"/>
  <c r="U138" i="5"/>
  <c r="V138" i="5" s="1"/>
  <c r="AX138" i="5" s="1"/>
  <c r="AY138" i="5" s="1"/>
  <c r="AZ138" i="5" s="1"/>
  <c r="BB138" i="5" s="1"/>
  <c r="O138" i="5"/>
  <c r="P138" i="5" s="1"/>
  <c r="AA138" i="5" s="1"/>
  <c r="AB138" i="5" s="1"/>
  <c r="AC138" i="5" s="1"/>
  <c r="AH138" i="5" s="1"/>
  <c r="AJ138" i="5" s="1"/>
  <c r="AH135" i="5"/>
  <c r="AJ135" i="5" s="1"/>
  <c r="AE135" i="5"/>
  <c r="AC100" i="5"/>
  <c r="AH100" i="5" s="1"/>
  <c r="AJ100" i="5" s="1"/>
  <c r="AZ100" i="5"/>
  <c r="BB100" i="5" s="1"/>
  <c r="AY126" i="5"/>
  <c r="AZ126" i="5" s="1"/>
  <c r="BB126" i="5" s="1"/>
  <c r="AP126" i="5"/>
  <c r="AQ126" i="5" s="1"/>
  <c r="AS126" i="5" s="1"/>
  <c r="AB126" i="5"/>
  <c r="AC126" i="5" s="1"/>
  <c r="H112" i="5"/>
  <c r="O97" i="5"/>
  <c r="P97" i="5" s="1"/>
  <c r="AA97" i="5" s="1"/>
  <c r="U97" i="5"/>
  <c r="V97" i="5" s="1"/>
  <c r="AX97" i="5" s="1"/>
  <c r="R97" i="5"/>
  <c r="S97" i="5" s="1"/>
  <c r="AO97" i="5" s="1"/>
  <c r="D90" i="2"/>
  <c r="D92" i="2"/>
  <c r="D94" i="2"/>
  <c r="D96" i="2"/>
  <c r="D162" i="2"/>
  <c r="D102" i="2"/>
  <c r="D144" i="2"/>
  <c r="D138" i="2"/>
  <c r="D148" i="2"/>
  <c r="D158" i="2"/>
  <c r="D166" i="2"/>
  <c r="D168" i="2"/>
  <c r="D170" i="2"/>
  <c r="D172" i="2"/>
  <c r="D279" i="2"/>
  <c r="D277" i="2"/>
  <c r="D226" i="2"/>
  <c r="D228" i="2"/>
  <c r="D160" i="2"/>
  <c r="D220" i="2"/>
  <c r="D285" i="2"/>
  <c r="D287" i="2"/>
  <c r="D289" i="2"/>
  <c r="D222" i="2"/>
  <c r="D224" i="2"/>
  <c r="D291" i="2"/>
  <c r="D293" i="2"/>
  <c r="D281" i="2"/>
  <c r="D164" i="2"/>
  <c r="D98" i="2"/>
  <c r="D88" i="2"/>
  <c r="Z2" i="5"/>
  <c r="Z3" i="5"/>
  <c r="Z4" i="5"/>
  <c r="Z6" i="5"/>
  <c r="Z5" i="5"/>
  <c r="Z10" i="5"/>
  <c r="Z11" i="5"/>
  <c r="Z9" i="5"/>
  <c r="Z8" i="5"/>
  <c r="Z7" i="5"/>
  <c r="Z21" i="5"/>
  <c r="Z22" i="5"/>
  <c r="Z19" i="5"/>
  <c r="Z20" i="5"/>
  <c r="Z16" i="5"/>
  <c r="Z13" i="5"/>
  <c r="Z14" i="5"/>
  <c r="Z18" i="5"/>
  <c r="Z12" i="5"/>
  <c r="Z15" i="5"/>
  <c r="Z17" i="5"/>
  <c r="Z23" i="5"/>
  <c r="Z26" i="5"/>
  <c r="Z25" i="5"/>
  <c r="Z24" i="5"/>
  <c r="Z29" i="5"/>
  <c r="Z32" i="5"/>
  <c r="Z31" i="5"/>
  <c r="Z28" i="5"/>
  <c r="Z27" i="5"/>
  <c r="Z30" i="5"/>
  <c r="Z34" i="5"/>
  <c r="Z33" i="5"/>
  <c r="Z37" i="5"/>
  <c r="Z41" i="5"/>
  <c r="Z40" i="5"/>
  <c r="Z38" i="5"/>
  <c r="Z35" i="5"/>
  <c r="Z36" i="5"/>
  <c r="Z39" i="5"/>
  <c r="Z42" i="5"/>
  <c r="Z47" i="5"/>
  <c r="Z44" i="5"/>
  <c r="Z46" i="5"/>
  <c r="Z45" i="5"/>
  <c r="Z43" i="5"/>
  <c r="Z52" i="5"/>
  <c r="Z51" i="5"/>
  <c r="Z50" i="5"/>
  <c r="Z48" i="5"/>
  <c r="Z49" i="5"/>
  <c r="Z53" i="5"/>
  <c r="Z56" i="5"/>
  <c r="Z55" i="5"/>
  <c r="Z54" i="5"/>
  <c r="Z62" i="5"/>
  <c r="Z59" i="5"/>
  <c r="Z57" i="5"/>
  <c r="Z61" i="5"/>
  <c r="Z60" i="5"/>
  <c r="Z58" i="5"/>
  <c r="Z64" i="5"/>
  <c r="Z63" i="5"/>
  <c r="Z66" i="5"/>
  <c r="Z65" i="5"/>
  <c r="Z67" i="5"/>
  <c r="Z71" i="5"/>
  <c r="Z72" i="5"/>
  <c r="Z68" i="5"/>
  <c r="Z70" i="5"/>
  <c r="Z69" i="5"/>
  <c r="Z76" i="5"/>
  <c r="Z75" i="5"/>
  <c r="Z73" i="5"/>
  <c r="Z74" i="5"/>
  <c r="Z79" i="5"/>
  <c r="Z80" i="5"/>
  <c r="Z77" i="5"/>
  <c r="Z78" i="5"/>
  <c r="Z81" i="5"/>
  <c r="Z83" i="5"/>
  <c r="Z82" i="5"/>
  <c r="Z90" i="5"/>
  <c r="Z88" i="5"/>
  <c r="Z86" i="5"/>
  <c r="Z91" i="5"/>
  <c r="Z85" i="5"/>
  <c r="Z89" i="5"/>
  <c r="Z87" i="5"/>
  <c r="Z84" i="5"/>
  <c r="Z92" i="5"/>
  <c r="Z95" i="5"/>
  <c r="Z93" i="5"/>
  <c r="Z94" i="5"/>
  <c r="M30" i="5"/>
  <c r="M13" i="5"/>
  <c r="M117" i="5"/>
  <c r="M134" i="5"/>
  <c r="M137" i="5"/>
  <c r="M83" i="5"/>
  <c r="M20" i="5"/>
  <c r="M56" i="5"/>
  <c r="M48" i="5"/>
  <c r="M94" i="5"/>
  <c r="R84" i="5" s="1"/>
  <c r="M76" i="5"/>
  <c r="M24" i="5"/>
  <c r="M38" i="5"/>
  <c r="M78" i="5"/>
  <c r="M74" i="5"/>
  <c r="M39" i="5"/>
  <c r="U3" i="5" s="1"/>
  <c r="M121" i="5"/>
  <c r="M79" i="5"/>
  <c r="M25" i="5"/>
  <c r="U5" i="5" s="1"/>
  <c r="M18" i="5"/>
  <c r="M6" i="5"/>
  <c r="U119" i="5"/>
  <c r="M12" i="5"/>
  <c r="M9" i="5"/>
  <c r="M52" i="5"/>
  <c r="M29" i="5"/>
  <c r="M32" i="5"/>
  <c r="M45" i="5"/>
  <c r="M61" i="5"/>
  <c r="M64" i="5"/>
  <c r="M66" i="5"/>
  <c r="M69" i="5"/>
  <c r="M113" i="5"/>
  <c r="M107" i="5"/>
  <c r="M110" i="5"/>
  <c r="M101" i="5"/>
  <c r="R101" i="5" s="1"/>
  <c r="M104" i="5"/>
  <c r="M50" i="5"/>
  <c r="M85" i="5"/>
  <c r="M131" i="5"/>
  <c r="M125" i="5"/>
  <c r="M129" i="5"/>
  <c r="M90" i="5"/>
  <c r="M96" i="5"/>
  <c r="M136" i="5"/>
  <c r="M139" i="5"/>
  <c r="M119" i="5"/>
  <c r="R119" i="5" s="1"/>
  <c r="M58" i="5"/>
  <c r="M22" i="5"/>
  <c r="M2" i="5"/>
  <c r="M40" i="5"/>
  <c r="M23" i="5"/>
  <c r="M70" i="5"/>
  <c r="M120" i="5"/>
  <c r="M72" i="5"/>
  <c r="M75" i="5"/>
  <c r="M37" i="5"/>
  <c r="M77" i="5"/>
  <c r="M91" i="5"/>
  <c r="M46" i="5"/>
  <c r="M80" i="5"/>
  <c r="M132" i="5"/>
  <c r="M114" i="5"/>
  <c r="M53" i="5"/>
  <c r="M19" i="5"/>
  <c r="M55" i="5"/>
  <c r="M93" i="5"/>
  <c r="M47" i="5"/>
  <c r="M82" i="5"/>
  <c r="M116" i="5"/>
  <c r="M62" i="5"/>
  <c r="R117" i="5"/>
  <c r="M98" i="5"/>
  <c r="M133" i="5"/>
  <c r="M4" i="5"/>
  <c r="M15" i="5"/>
  <c r="M51" i="5"/>
  <c r="M35" i="5"/>
  <c r="M42" i="5"/>
  <c r="M122" i="5"/>
  <c r="M87" i="5"/>
  <c r="M73" i="5"/>
  <c r="U65" i="5" s="1"/>
  <c r="M71" i="5"/>
  <c r="M67" i="5"/>
  <c r="M99" i="5"/>
  <c r="M105" i="5"/>
  <c r="O105" i="5" s="1"/>
  <c r="M111" i="5"/>
  <c r="M108" i="5"/>
  <c r="M130" i="5"/>
  <c r="M88" i="5"/>
  <c r="M123" i="5"/>
  <c r="M127" i="5"/>
  <c r="M43" i="5"/>
  <c r="M16" i="5"/>
  <c r="O80" i="5" s="1"/>
  <c r="M33" i="5"/>
  <c r="M7" i="5"/>
  <c r="M27" i="5"/>
  <c r="U81" i="5" s="1"/>
  <c r="O4" i="5" l="1"/>
  <c r="U105" i="5"/>
  <c r="U69" i="5"/>
  <c r="O85" i="5"/>
  <c r="U130" i="5"/>
  <c r="R130" i="5"/>
  <c r="O130" i="5"/>
  <c r="AY128" i="5"/>
  <c r="AZ128" i="5" s="1"/>
  <c r="BB128" i="5" s="1"/>
  <c r="U133" i="5"/>
  <c r="R133" i="5"/>
  <c r="O133" i="5"/>
  <c r="U129" i="5"/>
  <c r="O129" i="5"/>
  <c r="R129" i="5"/>
  <c r="O125" i="5"/>
  <c r="R125" i="5"/>
  <c r="U125" i="5"/>
  <c r="O72" i="5"/>
  <c r="R99" i="5"/>
  <c r="O99" i="5"/>
  <c r="U99" i="5"/>
  <c r="U137" i="5"/>
  <c r="R137" i="5"/>
  <c r="O137" i="5"/>
  <c r="U132" i="5"/>
  <c r="R132" i="5"/>
  <c r="O132" i="5"/>
  <c r="U83" i="5"/>
  <c r="U98" i="5"/>
  <c r="O98" i="5"/>
  <c r="R98" i="5"/>
  <c r="U79" i="5"/>
  <c r="U74" i="5"/>
  <c r="U127" i="5"/>
  <c r="O127" i="5"/>
  <c r="R127" i="5"/>
  <c r="U139" i="5"/>
  <c r="R139" i="5"/>
  <c r="O139" i="5"/>
  <c r="U2" i="5"/>
  <c r="R131" i="5"/>
  <c r="O131" i="5"/>
  <c r="U131" i="5"/>
  <c r="U111" i="5"/>
  <c r="O134" i="5"/>
  <c r="U134" i="5"/>
  <c r="R134" i="5"/>
  <c r="U77" i="5"/>
  <c r="U6" i="5"/>
  <c r="U73" i="5"/>
  <c r="O136" i="5"/>
  <c r="R136" i="5"/>
  <c r="U136" i="5"/>
  <c r="AH128" i="5"/>
  <c r="AJ128" i="5" s="1"/>
  <c r="AE128" i="5"/>
  <c r="AF128" i="5" s="1"/>
  <c r="R75" i="5"/>
  <c r="R96" i="5"/>
  <c r="U96" i="5"/>
  <c r="O96" i="5"/>
  <c r="AE100" i="5"/>
  <c r="AF100" i="5" s="1"/>
  <c r="AE126" i="5"/>
  <c r="AH126" i="5"/>
  <c r="AJ126" i="5" s="1"/>
  <c r="AP97" i="5"/>
  <c r="AQ97" i="5" s="1"/>
  <c r="AS97" i="5" s="1"/>
  <c r="AY97" i="5"/>
  <c r="AZ97" i="5" s="1"/>
  <c r="BB97" i="5" s="1"/>
  <c r="AB97" i="5"/>
  <c r="AC97" i="5" s="1"/>
  <c r="R102" i="5"/>
  <c r="O91" i="5"/>
  <c r="U102" i="5"/>
  <c r="O119" i="5"/>
  <c r="U87" i="5"/>
  <c r="O94" i="5"/>
  <c r="R110" i="5"/>
  <c r="O17" i="5"/>
  <c r="U8" i="5"/>
  <c r="O86" i="5"/>
  <c r="U53" i="5"/>
  <c r="U88" i="5"/>
  <c r="U92" i="5"/>
  <c r="R90" i="5"/>
  <c r="U120" i="5"/>
  <c r="U122" i="5"/>
  <c r="O121" i="5"/>
  <c r="R105" i="5"/>
  <c r="R66" i="5"/>
  <c r="R54" i="5"/>
  <c r="R56" i="5"/>
  <c r="R43" i="5"/>
  <c r="R27" i="5"/>
  <c r="O23" i="5"/>
  <c r="U20" i="5"/>
  <c r="U93" i="5"/>
  <c r="R118" i="5"/>
  <c r="O95" i="5"/>
  <c r="R104" i="5"/>
  <c r="U67" i="5"/>
  <c r="U61" i="5"/>
  <c r="U36" i="5"/>
  <c r="U31" i="5"/>
  <c r="O15" i="5"/>
  <c r="U107" i="5"/>
  <c r="U9" i="5"/>
  <c r="R122" i="5"/>
  <c r="R116" i="5"/>
  <c r="U57" i="5"/>
  <c r="R115" i="5"/>
  <c r="R108" i="5"/>
  <c r="O118" i="5"/>
  <c r="R103" i="5"/>
  <c r="O101" i="5"/>
  <c r="O120" i="5"/>
  <c r="U70" i="5"/>
  <c r="O70" i="5"/>
  <c r="O114" i="5"/>
  <c r="O61" i="5"/>
  <c r="U45" i="5"/>
  <c r="O39" i="5"/>
  <c r="U28" i="5"/>
  <c r="U19" i="5"/>
  <c r="U7" i="5"/>
  <c r="O117" i="5"/>
  <c r="O122" i="5"/>
  <c r="O104" i="5"/>
  <c r="O68" i="5"/>
  <c r="U64" i="5"/>
  <c r="U49" i="5"/>
  <c r="U44" i="5"/>
  <c r="U35" i="5"/>
  <c r="U34" i="5"/>
  <c r="U32" i="5"/>
  <c r="U12" i="5"/>
  <c r="U21" i="5"/>
  <c r="U101" i="5"/>
  <c r="O116" i="5"/>
  <c r="O58" i="5"/>
  <c r="O59" i="5"/>
  <c r="U48" i="5"/>
  <c r="O47" i="5"/>
  <c r="U38" i="5"/>
  <c r="U29" i="5"/>
  <c r="U18" i="5"/>
  <c r="U103" i="5"/>
  <c r="U114" i="5"/>
  <c r="R106" i="5"/>
  <c r="U108" i="5"/>
  <c r="O103" i="5"/>
  <c r="U106" i="5"/>
  <c r="R107" i="5"/>
  <c r="U55" i="5"/>
  <c r="U60" i="5"/>
  <c r="U50" i="5"/>
  <c r="U40" i="5"/>
  <c r="O24" i="5"/>
  <c r="U14" i="5"/>
  <c r="R11" i="5"/>
  <c r="U116" i="5"/>
  <c r="U117" i="5"/>
  <c r="O115" i="5"/>
  <c r="O112" i="5"/>
  <c r="U110" i="5"/>
  <c r="U46" i="5"/>
  <c r="U22" i="5"/>
  <c r="O62" i="5"/>
  <c r="R51" i="5"/>
  <c r="O41" i="5"/>
  <c r="R25" i="5"/>
  <c r="R10" i="5"/>
  <c r="O108" i="5"/>
  <c r="O106" i="5"/>
  <c r="R121" i="5"/>
  <c r="U115" i="5"/>
  <c r="O107" i="5"/>
  <c r="R71" i="5"/>
  <c r="R52" i="5"/>
  <c r="U37" i="5"/>
  <c r="U30" i="5"/>
  <c r="O26" i="5"/>
  <c r="R114" i="5"/>
  <c r="O110" i="5"/>
  <c r="O102" i="5"/>
  <c r="U104" i="5"/>
  <c r="U121" i="5"/>
  <c r="R120" i="5"/>
  <c r="R111" i="5"/>
  <c r="O111" i="5"/>
  <c r="U118" i="5"/>
  <c r="R67" i="5"/>
  <c r="R64" i="5"/>
  <c r="R49" i="5"/>
  <c r="R34" i="5"/>
  <c r="R35" i="5"/>
  <c r="R32" i="5"/>
  <c r="R79" i="5"/>
  <c r="R5" i="5"/>
  <c r="R70" i="5"/>
  <c r="R45" i="5"/>
  <c r="R68" i="5"/>
  <c r="R44" i="5"/>
  <c r="R12" i="5"/>
  <c r="R53" i="5"/>
  <c r="R21" i="5"/>
  <c r="R9" i="5"/>
  <c r="R29" i="5"/>
  <c r="R17" i="5"/>
  <c r="R19" i="5"/>
  <c r="R61" i="5"/>
  <c r="R7" i="5"/>
  <c r="R28" i="5"/>
  <c r="R3" i="5"/>
  <c r="R38" i="5"/>
  <c r="R18" i="5"/>
  <c r="R48" i="5"/>
  <c r="R74" i="5"/>
  <c r="R58" i="5"/>
  <c r="R36" i="5"/>
  <c r="R57" i="5"/>
  <c r="R15" i="5"/>
  <c r="R59" i="5"/>
  <c r="R46" i="5"/>
  <c r="R55" i="5"/>
  <c r="R47" i="5"/>
  <c r="R31" i="5"/>
  <c r="R22" i="5"/>
  <c r="R60" i="5"/>
  <c r="U17" i="5"/>
  <c r="R14" i="5"/>
  <c r="R77" i="5"/>
  <c r="O65" i="5"/>
  <c r="R50" i="5"/>
  <c r="R40" i="5"/>
  <c r="R24" i="5"/>
  <c r="R65" i="5"/>
  <c r="R39" i="5"/>
  <c r="O22" i="5"/>
  <c r="R80" i="5"/>
  <c r="R72" i="5"/>
  <c r="R23" i="5"/>
  <c r="O50" i="5"/>
  <c r="O19" i="5"/>
  <c r="R95" i="5"/>
  <c r="U24" i="5"/>
  <c r="O7" i="5"/>
  <c r="U15" i="5"/>
  <c r="O79" i="5"/>
  <c r="O60" i="5"/>
  <c r="O40" i="5"/>
  <c r="O9" i="5"/>
  <c r="R73" i="5"/>
  <c r="O74" i="5"/>
  <c r="U68" i="5"/>
  <c r="O73" i="5"/>
  <c r="U72" i="5"/>
  <c r="U51" i="5"/>
  <c r="R20" i="5"/>
  <c r="U39" i="5"/>
  <c r="O90" i="5"/>
  <c r="U89" i="5"/>
  <c r="O89" i="5"/>
  <c r="R89" i="5"/>
  <c r="U63" i="5"/>
  <c r="O63" i="5"/>
  <c r="U33" i="5"/>
  <c r="R33" i="5"/>
  <c r="O33" i="5"/>
  <c r="O66" i="5"/>
  <c r="U71" i="5"/>
  <c r="O71" i="5"/>
  <c r="U66" i="5"/>
  <c r="U52" i="5"/>
  <c r="R37" i="5"/>
  <c r="O20" i="5"/>
  <c r="U43" i="5"/>
  <c r="O43" i="5"/>
  <c r="U27" i="5"/>
  <c r="O27" i="5"/>
  <c r="U85" i="5"/>
  <c r="R85" i="5"/>
  <c r="O37" i="5"/>
  <c r="U76" i="5"/>
  <c r="R76" i="5"/>
  <c r="O76" i="5"/>
  <c r="U16" i="5"/>
  <c r="O16" i="5"/>
  <c r="O30" i="5"/>
  <c r="U78" i="5"/>
  <c r="O78" i="5"/>
  <c r="U54" i="5"/>
  <c r="O54" i="5"/>
  <c r="U42" i="5"/>
  <c r="R42" i="5"/>
  <c r="O42" i="5"/>
  <c r="R63" i="5"/>
  <c r="O51" i="5"/>
  <c r="R81" i="5"/>
  <c r="O81" i="5"/>
  <c r="U82" i="5"/>
  <c r="O82" i="5"/>
  <c r="R82" i="5"/>
  <c r="R69" i="5"/>
  <c r="O69" i="5"/>
  <c r="U56" i="5"/>
  <c r="O56" i="5"/>
  <c r="R30" i="5"/>
  <c r="R78" i="5"/>
  <c r="R16" i="5"/>
  <c r="R62" i="5"/>
  <c r="U62" i="5"/>
  <c r="R41" i="5"/>
  <c r="U41" i="5"/>
  <c r="R13" i="5"/>
  <c r="U13" i="5"/>
  <c r="O13" i="5"/>
  <c r="U94" i="5"/>
  <c r="R94" i="5"/>
  <c r="O52" i="5"/>
  <c r="O12" i="5"/>
  <c r="O21" i="5"/>
  <c r="O11" i="5"/>
  <c r="O92" i="5"/>
  <c r="R92" i="5"/>
  <c r="U80" i="5"/>
  <c r="U59" i="5"/>
  <c r="U95" i="5"/>
  <c r="O45" i="5"/>
  <c r="O28" i="5"/>
  <c r="O18" i="5"/>
  <c r="O84" i="5"/>
  <c r="U91" i="5"/>
  <c r="O67" i="5"/>
  <c r="O57" i="5"/>
  <c r="O55" i="5"/>
  <c r="O53" i="5"/>
  <c r="O46" i="5"/>
  <c r="O36" i="5"/>
  <c r="O31" i="5"/>
  <c r="O14" i="5"/>
  <c r="O5" i="5"/>
  <c r="O93" i="5"/>
  <c r="U58" i="5"/>
  <c r="U47" i="5"/>
  <c r="U90" i="5"/>
  <c r="O77" i="5"/>
  <c r="O64" i="5"/>
  <c r="O49" i="5"/>
  <c r="O44" i="5"/>
  <c r="O35" i="5"/>
  <c r="O34" i="5"/>
  <c r="O32" i="5"/>
  <c r="O3" i="5"/>
  <c r="U84" i="5"/>
  <c r="O48" i="5"/>
  <c r="O38" i="5"/>
  <c r="O29" i="5"/>
  <c r="R93" i="5"/>
  <c r="U75" i="5"/>
  <c r="O75" i="5"/>
  <c r="U4" i="5"/>
  <c r="R4" i="5"/>
  <c r="O88" i="5"/>
  <c r="R88" i="5"/>
  <c r="R86" i="5"/>
  <c r="U86" i="5"/>
  <c r="R26" i="5"/>
  <c r="U26" i="5"/>
  <c r="R8" i="5"/>
  <c r="O8" i="5"/>
  <c r="U23" i="5"/>
  <c r="O87" i="5"/>
  <c r="R87" i="5"/>
  <c r="O2" i="5"/>
  <c r="R2" i="5"/>
  <c r="U25" i="5"/>
  <c r="O25" i="5"/>
  <c r="R6" i="5"/>
  <c r="O6" i="5"/>
  <c r="U11" i="5"/>
  <c r="R83" i="5"/>
  <c r="O83" i="5"/>
  <c r="R91" i="5"/>
  <c r="O10" i="5"/>
  <c r="U10" i="5"/>
  <c r="U112" i="5"/>
  <c r="AN91" i="5"/>
  <c r="L117" i="5"/>
  <c r="AN26" i="5"/>
  <c r="L19" i="5"/>
  <c r="AN25" i="5"/>
  <c r="AN23" i="5"/>
  <c r="L43" i="5"/>
  <c r="AN24" i="5"/>
  <c r="L23" i="5"/>
  <c r="AN29" i="5"/>
  <c r="L70" i="5"/>
  <c r="AN11" i="5"/>
  <c r="L120" i="5"/>
  <c r="AN8" i="5"/>
  <c r="L72" i="5"/>
  <c r="AN9" i="5"/>
  <c r="L55" i="5"/>
  <c r="L130" i="5"/>
  <c r="AN10" i="5"/>
  <c r="L88" i="5"/>
  <c r="AN7" i="5"/>
  <c r="L67" i="5"/>
  <c r="L123" i="5"/>
  <c r="AN21" i="5"/>
  <c r="L16" i="5"/>
  <c r="AN22" i="5"/>
  <c r="L134" i="5"/>
  <c r="AN19" i="5"/>
  <c r="L33" i="5"/>
  <c r="AN20" i="5"/>
  <c r="L7" i="5"/>
  <c r="AN16" i="5"/>
  <c r="L137" i="5"/>
  <c r="AN13" i="5"/>
  <c r="AN14" i="5"/>
  <c r="L127" i="5"/>
  <c r="AN18" i="5"/>
  <c r="L99" i="5"/>
  <c r="AN12" i="5"/>
  <c r="L73" i="5"/>
  <c r="L83" i="5"/>
  <c r="AN15" i="5"/>
  <c r="L20" i="5"/>
  <c r="AN17" i="5"/>
  <c r="L75" i="5"/>
  <c r="AN32" i="5"/>
  <c r="L27" i="5"/>
  <c r="V81" i="5" s="1"/>
  <c r="AN31" i="5"/>
  <c r="L56" i="5"/>
  <c r="AN28" i="5"/>
  <c r="L105" i="5"/>
  <c r="AN27" i="5"/>
  <c r="O113" i="5"/>
  <c r="V127" i="5" l="1"/>
  <c r="AX127" i="5" s="1"/>
  <c r="AY127" i="5" s="1"/>
  <c r="AZ127" i="5" s="1"/>
  <c r="BB127" i="5" s="1"/>
  <c r="P137" i="5"/>
  <c r="AA137" i="5" s="1"/>
  <c r="AB137" i="5" s="1"/>
  <c r="AC137" i="5" s="1"/>
  <c r="AH137" i="5" s="1"/>
  <c r="AJ137" i="5" s="1"/>
  <c r="S137" i="5"/>
  <c r="AO137" i="5" s="1"/>
  <c r="AP137" i="5" s="1"/>
  <c r="AQ137" i="5" s="1"/>
  <c r="AS137" i="5" s="1"/>
  <c r="V134" i="5"/>
  <c r="AX134" i="5" s="1"/>
  <c r="AY134" i="5" s="1"/>
  <c r="AZ134" i="5" s="1"/>
  <c r="BB134" i="5" s="1"/>
  <c r="V79" i="5"/>
  <c r="V137" i="5"/>
  <c r="AX137" i="5" s="1"/>
  <c r="P130" i="5"/>
  <c r="AA130" i="5" s="1"/>
  <c r="AB130" i="5" s="1"/>
  <c r="AC130" i="5" s="1"/>
  <c r="V99" i="5"/>
  <c r="AX99" i="5" s="1"/>
  <c r="AY99" i="5" s="1"/>
  <c r="AZ99" i="5" s="1"/>
  <c r="BB99" i="5" s="1"/>
  <c r="S130" i="5"/>
  <c r="AO130" i="5" s="1"/>
  <c r="AP130" i="5" s="1"/>
  <c r="AQ130" i="5" s="1"/>
  <c r="AS130" i="5" s="1"/>
  <c r="S125" i="5"/>
  <c r="AO125" i="5" s="1"/>
  <c r="AP125" i="5" s="1"/>
  <c r="AQ125" i="5" s="1"/>
  <c r="AS125" i="5" s="1"/>
  <c r="S98" i="5"/>
  <c r="AO98" i="5" s="1"/>
  <c r="AP98" i="5" s="1"/>
  <c r="AQ98" i="5" s="1"/>
  <c r="AS98" i="5" s="1"/>
  <c r="P134" i="5"/>
  <c r="AA134" i="5" s="1"/>
  <c r="AB134" i="5" s="1"/>
  <c r="AC134" i="5" s="1"/>
  <c r="V73" i="5"/>
  <c r="S127" i="5"/>
  <c r="AO127" i="5" s="1"/>
  <c r="AP127" i="5" s="1"/>
  <c r="AQ127" i="5" s="1"/>
  <c r="AS127" i="5" s="1"/>
  <c r="P99" i="5"/>
  <c r="AA99" i="5" s="1"/>
  <c r="AB99" i="5" s="1"/>
  <c r="AC99" i="5" s="1"/>
  <c r="V130" i="5"/>
  <c r="AX130" i="5" s="1"/>
  <c r="AY130" i="5" s="1"/>
  <c r="AZ130" i="5" s="1"/>
  <c r="BB130" i="5" s="1"/>
  <c r="S134" i="5"/>
  <c r="AO134" i="5" s="1"/>
  <c r="AP134" i="5" s="1"/>
  <c r="AQ134" i="5" s="1"/>
  <c r="AS134" i="5" s="1"/>
  <c r="P127" i="5"/>
  <c r="AA127" i="5" s="1"/>
  <c r="AB127" i="5" s="1"/>
  <c r="AC127" i="5" s="1"/>
  <c r="S99" i="5"/>
  <c r="AO99" i="5" s="1"/>
  <c r="AP99" i="5" s="1"/>
  <c r="AQ99" i="5" s="1"/>
  <c r="AS99" i="5" s="1"/>
  <c r="AH97" i="5"/>
  <c r="AJ97" i="5" s="1"/>
  <c r="AE97" i="5"/>
  <c r="AF97" i="5" s="1"/>
  <c r="U123" i="5"/>
  <c r="O123" i="5"/>
  <c r="R123" i="5"/>
  <c r="R112" i="5"/>
  <c r="R113" i="5"/>
  <c r="U113" i="5"/>
  <c r="P79" i="5"/>
  <c r="AA79" i="5" s="1"/>
  <c r="AB79" i="5" s="1"/>
  <c r="P68" i="5"/>
  <c r="U109" i="5"/>
  <c r="R109" i="5"/>
  <c r="O109" i="5"/>
  <c r="U124" i="5"/>
  <c r="R124" i="5"/>
  <c r="O124" i="5"/>
  <c r="S73" i="5"/>
  <c r="AO73" i="5" s="1"/>
  <c r="AP73" i="5" s="1"/>
  <c r="AQ73" i="5" s="1"/>
  <c r="AS73" i="5" s="1"/>
  <c r="V66" i="5"/>
  <c r="S79" i="5"/>
  <c r="AO79" i="5" s="1"/>
  <c r="AP79" i="5" s="1"/>
  <c r="AQ79" i="5" s="1"/>
  <c r="AS79" i="5" s="1"/>
  <c r="V65" i="5"/>
  <c r="P81" i="5"/>
  <c r="AA81" i="5" s="1"/>
  <c r="P72" i="5"/>
  <c r="AA72" i="5" s="1"/>
  <c r="S81" i="5"/>
  <c r="AO81" i="5" s="1"/>
  <c r="AP81" i="5" s="1"/>
  <c r="AQ81" i="5" s="1"/>
  <c r="AS81" i="5" s="1"/>
  <c r="P73" i="5"/>
  <c r="AA73" i="5" s="1"/>
  <c r="S75" i="5"/>
  <c r="AO75" i="5" s="1"/>
  <c r="P75" i="5"/>
  <c r="AA75" i="5" s="1"/>
  <c r="V75" i="5"/>
  <c r="AW8" i="5"/>
  <c r="AW9" i="5"/>
  <c r="AW10" i="5"/>
  <c r="AW7" i="5"/>
  <c r="AW5" i="5"/>
  <c r="AW3" i="5"/>
  <c r="AW2" i="5"/>
  <c r="AW4" i="5"/>
  <c r="AW6" i="5"/>
  <c r="AN30" i="5"/>
  <c r="AN64" i="5"/>
  <c r="AN63" i="5"/>
  <c r="AN50" i="5"/>
  <c r="AN62" i="5"/>
  <c r="AN59" i="5"/>
  <c r="AN57" i="5"/>
  <c r="AN61" i="5"/>
  <c r="AN60" i="5"/>
  <c r="AN56" i="5"/>
  <c r="AN55" i="5"/>
  <c r="AN58" i="5"/>
  <c r="AN48" i="5"/>
  <c r="AN49" i="5"/>
  <c r="AN54" i="5"/>
  <c r="AN53" i="5"/>
  <c r="AN51" i="5"/>
  <c r="AN52" i="5"/>
  <c r="AN42" i="5"/>
  <c r="AN34" i="5"/>
  <c r="AN33" i="5"/>
  <c r="AN47" i="5"/>
  <c r="AN44" i="5"/>
  <c r="AN46" i="5"/>
  <c r="AN45" i="5"/>
  <c r="AN43" i="5"/>
  <c r="AN5" i="5"/>
  <c r="AN3" i="5"/>
  <c r="AN2" i="5"/>
  <c r="AN4" i="5"/>
  <c r="AN6" i="5"/>
  <c r="AN35" i="5"/>
  <c r="AN41" i="5"/>
  <c r="AN37" i="5"/>
  <c r="AN36" i="5"/>
  <c r="AN38" i="5"/>
  <c r="AN40" i="5"/>
  <c r="AN39" i="5"/>
  <c r="AN73" i="5"/>
  <c r="AN74" i="5"/>
  <c r="AN76" i="5"/>
  <c r="AN75" i="5"/>
  <c r="AN84" i="5"/>
  <c r="AN78" i="5"/>
  <c r="AN82" i="5"/>
  <c r="AN81" i="5"/>
  <c r="AN77" i="5"/>
  <c r="AN83" i="5"/>
  <c r="AN71" i="5"/>
  <c r="AN70" i="5"/>
  <c r="AN68" i="5"/>
  <c r="AN69" i="5"/>
  <c r="AN72" i="5"/>
  <c r="AN87" i="5"/>
  <c r="AN88" i="5"/>
  <c r="AN86" i="5"/>
  <c r="AN90" i="5"/>
  <c r="AN89" i="5"/>
  <c r="AN85" i="5"/>
  <c r="AN67" i="5"/>
  <c r="AN65" i="5"/>
  <c r="AN66" i="5"/>
  <c r="AN92" i="5"/>
  <c r="AN95" i="5"/>
  <c r="AN93" i="5"/>
  <c r="AN94" i="5"/>
  <c r="L25" i="5"/>
  <c r="P5" i="5" s="1"/>
  <c r="AA5" i="5" s="1"/>
  <c r="L39" i="5"/>
  <c r="P3" i="5" s="1"/>
  <c r="AA3" i="5" s="1"/>
  <c r="L74" i="5"/>
  <c r="S2" i="5" s="1"/>
  <c r="AO2" i="5" s="1"/>
  <c r="AP2" i="5" s="1"/>
  <c r="AQ2" i="5" s="1"/>
  <c r="AS2" i="5" s="1"/>
  <c r="L121" i="5"/>
  <c r="L37" i="5"/>
  <c r="L77" i="5"/>
  <c r="P77" i="5" s="1"/>
  <c r="AA77" i="5" s="1"/>
  <c r="L94" i="5"/>
  <c r="S84" i="5" s="1"/>
  <c r="AO84" i="5" s="1"/>
  <c r="AP84" i="5" s="1"/>
  <c r="AQ84" i="5" s="1"/>
  <c r="AS84" i="5" s="1"/>
  <c r="L13" i="5"/>
  <c r="L30" i="5"/>
  <c r="L111" i="5"/>
  <c r="L108" i="5"/>
  <c r="L48" i="5"/>
  <c r="L71" i="5"/>
  <c r="P71" i="5" s="1"/>
  <c r="AA71" i="5" s="1"/>
  <c r="V112" i="5"/>
  <c r="AX112" i="5" s="1"/>
  <c r="AY112" i="5" s="1"/>
  <c r="AZ112" i="5" s="1"/>
  <c r="BB112" i="5" s="1"/>
  <c r="L76" i="5"/>
  <c r="V76" i="5" s="1"/>
  <c r="V68" i="5"/>
  <c r="L38" i="5"/>
  <c r="L78" i="5"/>
  <c r="V78" i="5" s="1"/>
  <c r="L122" i="5"/>
  <c r="V106" i="5"/>
  <c r="AX106" i="5" s="1"/>
  <c r="AY106" i="5" s="1"/>
  <c r="AZ106" i="5" s="1"/>
  <c r="BB106" i="5" s="1"/>
  <c r="L87" i="5"/>
  <c r="P63" i="5" s="1"/>
  <c r="AA63" i="5" s="1"/>
  <c r="L4" i="5"/>
  <c r="P103" i="5"/>
  <c r="AA103" i="5" s="1"/>
  <c r="L10" i="5"/>
  <c r="L15" i="5"/>
  <c r="L51" i="5"/>
  <c r="L35" i="5"/>
  <c r="S35" i="5" s="1"/>
  <c r="AO35" i="5" s="1"/>
  <c r="AP35" i="5" s="1"/>
  <c r="AQ35" i="5" s="1"/>
  <c r="AS35" i="5" s="1"/>
  <c r="L62" i="5"/>
  <c r="S56" i="5" s="1"/>
  <c r="AO56" i="5" s="1"/>
  <c r="AP56" i="5" s="1"/>
  <c r="AQ56" i="5" s="1"/>
  <c r="AS56" i="5" s="1"/>
  <c r="L98" i="5"/>
  <c r="P98" i="5" s="1"/>
  <c r="AA98" i="5" s="1"/>
  <c r="AB98" i="5" s="1"/>
  <c r="AC98" i="5" s="1"/>
  <c r="L47" i="5"/>
  <c r="L82" i="5"/>
  <c r="L133" i="5"/>
  <c r="S54" i="5" s="1"/>
  <c r="AO54" i="5" s="1"/>
  <c r="AP54" i="5" s="1"/>
  <c r="AQ54" i="5" s="1"/>
  <c r="AS54" i="5" s="1"/>
  <c r="L116" i="5"/>
  <c r="L129" i="5"/>
  <c r="P129" i="5" s="1"/>
  <c r="AA129" i="5" s="1"/>
  <c r="AB129" i="5" s="1"/>
  <c r="AC129" i="5" s="1"/>
  <c r="L131" i="5"/>
  <c r="S131" i="5" s="1"/>
  <c r="AO131" i="5" s="1"/>
  <c r="AP131" i="5" s="1"/>
  <c r="AQ131" i="5" s="1"/>
  <c r="AS131" i="5" s="1"/>
  <c r="L6" i="5"/>
  <c r="L9" i="5"/>
  <c r="L12" i="5"/>
  <c r="V88" i="5"/>
  <c r="L18" i="5"/>
  <c r="L125" i="5"/>
  <c r="P125" i="5" s="1"/>
  <c r="AA125" i="5" s="1"/>
  <c r="AB125" i="5" s="1"/>
  <c r="AC125" i="5" s="1"/>
  <c r="D190" i="3"/>
  <c r="D191" i="3"/>
  <c r="D192" i="3"/>
  <c r="D193" i="3"/>
  <c r="D194" i="3"/>
  <c r="D195" i="3"/>
  <c r="D196" i="3"/>
  <c r="D268" i="3"/>
  <c r="D269" i="3"/>
  <c r="D270" i="3"/>
  <c r="D271" i="3"/>
  <c r="D272" i="3"/>
  <c r="D273" i="3"/>
  <c r="D274" i="3"/>
  <c r="D197" i="3"/>
  <c r="D198" i="3"/>
  <c r="D199" i="3"/>
  <c r="D200" i="3"/>
  <c r="D201" i="3"/>
  <c r="D202" i="3"/>
  <c r="D203" i="3"/>
  <c r="D275" i="3"/>
  <c r="D276" i="3"/>
  <c r="D277" i="3"/>
  <c r="D278" i="3"/>
  <c r="D279" i="3"/>
  <c r="D280" i="3"/>
  <c r="D281" i="3"/>
  <c r="C96" i="4"/>
  <c r="C97" i="4"/>
  <c r="C98" i="4"/>
  <c r="C99" i="4"/>
  <c r="C100" i="4"/>
  <c r="C101" i="4"/>
  <c r="C102" i="4"/>
  <c r="C135" i="4"/>
  <c r="C136" i="4"/>
  <c r="C137" i="4"/>
  <c r="C138" i="4"/>
  <c r="C139" i="4"/>
  <c r="C140" i="4"/>
  <c r="C141" i="4"/>
  <c r="C18" i="6"/>
  <c r="C19" i="6"/>
  <c r="C20" i="6"/>
  <c r="C21" i="6"/>
  <c r="C22" i="6"/>
  <c r="C23" i="6"/>
  <c r="C24" i="6"/>
  <c r="C25" i="6"/>
  <c r="D222" i="3"/>
  <c r="D223" i="3"/>
  <c r="D224" i="3"/>
  <c r="D225" i="3"/>
  <c r="D252" i="3"/>
  <c r="D230" i="3"/>
  <c r="D231" i="3"/>
  <c r="D232" i="3"/>
  <c r="D233" i="3"/>
  <c r="D234" i="3"/>
  <c r="D235" i="3"/>
  <c r="D236" i="3"/>
  <c r="D237" i="3"/>
  <c r="D238" i="3"/>
  <c r="D239" i="3"/>
  <c r="D204" i="3"/>
  <c r="D205" i="3"/>
  <c r="D206" i="3"/>
  <c r="D207" i="3"/>
  <c r="D208" i="3"/>
  <c r="D209" i="3"/>
  <c r="D210" i="3"/>
  <c r="D211" i="3"/>
  <c r="D212" i="3"/>
  <c r="D240" i="3"/>
  <c r="D253" i="3"/>
  <c r="D254" i="3"/>
  <c r="D255" i="3"/>
  <c r="D256" i="3"/>
  <c r="D257" i="3"/>
  <c r="D258" i="3"/>
  <c r="D259" i="3"/>
  <c r="D226" i="3"/>
  <c r="D227" i="3"/>
  <c r="D228" i="3"/>
  <c r="D229" i="3"/>
  <c r="D260" i="3"/>
  <c r="D241" i="3"/>
  <c r="D242" i="3"/>
  <c r="D243" i="3"/>
  <c r="D244" i="3"/>
  <c r="D245" i="3"/>
  <c r="D246" i="3"/>
  <c r="D247" i="3"/>
  <c r="D248" i="3"/>
  <c r="D249" i="3"/>
  <c r="D250" i="3"/>
  <c r="D213" i="3"/>
  <c r="D214" i="3"/>
  <c r="D215" i="3"/>
  <c r="D216" i="3"/>
  <c r="D217" i="3"/>
  <c r="D218" i="3"/>
  <c r="D219" i="3"/>
  <c r="D220" i="3"/>
  <c r="D221" i="3"/>
  <c r="D251" i="3"/>
  <c r="D261" i="3"/>
  <c r="D262" i="3"/>
  <c r="D263" i="3"/>
  <c r="D264" i="3"/>
  <c r="D265" i="3"/>
  <c r="D266" i="3"/>
  <c r="D267" i="3"/>
  <c r="C112" i="4"/>
  <c r="C113" i="4"/>
  <c r="C114" i="4"/>
  <c r="C115" i="4"/>
  <c r="C127" i="4"/>
  <c r="C116" i="4"/>
  <c r="C117" i="4"/>
  <c r="C118" i="4"/>
  <c r="C119" i="4"/>
  <c r="C120" i="4"/>
  <c r="C121" i="4"/>
  <c r="C122" i="4"/>
  <c r="C123" i="4"/>
  <c r="C124" i="4"/>
  <c r="C125" i="4"/>
  <c r="C103" i="4"/>
  <c r="C104" i="4"/>
  <c r="C105" i="4"/>
  <c r="C106" i="4"/>
  <c r="C107" i="4"/>
  <c r="C108" i="4"/>
  <c r="C109" i="4"/>
  <c r="C110" i="4"/>
  <c r="C111" i="4"/>
  <c r="C126" i="4"/>
  <c r="C128" i="4"/>
  <c r="C129" i="4"/>
  <c r="C130" i="4"/>
  <c r="C131" i="4"/>
  <c r="C132" i="4"/>
  <c r="C133" i="4"/>
  <c r="C134" i="4"/>
  <c r="D156" i="2"/>
  <c r="D218" i="2"/>
  <c r="D155" i="2"/>
  <c r="D283" i="2"/>
  <c r="D153" i="2"/>
  <c r="D212" i="2"/>
  <c r="D152" i="2"/>
  <c r="D154" i="2"/>
  <c r="D150" i="2"/>
  <c r="D100" i="2"/>
  <c r="D149" i="2"/>
  <c r="D206" i="2"/>
  <c r="D147" i="2"/>
  <c r="D216" i="2"/>
  <c r="D214" i="2"/>
  <c r="D53" i="2"/>
  <c r="D213" i="2"/>
  <c r="D275" i="2"/>
  <c r="D211" i="2"/>
  <c r="D49" i="2"/>
  <c r="D210" i="2"/>
  <c r="D27" i="2"/>
  <c r="D208" i="2"/>
  <c r="D17" i="2"/>
  <c r="D207" i="2"/>
  <c r="D47" i="2"/>
  <c r="D205" i="2"/>
  <c r="D51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5" i="2"/>
  <c r="D36" i="2"/>
  <c r="D73" i="2"/>
  <c r="D85" i="2"/>
  <c r="D83" i="2"/>
  <c r="D55" i="2"/>
  <c r="D33" i="2"/>
  <c r="D30" i="2"/>
  <c r="D64" i="2"/>
  <c r="D61" i="2"/>
  <c r="D67" i="2"/>
  <c r="D66" i="2"/>
  <c r="D69" i="2"/>
  <c r="D45" i="2"/>
  <c r="D43" i="2"/>
  <c r="D41" i="2"/>
  <c r="D38" i="2"/>
  <c r="D273" i="2"/>
  <c r="D21" i="2"/>
  <c r="D23" i="2"/>
  <c r="D19" i="2"/>
  <c r="D271" i="2"/>
  <c r="D13" i="2"/>
  <c r="D11" i="2"/>
  <c r="D8" i="2"/>
  <c r="D5" i="2"/>
  <c r="D2" i="2"/>
  <c r="D59" i="2"/>
  <c r="D57" i="2"/>
  <c r="D80" i="2"/>
  <c r="D78" i="2"/>
  <c r="D75" i="2"/>
  <c r="C78" i="5"/>
  <c r="C38" i="5"/>
  <c r="C24" i="5"/>
  <c r="C76" i="5"/>
  <c r="C73" i="5"/>
  <c r="C71" i="5"/>
  <c r="C20" i="5"/>
  <c r="C56" i="5"/>
  <c r="C117" i="5"/>
  <c r="C137" i="5"/>
  <c r="C134" i="5"/>
  <c r="C83" i="5"/>
  <c r="C48" i="5"/>
  <c r="C43" i="5"/>
  <c r="C99" i="5"/>
  <c r="C108" i="5"/>
  <c r="C105" i="5"/>
  <c r="C111" i="5"/>
  <c r="C67" i="5"/>
  <c r="C30" i="5"/>
  <c r="C33" i="5"/>
  <c r="C27" i="5"/>
  <c r="C16" i="5"/>
  <c r="C13" i="5"/>
  <c r="C7" i="5"/>
  <c r="C94" i="5"/>
  <c r="C88" i="5"/>
  <c r="C130" i="5"/>
  <c r="C127" i="5"/>
  <c r="C123" i="5"/>
  <c r="C77" i="5"/>
  <c r="C79" i="5"/>
  <c r="D106" i="3"/>
  <c r="D107" i="3"/>
  <c r="D14" i="3"/>
  <c r="D15" i="3"/>
  <c r="C54" i="4"/>
  <c r="C8" i="4"/>
  <c r="D217" i="2"/>
  <c r="D276" i="2"/>
  <c r="D145" i="2"/>
  <c r="D143" i="2"/>
  <c r="D54" i="2"/>
  <c r="C25" i="5"/>
  <c r="C39" i="5"/>
  <c r="C121" i="5"/>
  <c r="C75" i="5"/>
  <c r="C70" i="5"/>
  <c r="C23" i="5"/>
  <c r="C37" i="5"/>
  <c r="C72" i="5"/>
  <c r="C120" i="5"/>
  <c r="C2" i="4"/>
  <c r="C3" i="4"/>
  <c r="C4" i="4"/>
  <c r="C5" i="4"/>
  <c r="C6" i="4"/>
  <c r="C7" i="4"/>
  <c r="C48" i="4"/>
  <c r="C49" i="4"/>
  <c r="C50" i="4"/>
  <c r="C51" i="4"/>
  <c r="C52" i="4"/>
  <c r="C53" i="4"/>
  <c r="D2" i="3"/>
  <c r="D3" i="3"/>
  <c r="D4" i="3"/>
  <c r="D5" i="3"/>
  <c r="D6" i="3"/>
  <c r="D7" i="3"/>
  <c r="D8" i="3"/>
  <c r="D9" i="3"/>
  <c r="D10" i="3"/>
  <c r="D11" i="3"/>
  <c r="D12" i="3"/>
  <c r="D13" i="3"/>
  <c r="D94" i="3"/>
  <c r="D95" i="3"/>
  <c r="D96" i="3"/>
  <c r="D97" i="3"/>
  <c r="D98" i="3"/>
  <c r="D99" i="3"/>
  <c r="D100" i="3"/>
  <c r="D101" i="3"/>
  <c r="D102" i="3"/>
  <c r="D103" i="3"/>
  <c r="D104" i="3"/>
  <c r="D105" i="3"/>
  <c r="D52" i="2"/>
  <c r="D136" i="2"/>
  <c r="D48" i="2"/>
  <c r="D137" i="2"/>
  <c r="D18" i="2"/>
  <c r="D139" i="2"/>
  <c r="D28" i="2"/>
  <c r="D140" i="2"/>
  <c r="D50" i="2"/>
  <c r="D142" i="2"/>
  <c r="D267" i="2"/>
  <c r="D215" i="2"/>
  <c r="D264" i="2"/>
  <c r="D173" i="2"/>
  <c r="D266" i="2"/>
  <c r="D99" i="2"/>
  <c r="D268" i="2"/>
  <c r="D151" i="2"/>
  <c r="D270" i="2"/>
  <c r="D209" i="2"/>
  <c r="D272" i="2"/>
  <c r="D282" i="2"/>
  <c r="D274" i="2"/>
  <c r="C129" i="5"/>
  <c r="C131" i="5"/>
  <c r="C90" i="5"/>
  <c r="C96" i="5"/>
  <c r="C6" i="5"/>
  <c r="C9" i="5"/>
  <c r="C12" i="5"/>
  <c r="C18" i="5"/>
  <c r="C52" i="5"/>
  <c r="C29" i="5"/>
  <c r="C32" i="5"/>
  <c r="C61" i="5"/>
  <c r="C64" i="5"/>
  <c r="C66" i="5"/>
  <c r="C69" i="5"/>
  <c r="C113" i="5"/>
  <c r="C107" i="5"/>
  <c r="C110" i="5"/>
  <c r="C101" i="5"/>
  <c r="C104" i="5"/>
  <c r="C45" i="5"/>
  <c r="C50" i="5"/>
  <c r="C85" i="5"/>
  <c r="C136" i="5"/>
  <c r="C139" i="5"/>
  <c r="C119" i="5"/>
  <c r="C58" i="5"/>
  <c r="C22" i="5"/>
  <c r="C122" i="5"/>
  <c r="C87" i="5"/>
  <c r="C93" i="5"/>
  <c r="C4" i="5"/>
  <c r="C10" i="5"/>
  <c r="C15" i="5"/>
  <c r="C51" i="5"/>
  <c r="C35" i="5"/>
  <c r="C62" i="5"/>
  <c r="C98" i="5"/>
  <c r="C42" i="5"/>
  <c r="C47" i="5"/>
  <c r="C82" i="5"/>
  <c r="C133" i="5"/>
  <c r="C116" i="5"/>
  <c r="C55" i="5"/>
  <c r="C19" i="5"/>
  <c r="C91" i="5"/>
  <c r="C2" i="5"/>
  <c r="C40" i="5"/>
  <c r="C46" i="5"/>
  <c r="C80" i="5"/>
  <c r="C132" i="5"/>
  <c r="C114" i="5"/>
  <c r="C53" i="5"/>
  <c r="C125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2" i="6"/>
  <c r="C31" i="4"/>
  <c r="C32" i="4"/>
  <c r="C33" i="4"/>
  <c r="C34" i="4"/>
  <c r="C35" i="4"/>
  <c r="C9" i="4"/>
  <c r="C10" i="4"/>
  <c r="C11" i="4"/>
  <c r="C12" i="4"/>
  <c r="C13" i="4"/>
  <c r="C14" i="4"/>
  <c r="C15" i="4"/>
  <c r="C16" i="4"/>
  <c r="C17" i="4"/>
  <c r="C18" i="4"/>
  <c r="C20" i="4"/>
  <c r="C21" i="4"/>
  <c r="C22" i="4"/>
  <c r="C23" i="4"/>
  <c r="C24" i="4"/>
  <c r="C25" i="4"/>
  <c r="C26" i="4"/>
  <c r="C27" i="4"/>
  <c r="C28" i="4"/>
  <c r="C19" i="4"/>
  <c r="C29" i="4"/>
  <c r="C30" i="4"/>
  <c r="C36" i="4"/>
  <c r="C37" i="4"/>
  <c r="C38" i="4"/>
  <c r="C39" i="4"/>
  <c r="C40" i="4"/>
  <c r="C92" i="4"/>
  <c r="C93" i="4"/>
  <c r="C94" i="4"/>
  <c r="C95" i="4"/>
  <c r="C64" i="4"/>
  <c r="C81" i="4"/>
  <c r="C82" i="4"/>
  <c r="C83" i="4"/>
  <c r="C84" i="4"/>
  <c r="C85" i="4"/>
  <c r="C86" i="4"/>
  <c r="C87" i="4"/>
  <c r="C88" i="4"/>
  <c r="C89" i="4"/>
  <c r="C90" i="4"/>
  <c r="C70" i="4"/>
  <c r="C71" i="4"/>
  <c r="C72" i="4"/>
  <c r="C73" i="4"/>
  <c r="C74" i="4"/>
  <c r="C75" i="4"/>
  <c r="C76" i="4"/>
  <c r="C77" i="4"/>
  <c r="C78" i="4"/>
  <c r="C91" i="4"/>
  <c r="C65" i="4"/>
  <c r="C66" i="4"/>
  <c r="C79" i="4"/>
  <c r="C80" i="4"/>
  <c r="C67" i="4"/>
  <c r="C68" i="4"/>
  <c r="C69" i="4"/>
  <c r="C41" i="4"/>
  <c r="C42" i="4"/>
  <c r="C43" i="4"/>
  <c r="C55" i="4"/>
  <c r="C44" i="4"/>
  <c r="C45" i="4"/>
  <c r="C46" i="4"/>
  <c r="C56" i="4"/>
  <c r="C57" i="4"/>
  <c r="C58" i="4"/>
  <c r="C47" i="4"/>
  <c r="C59" i="4"/>
  <c r="C60" i="4"/>
  <c r="C61" i="4"/>
  <c r="C62" i="4"/>
  <c r="C63" i="4"/>
  <c r="D61" i="3"/>
  <c r="D62" i="3"/>
  <c r="D63" i="3"/>
  <c r="D68" i="3"/>
  <c r="D16" i="3"/>
  <c r="D17" i="3"/>
  <c r="D18" i="3"/>
  <c r="D19" i="3"/>
  <c r="D20" i="3"/>
  <c r="D21" i="3"/>
  <c r="D22" i="3"/>
  <c r="D23" i="3"/>
  <c r="D24" i="3"/>
  <c r="D25" i="3"/>
  <c r="D38" i="3"/>
  <c r="D39" i="3"/>
  <c r="D40" i="3"/>
  <c r="D41" i="3"/>
  <c r="D42" i="3"/>
  <c r="D43" i="3"/>
  <c r="D44" i="3"/>
  <c r="D45" i="3"/>
  <c r="D46" i="3"/>
  <c r="D26" i="3"/>
  <c r="D47" i="3"/>
  <c r="D48" i="3"/>
  <c r="D69" i="3"/>
  <c r="D70" i="3"/>
  <c r="D71" i="3"/>
  <c r="D72" i="3"/>
  <c r="D73" i="3"/>
  <c r="D64" i="3"/>
  <c r="D65" i="3"/>
  <c r="D66" i="3"/>
  <c r="D67" i="3"/>
  <c r="D74" i="3"/>
  <c r="D27" i="3"/>
  <c r="D28" i="3"/>
  <c r="D29" i="3"/>
  <c r="D30" i="3"/>
  <c r="D31" i="3"/>
  <c r="D32" i="3"/>
  <c r="D33" i="3"/>
  <c r="D34" i="3"/>
  <c r="D35" i="3"/>
  <c r="D36" i="3"/>
  <c r="D49" i="3"/>
  <c r="D50" i="3"/>
  <c r="D51" i="3"/>
  <c r="D52" i="3"/>
  <c r="D53" i="3"/>
  <c r="D54" i="3"/>
  <c r="D55" i="3"/>
  <c r="D56" i="3"/>
  <c r="D57" i="3"/>
  <c r="D37" i="3"/>
  <c r="D58" i="3"/>
  <c r="D59" i="3"/>
  <c r="D75" i="3"/>
  <c r="D76" i="3"/>
  <c r="D77" i="3"/>
  <c r="D78" i="3"/>
  <c r="D79" i="3"/>
  <c r="D182" i="3"/>
  <c r="D183" i="3"/>
  <c r="D184" i="3"/>
  <c r="D185" i="3"/>
  <c r="D126" i="3"/>
  <c r="D160" i="3"/>
  <c r="D161" i="3"/>
  <c r="D162" i="3"/>
  <c r="D163" i="3"/>
  <c r="D164" i="3"/>
  <c r="D165" i="3"/>
  <c r="D166" i="3"/>
  <c r="D167" i="3"/>
  <c r="D168" i="3"/>
  <c r="D169" i="3"/>
  <c r="D138" i="3"/>
  <c r="D139" i="3"/>
  <c r="D140" i="3"/>
  <c r="D141" i="3"/>
  <c r="D142" i="3"/>
  <c r="D143" i="3"/>
  <c r="D144" i="3"/>
  <c r="D145" i="3"/>
  <c r="D146" i="3"/>
  <c r="D170" i="3"/>
  <c r="D127" i="3"/>
  <c r="D128" i="3"/>
  <c r="D147" i="3"/>
  <c r="D148" i="3"/>
  <c r="D129" i="3"/>
  <c r="D130" i="3"/>
  <c r="D131" i="3"/>
  <c r="D186" i="3"/>
  <c r="D187" i="3"/>
  <c r="D188" i="3"/>
  <c r="D189" i="3"/>
  <c r="D132" i="3"/>
  <c r="D171" i="3"/>
  <c r="D172" i="3"/>
  <c r="D173" i="3"/>
  <c r="D174" i="3"/>
  <c r="D175" i="3"/>
  <c r="D176" i="3"/>
  <c r="D177" i="3"/>
  <c r="D178" i="3"/>
  <c r="D179" i="3"/>
  <c r="D180" i="3"/>
  <c r="D149" i="3"/>
  <c r="D150" i="3"/>
  <c r="D151" i="3"/>
  <c r="D152" i="3"/>
  <c r="D153" i="3"/>
  <c r="D154" i="3"/>
  <c r="D155" i="3"/>
  <c r="D156" i="3"/>
  <c r="D157" i="3"/>
  <c r="D181" i="3"/>
  <c r="D133" i="3"/>
  <c r="D134" i="3"/>
  <c r="D158" i="3"/>
  <c r="D159" i="3"/>
  <c r="D135" i="3"/>
  <c r="D136" i="3"/>
  <c r="D137" i="3"/>
  <c r="D80" i="3"/>
  <c r="D81" i="3"/>
  <c r="D82" i="3"/>
  <c r="D108" i="3"/>
  <c r="D83" i="3"/>
  <c r="D84" i="3"/>
  <c r="D85" i="3"/>
  <c r="D109" i="3"/>
  <c r="D110" i="3"/>
  <c r="D111" i="3"/>
  <c r="D86" i="3"/>
  <c r="D112" i="3"/>
  <c r="D113" i="3"/>
  <c r="D114" i="3"/>
  <c r="D115" i="3"/>
  <c r="D116" i="3"/>
  <c r="D87" i="3"/>
  <c r="D88" i="3"/>
  <c r="D89" i="3"/>
  <c r="D117" i="3"/>
  <c r="D90" i="3"/>
  <c r="D91" i="3"/>
  <c r="D92" i="3"/>
  <c r="D118" i="3"/>
  <c r="D119" i="3"/>
  <c r="D120" i="3"/>
  <c r="D93" i="3"/>
  <c r="D121" i="3"/>
  <c r="D122" i="3"/>
  <c r="D123" i="3"/>
  <c r="D124" i="3"/>
  <c r="D125" i="3"/>
  <c r="D60" i="3"/>
  <c r="D79" i="2"/>
  <c r="D81" i="2"/>
  <c r="D58" i="2"/>
  <c r="D60" i="2"/>
  <c r="D4" i="2"/>
  <c r="D7" i="2"/>
  <c r="D10" i="2"/>
  <c r="D35" i="2"/>
  <c r="D24" i="2"/>
  <c r="D22" i="2"/>
  <c r="D26" i="2"/>
  <c r="D40" i="2"/>
  <c r="D42" i="2"/>
  <c r="D44" i="2"/>
  <c r="D46" i="2"/>
  <c r="D71" i="2"/>
  <c r="D265" i="2"/>
  <c r="D68" i="2"/>
  <c r="D63" i="2"/>
  <c r="D65" i="2"/>
  <c r="D31" i="2"/>
  <c r="D34" i="2"/>
  <c r="D56" i="2"/>
  <c r="D84" i="2"/>
  <c r="D86" i="2"/>
  <c r="D74" i="2"/>
  <c r="D37" i="2"/>
  <c r="D16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284" i="2"/>
  <c r="D286" i="2"/>
  <c r="D288" i="2"/>
  <c r="D221" i="2"/>
  <c r="D223" i="2"/>
  <c r="D87" i="2"/>
  <c r="D89" i="2"/>
  <c r="D91" i="2"/>
  <c r="D93" i="2"/>
  <c r="D95" i="2"/>
  <c r="D161" i="2"/>
  <c r="D101" i="2"/>
  <c r="D141" i="2"/>
  <c r="D135" i="2"/>
  <c r="D146" i="2"/>
  <c r="D165" i="2"/>
  <c r="D167" i="2"/>
  <c r="D169" i="2"/>
  <c r="D171" i="2"/>
  <c r="D278" i="2"/>
  <c r="D229" i="2"/>
  <c r="D231" i="2"/>
  <c r="D225" i="2"/>
  <c r="D227" i="2"/>
  <c r="D157" i="2"/>
  <c r="D159" i="2"/>
  <c r="D219" i="2"/>
  <c r="D290" i="2"/>
  <c r="D292" i="2"/>
  <c r="D280" i="2"/>
  <c r="D163" i="2"/>
  <c r="D97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76" i="2"/>
  <c r="V98" i="5" l="1"/>
  <c r="AX98" i="5" s="1"/>
  <c r="AY98" i="5" s="1"/>
  <c r="AZ98" i="5" s="1"/>
  <c r="BB98" i="5" s="1"/>
  <c r="S133" i="5"/>
  <c r="AO133" i="5" s="1"/>
  <c r="AP133" i="5" s="1"/>
  <c r="AQ133" i="5" s="1"/>
  <c r="AS133" i="5" s="1"/>
  <c r="S71" i="5"/>
  <c r="AO71" i="5" s="1"/>
  <c r="AP71" i="5" s="1"/>
  <c r="AQ71" i="5" s="1"/>
  <c r="AS71" i="5" s="1"/>
  <c r="V129" i="5"/>
  <c r="AX129" i="5" s="1"/>
  <c r="AY129" i="5" s="1"/>
  <c r="AZ129" i="5" s="1"/>
  <c r="BB129" i="5" s="1"/>
  <c r="V125" i="5"/>
  <c r="AX125" i="5" s="1"/>
  <c r="AY125" i="5" s="1"/>
  <c r="AZ125" i="5" s="1"/>
  <c r="BB125" i="5" s="1"/>
  <c r="V35" i="5"/>
  <c r="P78" i="5"/>
  <c r="AA78" i="5" s="1"/>
  <c r="AB78" i="5" s="1"/>
  <c r="P133" i="5"/>
  <c r="AA133" i="5" s="1"/>
  <c r="AB133" i="5" s="1"/>
  <c r="AC133" i="5" s="1"/>
  <c r="AE133" i="5" s="1"/>
  <c r="AF133" i="5" s="1"/>
  <c r="V131" i="5"/>
  <c r="AX131" i="5" s="1"/>
  <c r="AY131" i="5" s="1"/>
  <c r="AZ131" i="5" s="1"/>
  <c r="BB131" i="5" s="1"/>
  <c r="AE129" i="5"/>
  <c r="AF129" i="5" s="1"/>
  <c r="AH129" i="5"/>
  <c r="AJ129" i="5" s="1"/>
  <c r="AE125" i="5"/>
  <c r="AF125" i="5" s="1"/>
  <c r="AH125" i="5"/>
  <c r="AJ125" i="5" s="1"/>
  <c r="AH134" i="5"/>
  <c r="AJ134" i="5" s="1"/>
  <c r="AE134" i="5"/>
  <c r="AF134" i="5" s="1"/>
  <c r="P76" i="5"/>
  <c r="AA76" i="5" s="1"/>
  <c r="AB76" i="5" s="1"/>
  <c r="P131" i="5"/>
  <c r="AA131" i="5" s="1"/>
  <c r="AB131" i="5" s="1"/>
  <c r="AC131" i="5" s="1"/>
  <c r="V133" i="5"/>
  <c r="AX133" i="5" s="1"/>
  <c r="AY133" i="5" s="1"/>
  <c r="AZ133" i="5" s="1"/>
  <c r="BB133" i="5" s="1"/>
  <c r="V71" i="5"/>
  <c r="S76" i="5"/>
  <c r="AO76" i="5" s="1"/>
  <c r="AP76" i="5" s="1"/>
  <c r="AQ76" i="5" s="1"/>
  <c r="AS76" i="5" s="1"/>
  <c r="AE127" i="5"/>
  <c r="AF127" i="5" s="1"/>
  <c r="AH127" i="5"/>
  <c r="AJ127" i="5" s="1"/>
  <c r="S77" i="5"/>
  <c r="AO77" i="5" s="1"/>
  <c r="S78" i="5"/>
  <c r="AO78" i="5" s="1"/>
  <c r="AP78" i="5" s="1"/>
  <c r="AQ78" i="5" s="1"/>
  <c r="AS78" i="5" s="1"/>
  <c r="V77" i="5"/>
  <c r="AX77" i="5" s="1"/>
  <c r="AY77" i="5" s="1"/>
  <c r="AZ77" i="5" s="1"/>
  <c r="AE130" i="5"/>
  <c r="AF130" i="5" s="1"/>
  <c r="AH130" i="5"/>
  <c r="AJ130" i="5" s="1"/>
  <c r="V74" i="5"/>
  <c r="AE99" i="5"/>
  <c r="AF99" i="5" s="1"/>
  <c r="AH99" i="5"/>
  <c r="AJ99" i="5" s="1"/>
  <c r="P116" i="5"/>
  <c r="AA116" i="5" s="1"/>
  <c r="AB116" i="5" s="1"/>
  <c r="P74" i="5"/>
  <c r="AA74" i="5" s="1"/>
  <c r="AB74" i="5" s="1"/>
  <c r="AY137" i="5"/>
  <c r="AZ137" i="5"/>
  <c r="BB137" i="5" s="1"/>
  <c r="S129" i="5"/>
  <c r="AO129" i="5" s="1"/>
  <c r="AP129" i="5" s="1"/>
  <c r="AQ129" i="5" s="1"/>
  <c r="AS129" i="5" s="1"/>
  <c r="S74" i="5"/>
  <c r="AO74" i="5" s="1"/>
  <c r="AP74" i="5" s="1"/>
  <c r="AQ74" i="5" s="1"/>
  <c r="AS74" i="5" s="1"/>
  <c r="AE98" i="5"/>
  <c r="AF98" i="5" s="1"/>
  <c r="AH98" i="5"/>
  <c r="AJ98" i="5" s="1"/>
  <c r="V82" i="5"/>
  <c r="S88" i="5"/>
  <c r="AO88" i="5" s="1"/>
  <c r="AP88" i="5" s="1"/>
  <c r="AQ88" i="5" s="1"/>
  <c r="AS88" i="5" s="1"/>
  <c r="P48" i="5"/>
  <c r="AA48" i="5" s="1"/>
  <c r="AB48" i="5" s="1"/>
  <c r="V103" i="5"/>
  <c r="AX103" i="5" s="1"/>
  <c r="AY103" i="5" s="1"/>
  <c r="AZ103" i="5" s="1"/>
  <c r="BB103" i="5" s="1"/>
  <c r="AB103" i="5"/>
  <c r="AC103" i="5" s="1"/>
  <c r="S106" i="5"/>
  <c r="AO106" i="5" s="1"/>
  <c r="AP106" i="5" s="1"/>
  <c r="AQ106" i="5" s="1"/>
  <c r="AS106" i="5" s="1"/>
  <c r="P88" i="5"/>
  <c r="AA88" i="5" s="1"/>
  <c r="AB88" i="5" s="1"/>
  <c r="P64" i="5"/>
  <c r="AA64" i="5" s="1"/>
  <c r="AB64" i="5" s="1"/>
  <c r="P41" i="5"/>
  <c r="AA41" i="5" s="1"/>
  <c r="AB41" i="5" s="1"/>
  <c r="P51" i="5"/>
  <c r="AA51" i="5" s="1"/>
  <c r="AB51" i="5" s="1"/>
  <c r="S41" i="5"/>
  <c r="AO41" i="5" s="1"/>
  <c r="AP41" i="5" s="1"/>
  <c r="V59" i="5"/>
  <c r="AX59" i="5" s="1"/>
  <c r="AY59" i="5" s="1"/>
  <c r="AZ59" i="5" s="1"/>
  <c r="P122" i="5"/>
  <c r="AA122" i="5" s="1"/>
  <c r="AB122" i="5" s="1"/>
  <c r="AC122" i="5" s="1"/>
  <c r="S103" i="5"/>
  <c r="AO103" i="5" s="1"/>
  <c r="AP103" i="5" s="1"/>
  <c r="AQ103" i="5" s="1"/>
  <c r="AS103" i="5" s="1"/>
  <c r="S116" i="5"/>
  <c r="AO116" i="5" s="1"/>
  <c r="AP116" i="5" s="1"/>
  <c r="AQ116" i="5" s="1"/>
  <c r="AS116" i="5" s="1"/>
  <c r="P65" i="5"/>
  <c r="AA65" i="5" s="1"/>
  <c r="AB65" i="5" s="1"/>
  <c r="S124" i="5"/>
  <c r="AO124" i="5" s="1"/>
  <c r="AP124" i="5" s="1"/>
  <c r="AQ124" i="5" s="1"/>
  <c r="AS124" i="5" s="1"/>
  <c r="V41" i="5"/>
  <c r="V116" i="5"/>
  <c r="AX116" i="5" s="1"/>
  <c r="AY116" i="5" s="1"/>
  <c r="AZ116" i="5" s="1"/>
  <c r="BB116" i="5" s="1"/>
  <c r="V124" i="5"/>
  <c r="P124" i="5"/>
  <c r="AA124" i="5" s="1"/>
  <c r="AB124" i="5" s="1"/>
  <c r="AC124" i="5" s="1"/>
  <c r="AH124" i="5" s="1"/>
  <c r="AJ124" i="5" s="1"/>
  <c r="S65" i="5"/>
  <c r="AO65" i="5" s="1"/>
  <c r="AP65" i="5" s="1"/>
  <c r="AQ65" i="5" s="1"/>
  <c r="AS65" i="5" s="1"/>
  <c r="S123" i="5"/>
  <c r="AO123" i="5" s="1"/>
  <c r="AP123" i="5" s="1"/>
  <c r="AQ123" i="5" s="1"/>
  <c r="AS123" i="5" s="1"/>
  <c r="P123" i="5"/>
  <c r="AA123" i="5" s="1"/>
  <c r="AB123" i="5" s="1"/>
  <c r="V123" i="5"/>
  <c r="AX123" i="5" s="1"/>
  <c r="AY123" i="5" s="1"/>
  <c r="AZ123" i="5" s="1"/>
  <c r="BB123" i="5" s="1"/>
  <c r="AP77" i="5"/>
  <c r="AQ77" i="5" s="1"/>
  <c r="S51" i="5"/>
  <c r="AO51" i="5" s="1"/>
  <c r="AP51" i="5" s="1"/>
  <c r="AQ51" i="5" s="1"/>
  <c r="AS51" i="5" s="1"/>
  <c r="S37" i="5"/>
  <c r="AO37" i="5" s="1"/>
  <c r="AP37" i="5" s="1"/>
  <c r="AQ37" i="5" s="1"/>
  <c r="AS37" i="5" s="1"/>
  <c r="V51" i="5"/>
  <c r="V72" i="5"/>
  <c r="AX72" i="5" s="1"/>
  <c r="AY72" i="5" s="1"/>
  <c r="AZ72" i="5" s="1"/>
  <c r="V37" i="5"/>
  <c r="S112" i="5"/>
  <c r="AO112" i="5" s="1"/>
  <c r="AP112" i="5" s="1"/>
  <c r="AQ112" i="5" s="1"/>
  <c r="AS112" i="5" s="1"/>
  <c r="P106" i="5"/>
  <c r="AA106" i="5" s="1"/>
  <c r="V102" i="5"/>
  <c r="AX102" i="5" s="1"/>
  <c r="AY102" i="5" s="1"/>
  <c r="AZ102" i="5" s="1"/>
  <c r="BB102" i="5" s="1"/>
  <c r="S102" i="5"/>
  <c r="AO102" i="5" s="1"/>
  <c r="AP102" i="5" s="1"/>
  <c r="AQ102" i="5" s="1"/>
  <c r="AS102" i="5" s="1"/>
  <c r="P37" i="5"/>
  <c r="AA37" i="5" s="1"/>
  <c r="AB37" i="5" s="1"/>
  <c r="S68" i="5"/>
  <c r="AO68" i="5" s="1"/>
  <c r="AP68" i="5" s="1"/>
  <c r="AQ68" i="5" s="1"/>
  <c r="AS68" i="5" s="1"/>
  <c r="AA68" i="5"/>
  <c r="AB68" i="5" s="1"/>
  <c r="P112" i="5"/>
  <c r="AA112" i="5" s="1"/>
  <c r="S66" i="5"/>
  <c r="AO66" i="5" s="1"/>
  <c r="AP66" i="5" s="1"/>
  <c r="AQ66" i="5" s="1"/>
  <c r="AS66" i="5" s="1"/>
  <c r="P35" i="5"/>
  <c r="AA35" i="5" s="1"/>
  <c r="AB35" i="5" s="1"/>
  <c r="S72" i="5"/>
  <c r="V122" i="5"/>
  <c r="AX122" i="5" s="1"/>
  <c r="S122" i="5"/>
  <c r="AO122" i="5" s="1"/>
  <c r="AP122" i="5" s="1"/>
  <c r="AQ122" i="5" s="1"/>
  <c r="AS122" i="5" s="1"/>
  <c r="P66" i="5"/>
  <c r="AA66" i="5" s="1"/>
  <c r="AB66" i="5" s="1"/>
  <c r="P102" i="5"/>
  <c r="AA102" i="5" s="1"/>
  <c r="AX75" i="5"/>
  <c r="AY75" i="5" s="1"/>
  <c r="AZ75" i="5" s="1"/>
  <c r="AX35" i="5"/>
  <c r="AY35" i="5" s="1"/>
  <c r="AZ35" i="5" s="1"/>
  <c r="AC79" i="5"/>
  <c r="AC78" i="5"/>
  <c r="P84" i="5"/>
  <c r="AA84" i="5" s="1"/>
  <c r="AB84" i="5" s="1"/>
  <c r="S82" i="5"/>
  <c r="AO82" i="5" s="1"/>
  <c r="AP82" i="5" s="1"/>
  <c r="AQ82" i="5" s="1"/>
  <c r="V56" i="5"/>
  <c r="AX56" i="5" s="1"/>
  <c r="AY56" i="5" s="1"/>
  <c r="AZ56" i="5" s="1"/>
  <c r="P82" i="5"/>
  <c r="AA82" i="5" s="1"/>
  <c r="AB82" i="5" s="1"/>
  <c r="AB3" i="5"/>
  <c r="AB63" i="5"/>
  <c r="P62" i="5"/>
  <c r="AA62" i="5" s="1"/>
  <c r="AB62" i="5" s="1"/>
  <c r="V62" i="5"/>
  <c r="V36" i="5"/>
  <c r="AX36" i="5" s="1"/>
  <c r="S36" i="5"/>
  <c r="AO36" i="5" s="1"/>
  <c r="AP36" i="5" s="1"/>
  <c r="AQ36" i="5" s="1"/>
  <c r="AS36" i="5" s="1"/>
  <c r="P36" i="5"/>
  <c r="AA36" i="5" s="1"/>
  <c r="S49" i="5"/>
  <c r="AO49" i="5" s="1"/>
  <c r="AP49" i="5" s="1"/>
  <c r="AQ49" i="5" s="1"/>
  <c r="AS49" i="5" s="1"/>
  <c r="V49" i="5"/>
  <c r="AX49" i="5" s="1"/>
  <c r="AY49" i="5" s="1"/>
  <c r="AZ49" i="5" s="1"/>
  <c r="P61" i="5"/>
  <c r="AA61" i="5" s="1"/>
  <c r="V61" i="5"/>
  <c r="AX61" i="5" s="1"/>
  <c r="AY61" i="5" s="1"/>
  <c r="AZ61" i="5" s="1"/>
  <c r="S61" i="5"/>
  <c r="AO61" i="5" s="1"/>
  <c r="AP61" i="5" s="1"/>
  <c r="AQ61" i="5" s="1"/>
  <c r="AS61" i="5" s="1"/>
  <c r="P56" i="5"/>
  <c r="AA56" i="5" s="1"/>
  <c r="V54" i="5"/>
  <c r="S57" i="5"/>
  <c r="AO57" i="5" s="1"/>
  <c r="AP57" i="5" s="1"/>
  <c r="AQ57" i="5" s="1"/>
  <c r="AS57" i="5" s="1"/>
  <c r="V57" i="5"/>
  <c r="AX57" i="5" s="1"/>
  <c r="V3" i="5"/>
  <c r="AX3" i="5" s="1"/>
  <c r="S3" i="5"/>
  <c r="AO3" i="5" s="1"/>
  <c r="AP3" i="5" s="1"/>
  <c r="AQ3" i="5" s="1"/>
  <c r="AS3" i="5" s="1"/>
  <c r="AB71" i="5"/>
  <c r="V64" i="5"/>
  <c r="AX65" i="5" s="1"/>
  <c r="AY65" i="5" s="1"/>
  <c r="AZ65" i="5" s="1"/>
  <c r="S64" i="5"/>
  <c r="AO64" i="5" s="1"/>
  <c r="AP64" i="5" s="1"/>
  <c r="AQ64" i="5" s="1"/>
  <c r="AS64" i="5" s="1"/>
  <c r="V5" i="5"/>
  <c r="AX5" i="5" s="1"/>
  <c r="AY5" i="5" s="1"/>
  <c r="AZ5" i="5" s="1"/>
  <c r="S5" i="5"/>
  <c r="AO5" i="5" s="1"/>
  <c r="AP5" i="5" s="1"/>
  <c r="AQ5" i="5" s="1"/>
  <c r="AS5" i="5" s="1"/>
  <c r="AB73" i="5"/>
  <c r="P57" i="5"/>
  <c r="AA57" i="5" s="1"/>
  <c r="AB57" i="5" s="1"/>
  <c r="V67" i="5"/>
  <c r="S67" i="5"/>
  <c r="AO67" i="5" s="1"/>
  <c r="AP67" i="5" s="1"/>
  <c r="AQ67" i="5" s="1"/>
  <c r="AS67" i="5" s="1"/>
  <c r="S48" i="5"/>
  <c r="AO48" i="5" s="1"/>
  <c r="AP48" i="5" s="1"/>
  <c r="AQ48" i="5" s="1"/>
  <c r="AS48" i="5" s="1"/>
  <c r="V48" i="5"/>
  <c r="AX48" i="5" s="1"/>
  <c r="AY48" i="5" s="1"/>
  <c r="AZ48" i="5" s="1"/>
  <c r="BB48" i="5" s="1"/>
  <c r="S62" i="5"/>
  <c r="AO62" i="5" s="1"/>
  <c r="P59" i="5"/>
  <c r="AA59" i="5" s="1"/>
  <c r="S59" i="5"/>
  <c r="AO59" i="5" s="1"/>
  <c r="AP59" i="5" s="1"/>
  <c r="AQ59" i="5" s="1"/>
  <c r="AS59" i="5" s="1"/>
  <c r="P67" i="5"/>
  <c r="AA67" i="5" s="1"/>
  <c r="P49" i="5"/>
  <c r="AA49" i="5" s="1"/>
  <c r="AB72" i="5"/>
  <c r="P54" i="5"/>
  <c r="AA54" i="5" s="1"/>
  <c r="V55" i="5"/>
  <c r="AX55" i="5" s="1"/>
  <c r="S55" i="5"/>
  <c r="AO55" i="5" s="1"/>
  <c r="AP55" i="5" s="1"/>
  <c r="AQ55" i="5" s="1"/>
  <c r="AS55" i="5" s="1"/>
  <c r="V60" i="5"/>
  <c r="S60" i="5"/>
  <c r="AO60" i="5" s="1"/>
  <c r="AP60" i="5" s="1"/>
  <c r="AQ60" i="5" s="1"/>
  <c r="AS60" i="5" s="1"/>
  <c r="P60" i="5"/>
  <c r="AA60" i="5" s="1"/>
  <c r="V70" i="5"/>
  <c r="AX70" i="5" s="1"/>
  <c r="AY70" i="5" s="1"/>
  <c r="AZ70" i="5" s="1"/>
  <c r="S70" i="5"/>
  <c r="AO70" i="5" s="1"/>
  <c r="AP70" i="5" s="1"/>
  <c r="AQ70" i="5" s="1"/>
  <c r="AS70" i="5" s="1"/>
  <c r="P39" i="5"/>
  <c r="AA39" i="5" s="1"/>
  <c r="S39" i="5"/>
  <c r="AO39" i="5" s="1"/>
  <c r="AP39" i="5" s="1"/>
  <c r="AQ39" i="5" s="1"/>
  <c r="AS39" i="5" s="1"/>
  <c r="V39" i="5"/>
  <c r="AB77" i="5"/>
  <c r="P55" i="5"/>
  <c r="AA55" i="5" s="1"/>
  <c r="S63" i="5"/>
  <c r="AO63" i="5" s="1"/>
  <c r="AP63" i="5" s="1"/>
  <c r="AQ63" i="5" s="1"/>
  <c r="AS63" i="5" s="1"/>
  <c r="AB81" i="5"/>
  <c r="V84" i="5"/>
  <c r="AX84" i="5" s="1"/>
  <c r="AY84" i="5" s="1"/>
  <c r="AZ84" i="5" s="1"/>
  <c r="V63" i="5"/>
  <c r="AB5" i="5"/>
  <c r="P70" i="5"/>
  <c r="AA70" i="5" s="1"/>
  <c r="V69" i="5"/>
  <c r="P69" i="5"/>
  <c r="AA69" i="5" s="1"/>
  <c r="S69" i="5"/>
  <c r="AO69" i="5" s="1"/>
  <c r="AP69" i="5" s="1"/>
  <c r="AQ69" i="5" s="1"/>
  <c r="AS69" i="5" s="1"/>
  <c r="AB75" i="5"/>
  <c r="AP75" i="5"/>
  <c r="AQ75" i="5" s="1"/>
  <c r="AS75" i="5" s="1"/>
  <c r="V4" i="5"/>
  <c r="AX4" i="5" s="1"/>
  <c r="AY4" i="5" s="1"/>
  <c r="AZ4" i="5" s="1"/>
  <c r="P4" i="5"/>
  <c r="AA4" i="5" s="1"/>
  <c r="S4" i="5"/>
  <c r="AO4" i="5" s="1"/>
  <c r="AP4" i="5" s="1"/>
  <c r="AQ4" i="5" s="1"/>
  <c r="AS4" i="5" s="1"/>
  <c r="V87" i="5"/>
  <c r="AX87" i="5" s="1"/>
  <c r="AY87" i="5" s="1"/>
  <c r="AZ87" i="5" s="1"/>
  <c r="S87" i="5"/>
  <c r="AO87" i="5" s="1"/>
  <c r="P87" i="5"/>
  <c r="AA87" i="5" s="1"/>
  <c r="AB87" i="5" s="1"/>
  <c r="P2" i="5"/>
  <c r="AA2" i="5" s="1"/>
  <c r="V2" i="5"/>
  <c r="AX2" i="5" s="1"/>
  <c r="S6" i="5"/>
  <c r="AO6" i="5" s="1"/>
  <c r="AP6" i="5" s="1"/>
  <c r="AQ6" i="5" s="1"/>
  <c r="AS6" i="5" s="1"/>
  <c r="V6" i="5"/>
  <c r="P6" i="5"/>
  <c r="AA6" i="5" s="1"/>
  <c r="S83" i="5"/>
  <c r="AO83" i="5" s="1"/>
  <c r="AP83" i="5" s="1"/>
  <c r="AQ83" i="5" s="1"/>
  <c r="AS83" i="5" s="1"/>
  <c r="V83" i="5"/>
  <c r="AX83" i="5" s="1"/>
  <c r="P83" i="5"/>
  <c r="AA83" i="5" s="1"/>
  <c r="B20" i="9"/>
  <c r="AH133" i="5" l="1"/>
  <c r="AJ133" i="5" s="1"/>
  <c r="AC74" i="5"/>
  <c r="AH131" i="5"/>
  <c r="AJ131" i="5" s="1"/>
  <c r="AE131" i="5"/>
  <c r="AF131" i="5" s="1"/>
  <c r="AC41" i="5"/>
  <c r="AH41" i="5" s="1"/>
  <c r="AJ41" i="5" s="1"/>
  <c r="AC88" i="5"/>
  <c r="AH88" i="5" s="1"/>
  <c r="AJ88" i="5" s="1"/>
  <c r="AE103" i="5"/>
  <c r="AF103" i="5" s="1"/>
  <c r="AH103" i="5"/>
  <c r="AJ103" i="5" s="1"/>
  <c r="AQ41" i="5"/>
  <c r="AS41" i="5" s="1"/>
  <c r="AE78" i="5"/>
  <c r="AF78" i="5" s="1"/>
  <c r="AH78" i="5"/>
  <c r="AJ78" i="5" s="1"/>
  <c r="AH122" i="5"/>
  <c r="AJ122" i="5" s="1"/>
  <c r="AE122" i="5"/>
  <c r="AF122" i="5" s="1"/>
  <c r="AE124" i="5"/>
  <c r="AF124" i="5" s="1"/>
  <c r="AH74" i="5"/>
  <c r="AJ74" i="5" s="1"/>
  <c r="AE74" i="5"/>
  <c r="AF74" i="5" s="1"/>
  <c r="AH79" i="5"/>
  <c r="AJ79" i="5" s="1"/>
  <c r="AE79" i="5"/>
  <c r="AF79" i="5" s="1"/>
  <c r="AO72" i="5"/>
  <c r="AP72" i="5" s="1"/>
  <c r="AS77" i="5"/>
  <c r="AC66" i="5"/>
  <c r="AC116" i="5"/>
  <c r="AB106" i="5"/>
  <c r="AC106" i="5" s="1"/>
  <c r="AB112" i="5"/>
  <c r="AY122" i="5"/>
  <c r="AZ122" i="5" s="1"/>
  <c r="BB122" i="5" s="1"/>
  <c r="AB102" i="5"/>
  <c r="AC102" i="5" s="1"/>
  <c r="AC123" i="5"/>
  <c r="BB56" i="5"/>
  <c r="BB70" i="5"/>
  <c r="BB77" i="5"/>
  <c r="BB49" i="5"/>
  <c r="BB75" i="5"/>
  <c r="AX60" i="5"/>
  <c r="AY60" i="5" s="1"/>
  <c r="AZ60" i="5" s="1"/>
  <c r="BB60" i="5" s="1"/>
  <c r="AX88" i="5"/>
  <c r="AY88" i="5" s="1"/>
  <c r="AZ88" i="5" s="1"/>
  <c r="BB88" i="5" s="1"/>
  <c r="AX79" i="5"/>
  <c r="AY79" i="5" s="1"/>
  <c r="AZ79" i="5" s="1"/>
  <c r="BB79" i="5" s="1"/>
  <c r="AX73" i="5"/>
  <c r="AX67" i="5"/>
  <c r="AY67" i="5" s="1"/>
  <c r="AZ67" i="5" s="1"/>
  <c r="AX81" i="5"/>
  <c r="AY81" i="5" s="1"/>
  <c r="AZ81" i="5" s="1"/>
  <c r="BB81" i="5" s="1"/>
  <c r="AX63" i="5"/>
  <c r="AY63" i="5" s="1"/>
  <c r="AZ63" i="5" s="1"/>
  <c r="BB63" i="5" s="1"/>
  <c r="AX74" i="5"/>
  <c r="AY74" i="5" s="1"/>
  <c r="AZ74" i="5" s="1"/>
  <c r="BB74" i="5" s="1"/>
  <c r="AX78" i="5"/>
  <c r="AY78" i="5" s="1"/>
  <c r="AZ78" i="5" s="1"/>
  <c r="BB78" i="5" s="1"/>
  <c r="AX54" i="5"/>
  <c r="AY54" i="5" s="1"/>
  <c r="AZ54" i="5" s="1"/>
  <c r="AX37" i="5"/>
  <c r="AY37" i="5" s="1"/>
  <c r="AZ37" i="5" s="1"/>
  <c r="BB37" i="5" s="1"/>
  <c r="BB65" i="5"/>
  <c r="AC77" i="5"/>
  <c r="AC76" i="5"/>
  <c r="AC48" i="5"/>
  <c r="AC65" i="5"/>
  <c r="AC87" i="5"/>
  <c r="AC3" i="5"/>
  <c r="AC75" i="5"/>
  <c r="AC51" i="5"/>
  <c r="AC72" i="5"/>
  <c r="AC37" i="5"/>
  <c r="AC73" i="5"/>
  <c r="AC71" i="5"/>
  <c r="AC5" i="5"/>
  <c r="AC81" i="5"/>
  <c r="AE81" i="5" s="1"/>
  <c r="AC68" i="5"/>
  <c r="AC62" i="5"/>
  <c r="AC35" i="5"/>
  <c r="AC64" i="5"/>
  <c r="AC57" i="5"/>
  <c r="AC63" i="5"/>
  <c r="AC84" i="5"/>
  <c r="AC82" i="5"/>
  <c r="AB55" i="5"/>
  <c r="AY36" i="5"/>
  <c r="AZ36" i="5" s="1"/>
  <c r="AB61" i="5"/>
  <c r="AB36" i="5"/>
  <c r="AB67" i="5"/>
  <c r="AP62" i="5"/>
  <c r="AQ62" i="5" s="1"/>
  <c r="AS62" i="5" s="1"/>
  <c r="AB39" i="5"/>
  <c r="AY55" i="5"/>
  <c r="AZ55" i="5" s="1"/>
  <c r="AB54" i="5"/>
  <c r="AB70" i="5"/>
  <c r="AB60" i="5"/>
  <c r="AY3" i="5"/>
  <c r="AZ3" i="5" s="1"/>
  <c r="AB49" i="5"/>
  <c r="AB59" i="5"/>
  <c r="AY57" i="5"/>
  <c r="AZ57" i="5" s="1"/>
  <c r="AB56" i="5"/>
  <c r="AB69" i="5"/>
  <c r="AB4" i="5"/>
  <c r="AP87" i="5"/>
  <c r="AQ87" i="5" s="1"/>
  <c r="AS87" i="5" s="1"/>
  <c r="AY2" i="5"/>
  <c r="AZ2" i="5" s="1"/>
  <c r="AB2" i="5"/>
  <c r="AB6" i="5"/>
  <c r="AB83" i="5"/>
  <c r="AY83" i="5"/>
  <c r="AZ83" i="5" s="1"/>
  <c r="BB83" i="5" s="1"/>
  <c r="D7" i="9"/>
  <c r="D8" i="9"/>
  <c r="D9" i="9"/>
  <c r="D10" i="9"/>
  <c r="D3" i="9"/>
  <c r="D11" i="9"/>
  <c r="D6" i="9"/>
  <c r="D4" i="9"/>
  <c r="D2" i="9"/>
  <c r="D5" i="9"/>
  <c r="AH62" i="5" l="1"/>
  <c r="AJ62" i="5" s="1"/>
  <c r="AE62" i="5"/>
  <c r="AF62" i="5" s="1"/>
  <c r="AE41" i="5"/>
  <c r="AF41" i="5" s="1"/>
  <c r="AE88" i="5"/>
  <c r="AF88" i="5" s="1"/>
  <c r="AE5" i="5"/>
  <c r="AF5" i="5" s="1"/>
  <c r="AH5" i="5"/>
  <c r="AJ5" i="5" s="1"/>
  <c r="AE123" i="5"/>
  <c r="AF123" i="5" s="1"/>
  <c r="AH123" i="5"/>
  <c r="AJ123" i="5" s="1"/>
  <c r="AH64" i="5"/>
  <c r="AJ64" i="5" s="1"/>
  <c r="AE64" i="5"/>
  <c r="AF64" i="5" s="1"/>
  <c r="AH37" i="5"/>
  <c r="AJ37" i="5" s="1"/>
  <c r="AE37" i="5"/>
  <c r="AF37" i="5" s="1"/>
  <c r="AE82" i="5"/>
  <c r="AF82" i="5" s="1"/>
  <c r="AH82" i="5"/>
  <c r="AJ82" i="5" s="1"/>
  <c r="AE84" i="5"/>
  <c r="AF84" i="5" s="1"/>
  <c r="AH84" i="5"/>
  <c r="AJ84" i="5" s="1"/>
  <c r="AH102" i="5"/>
  <c r="AJ102" i="5" s="1"/>
  <c r="AE102" i="5"/>
  <c r="AF102" i="5" s="1"/>
  <c r="AE116" i="5"/>
  <c r="AF116" i="5" s="1"/>
  <c r="AH116" i="5"/>
  <c r="AJ116" i="5" s="1"/>
  <c r="AH57" i="5"/>
  <c r="AJ57" i="5" s="1"/>
  <c r="AE57" i="5"/>
  <c r="AF57" i="5" s="1"/>
  <c r="AH71" i="5"/>
  <c r="AJ71" i="5" s="1"/>
  <c r="AE71" i="5"/>
  <c r="AF71" i="5" s="1"/>
  <c r="AH72" i="5"/>
  <c r="AJ72" i="5" s="1"/>
  <c r="AE72" i="5"/>
  <c r="AF72" i="5" s="1"/>
  <c r="AE3" i="5"/>
  <c r="AF3" i="5" s="1"/>
  <c r="AH3" i="5"/>
  <c r="AJ3" i="5" s="1"/>
  <c r="AE77" i="5"/>
  <c r="AF77" i="5" s="1"/>
  <c r="AH77" i="5"/>
  <c r="AJ77" i="5" s="1"/>
  <c r="AE68" i="5"/>
  <c r="AF68" i="5" s="1"/>
  <c r="AH68" i="5"/>
  <c r="AJ68" i="5" s="1"/>
  <c r="AH63" i="5"/>
  <c r="AJ63" i="5" s="1"/>
  <c r="AE63" i="5"/>
  <c r="AF63" i="5" s="1"/>
  <c r="AE48" i="5"/>
  <c r="AF48" i="5" s="1"/>
  <c r="AH48" i="5"/>
  <c r="AJ48" i="5" s="1"/>
  <c r="AH66" i="5"/>
  <c r="AJ66" i="5" s="1"/>
  <c r="AE66" i="5"/>
  <c r="AF66" i="5" s="1"/>
  <c r="AE35" i="5"/>
  <c r="AF35" i="5" s="1"/>
  <c r="AH35" i="5"/>
  <c r="AJ35" i="5" s="1"/>
  <c r="AF81" i="5"/>
  <c r="AH81" i="5"/>
  <c r="AJ81" i="5" s="1"/>
  <c r="AH73" i="5"/>
  <c r="AJ73" i="5" s="1"/>
  <c r="AE73" i="5"/>
  <c r="AF73" i="5" s="1"/>
  <c r="AH51" i="5"/>
  <c r="AJ51" i="5" s="1"/>
  <c r="AE51" i="5"/>
  <c r="AF51" i="5" s="1"/>
  <c r="AE87" i="5"/>
  <c r="AF87" i="5" s="1"/>
  <c r="AH87" i="5"/>
  <c r="AJ87" i="5" s="1"/>
  <c r="AE76" i="5"/>
  <c r="AF76" i="5" s="1"/>
  <c r="AH76" i="5"/>
  <c r="AJ76" i="5" s="1"/>
  <c r="AE75" i="5"/>
  <c r="AF75" i="5" s="1"/>
  <c r="AH75" i="5"/>
  <c r="AJ75" i="5" s="1"/>
  <c r="AE65" i="5"/>
  <c r="AH65" i="5"/>
  <c r="AE106" i="5"/>
  <c r="AF106" i="5" s="1"/>
  <c r="AH106" i="5"/>
  <c r="AJ106" i="5" s="1"/>
  <c r="AQ72" i="5"/>
  <c r="AS72" i="5" s="1"/>
  <c r="AC112" i="5"/>
  <c r="BB3" i="5"/>
  <c r="BB59" i="5"/>
  <c r="BB36" i="5"/>
  <c r="BB54" i="5"/>
  <c r="BB84" i="5"/>
  <c r="BB87" i="5"/>
  <c r="BB67" i="5"/>
  <c r="BB35" i="5"/>
  <c r="AY73" i="5"/>
  <c r="AZ73" i="5" s="1"/>
  <c r="BB73" i="5" s="1"/>
  <c r="AC36" i="5"/>
  <c r="AC56" i="5"/>
  <c r="AC6" i="5"/>
  <c r="AC70" i="5"/>
  <c r="AC39" i="5"/>
  <c r="AC61" i="5"/>
  <c r="AC55" i="5"/>
  <c r="AC2" i="5"/>
  <c r="AC54" i="5"/>
  <c r="AC4" i="5"/>
  <c r="AC59" i="5"/>
  <c r="AC67" i="5"/>
  <c r="AC60" i="5"/>
  <c r="AC83" i="5"/>
  <c r="AC69" i="5"/>
  <c r="AC49" i="5"/>
  <c r="AH2" i="5" l="1"/>
  <c r="AJ2" i="5" s="1"/>
  <c r="AE2" i="5"/>
  <c r="AF2" i="5" s="1"/>
  <c r="AE55" i="5"/>
  <c r="AF55" i="5" s="1"/>
  <c r="AH55" i="5"/>
  <c r="AJ55" i="5" s="1"/>
  <c r="AH70" i="5"/>
  <c r="AJ70" i="5" s="1"/>
  <c r="AE70" i="5"/>
  <c r="AF70" i="5" s="1"/>
  <c r="AH36" i="5"/>
  <c r="AJ36" i="5" s="1"/>
  <c r="AE36" i="5"/>
  <c r="AF36" i="5" s="1"/>
  <c r="AJ65" i="5"/>
  <c r="AF65" i="5"/>
  <c r="AE69" i="5"/>
  <c r="AF69" i="5" s="1"/>
  <c r="AH69" i="5"/>
  <c r="AJ69" i="5" s="1"/>
  <c r="AE61" i="5"/>
  <c r="AF61" i="5" s="1"/>
  <c r="AH61" i="5"/>
  <c r="AJ61" i="5" s="1"/>
  <c r="AE6" i="5"/>
  <c r="AF6" i="5" s="1"/>
  <c r="AH6" i="5"/>
  <c r="AJ6" i="5" s="1"/>
  <c r="AH83" i="5"/>
  <c r="AJ83" i="5" s="1"/>
  <c r="AE83" i="5"/>
  <c r="AF83" i="5" s="1"/>
  <c r="AE67" i="5"/>
  <c r="AF67" i="5" s="1"/>
  <c r="AH67" i="5"/>
  <c r="AJ67" i="5" s="1"/>
  <c r="AH4" i="5"/>
  <c r="AJ4" i="5" s="1"/>
  <c r="AE4" i="5"/>
  <c r="AF4" i="5" s="1"/>
  <c r="AH54" i="5"/>
  <c r="AJ54" i="5" s="1"/>
  <c r="AE54" i="5"/>
  <c r="AF54" i="5" s="1"/>
  <c r="AE39" i="5"/>
  <c r="AF39" i="5" s="1"/>
  <c r="AH39" i="5"/>
  <c r="AJ39" i="5" s="1"/>
  <c r="AH49" i="5"/>
  <c r="AJ49" i="5" s="1"/>
  <c r="AE49" i="5"/>
  <c r="AF49" i="5" s="1"/>
  <c r="AH60" i="5"/>
  <c r="AJ60" i="5" s="1"/>
  <c r="AE60" i="5"/>
  <c r="AF60" i="5" s="1"/>
  <c r="AH56" i="5"/>
  <c r="AJ56" i="5" s="1"/>
  <c r="AE56" i="5"/>
  <c r="AF56" i="5" s="1"/>
  <c r="AH112" i="5"/>
  <c r="AJ112" i="5" s="1"/>
  <c r="AE112" i="5"/>
  <c r="AF112" i="5" s="1"/>
  <c r="AH59" i="5"/>
  <c r="AJ59" i="5" s="1"/>
  <c r="AE59" i="5"/>
  <c r="AF59" i="5" s="1"/>
  <c r="L21" i="5"/>
  <c r="V89" i="5" l="1"/>
  <c r="AX89" i="5" s="1"/>
  <c r="AY89" i="5" s="1"/>
  <c r="AZ89" i="5" s="1"/>
  <c r="BB89" i="5" s="1"/>
  <c r="S89" i="5"/>
  <c r="AO89" i="5" s="1"/>
  <c r="AP89" i="5" s="1"/>
  <c r="AQ89" i="5" s="1"/>
  <c r="AS89" i="5" s="1"/>
  <c r="P89" i="5"/>
  <c r="AA89" i="5" s="1"/>
  <c r="S109" i="5"/>
  <c r="AO109" i="5" s="1"/>
  <c r="AP109" i="5" s="1"/>
  <c r="AQ109" i="5" s="1"/>
  <c r="AS109" i="5" s="1"/>
  <c r="V93" i="5"/>
  <c r="AX93" i="5" s="1"/>
  <c r="AY93" i="5" s="1"/>
  <c r="AZ93" i="5" s="1"/>
  <c r="BB93" i="5" s="1"/>
  <c r="P93" i="5"/>
  <c r="AA93" i="5" s="1"/>
  <c r="L101" i="5"/>
  <c r="L119" i="5"/>
  <c r="L132" i="5"/>
  <c r="L114" i="5"/>
  <c r="L22" i="5"/>
  <c r="L91" i="5"/>
  <c r="L53" i="5"/>
  <c r="L104" i="5"/>
  <c r="L52" i="5"/>
  <c r="L85" i="5"/>
  <c r="L93" i="5"/>
  <c r="L90" i="5"/>
  <c r="L113" i="5"/>
  <c r="L58" i="5"/>
  <c r="L96" i="5"/>
  <c r="L107" i="5"/>
  <c r="L136" i="5"/>
  <c r="L110" i="5"/>
  <c r="L139" i="5"/>
  <c r="L80" i="5"/>
  <c r="V109" i="5"/>
  <c r="AX109" i="5" s="1"/>
  <c r="P109" i="5"/>
  <c r="AA109" i="5" s="1"/>
  <c r="P52" i="5" l="1"/>
  <c r="AA52" i="5" s="1"/>
  <c r="S52" i="5"/>
  <c r="AO52" i="5" s="1"/>
  <c r="AP52" i="5" s="1"/>
  <c r="AQ52" i="5" s="1"/>
  <c r="AS52" i="5" s="1"/>
  <c r="V52" i="5"/>
  <c r="S53" i="5"/>
  <c r="AO53" i="5" s="1"/>
  <c r="AP53" i="5" s="1"/>
  <c r="AQ53" i="5" s="1"/>
  <c r="AS53" i="5" s="1"/>
  <c r="V53" i="5"/>
  <c r="AX53" i="5" s="1"/>
  <c r="AY53" i="5" s="1"/>
  <c r="AZ53" i="5" s="1"/>
  <c r="P53" i="5"/>
  <c r="AA53" i="5" s="1"/>
  <c r="S114" i="5"/>
  <c r="AO114" i="5" s="1"/>
  <c r="AP114" i="5" s="1"/>
  <c r="AQ114" i="5" s="1"/>
  <c r="AS114" i="5" s="1"/>
  <c r="V114" i="5"/>
  <c r="P114" i="5"/>
  <c r="AA114" i="5" s="1"/>
  <c r="AB114" i="5" s="1"/>
  <c r="AC114" i="5" s="1"/>
  <c r="V80" i="5"/>
  <c r="AX80" i="5" s="1"/>
  <c r="AY80" i="5" s="1"/>
  <c r="AZ80" i="5" s="1"/>
  <c r="BB80" i="5" s="1"/>
  <c r="S80" i="5"/>
  <c r="AO80" i="5" s="1"/>
  <c r="AP80" i="5" s="1"/>
  <c r="AQ80" i="5" s="1"/>
  <c r="AS80" i="5" s="1"/>
  <c r="P80" i="5"/>
  <c r="AA80" i="5" s="1"/>
  <c r="P139" i="5"/>
  <c r="AA139" i="5" s="1"/>
  <c r="AB139" i="5" s="1"/>
  <c r="AC139" i="5" s="1"/>
  <c r="AH139" i="5" s="1"/>
  <c r="AJ139" i="5" s="1"/>
  <c r="S139" i="5"/>
  <c r="AO139" i="5" s="1"/>
  <c r="AP139" i="5" s="1"/>
  <c r="AQ139" i="5" s="1"/>
  <c r="AS139" i="5" s="1"/>
  <c r="V139" i="5"/>
  <c r="AX139" i="5" s="1"/>
  <c r="AY139" i="5" s="1"/>
  <c r="AZ139" i="5" s="1"/>
  <c r="BB139" i="5" s="1"/>
  <c r="S132" i="5"/>
  <c r="AO132" i="5" s="1"/>
  <c r="AP132" i="5" s="1"/>
  <c r="AQ132" i="5" s="1"/>
  <c r="AS132" i="5" s="1"/>
  <c r="P132" i="5"/>
  <c r="AA132" i="5" s="1"/>
  <c r="AB132" i="5" s="1"/>
  <c r="AC132" i="5" s="1"/>
  <c r="V132" i="5"/>
  <c r="AX132" i="5" s="1"/>
  <c r="AY132" i="5" s="1"/>
  <c r="AZ132" i="5" s="1"/>
  <c r="BB132" i="5" s="1"/>
  <c r="P119" i="5"/>
  <c r="AA119" i="5" s="1"/>
  <c r="AB119" i="5" s="1"/>
  <c r="AC119" i="5" s="1"/>
  <c r="S119" i="5"/>
  <c r="AO119" i="5" s="1"/>
  <c r="AP119" i="5" s="1"/>
  <c r="AQ119" i="5" s="1"/>
  <c r="AS119" i="5" s="1"/>
  <c r="V119" i="5"/>
  <c r="AX119" i="5" s="1"/>
  <c r="AY119" i="5" s="1"/>
  <c r="AZ119" i="5" s="1"/>
  <c r="BB119" i="5" s="1"/>
  <c r="V136" i="5"/>
  <c r="AX136" i="5" s="1"/>
  <c r="AY136" i="5" s="1"/>
  <c r="AZ136" i="5" s="1"/>
  <c r="BB136" i="5" s="1"/>
  <c r="P136" i="5"/>
  <c r="AA136" i="5" s="1"/>
  <c r="AB136" i="5" s="1"/>
  <c r="AC136" i="5" s="1"/>
  <c r="S136" i="5"/>
  <c r="AO136" i="5" s="1"/>
  <c r="AP136" i="5" s="1"/>
  <c r="AQ136" i="5" s="1"/>
  <c r="AS136" i="5" s="1"/>
  <c r="V96" i="5"/>
  <c r="AX96" i="5" s="1"/>
  <c r="AY96" i="5" s="1"/>
  <c r="AZ96" i="5" s="1"/>
  <c r="BB96" i="5" s="1"/>
  <c r="S96" i="5"/>
  <c r="AO96" i="5" s="1"/>
  <c r="P96" i="5"/>
  <c r="AA96" i="5" s="1"/>
  <c r="AB96" i="5" s="1"/>
  <c r="AC96" i="5" s="1"/>
  <c r="P58" i="5"/>
  <c r="AA58" i="5" s="1"/>
  <c r="V58" i="5"/>
  <c r="AX58" i="5" s="1"/>
  <c r="AY58" i="5" s="1"/>
  <c r="AZ58" i="5" s="1"/>
  <c r="BB58" i="5" s="1"/>
  <c r="S58" i="5"/>
  <c r="AO58" i="5" s="1"/>
  <c r="AP58" i="5" s="1"/>
  <c r="AQ58" i="5" s="1"/>
  <c r="AS58" i="5" s="1"/>
  <c r="S113" i="5"/>
  <c r="AO113" i="5" s="1"/>
  <c r="AP113" i="5" s="1"/>
  <c r="AQ113" i="5" s="1"/>
  <c r="AS113" i="5" s="1"/>
  <c r="P113" i="5"/>
  <c r="AA113" i="5" s="1"/>
  <c r="V113" i="5"/>
  <c r="AX113" i="5" s="1"/>
  <c r="AY113" i="5" s="1"/>
  <c r="AZ113" i="5" s="1"/>
  <c r="BB113" i="5" s="1"/>
  <c r="P85" i="5"/>
  <c r="AA85" i="5" s="1"/>
  <c r="V85" i="5"/>
  <c r="AX85" i="5" s="1"/>
  <c r="S85" i="5"/>
  <c r="AO85" i="5" s="1"/>
  <c r="AP85" i="5" s="1"/>
  <c r="AQ85" i="5" s="1"/>
  <c r="AS85" i="5" s="1"/>
  <c r="P9" i="5"/>
  <c r="AA9" i="5" s="1"/>
  <c r="S9" i="5"/>
  <c r="AO9" i="5" s="1"/>
  <c r="AP9" i="5" s="1"/>
  <c r="AQ9" i="5" s="1"/>
  <c r="AS9" i="5" s="1"/>
  <c r="V9" i="5"/>
  <c r="AX9" i="5" s="1"/>
  <c r="AY9" i="5" s="1"/>
  <c r="AZ9" i="5" s="1"/>
  <c r="S91" i="5"/>
  <c r="AO91" i="5" s="1"/>
  <c r="AP91" i="5" s="1"/>
  <c r="AQ91" i="5" s="1"/>
  <c r="AS91" i="5" s="1"/>
  <c r="P91" i="5"/>
  <c r="AA91" i="5" s="1"/>
  <c r="V91" i="5"/>
  <c r="AX91" i="5" s="1"/>
  <c r="AY91" i="5" s="1"/>
  <c r="AZ91" i="5" s="1"/>
  <c r="BB91" i="5" s="1"/>
  <c r="S93" i="5"/>
  <c r="AO93" i="5" s="1"/>
  <c r="AP93" i="5" s="1"/>
  <c r="AQ93" i="5" s="1"/>
  <c r="AS93" i="5" s="1"/>
  <c r="V90" i="5"/>
  <c r="AX90" i="5" s="1"/>
  <c r="AY90" i="5" s="1"/>
  <c r="AZ90" i="5" s="1"/>
  <c r="BB90" i="5" s="1"/>
  <c r="P90" i="5"/>
  <c r="AA90" i="5" s="1"/>
  <c r="S90" i="5"/>
  <c r="AO90" i="5" s="1"/>
  <c r="AP90" i="5" s="1"/>
  <c r="AQ90" i="5" s="1"/>
  <c r="AS90" i="5" s="1"/>
  <c r="P86" i="5"/>
  <c r="AA86" i="5" s="1"/>
  <c r="S86" i="5"/>
  <c r="AO86" i="5" s="1"/>
  <c r="AP86" i="5" s="1"/>
  <c r="AQ86" i="5" s="1"/>
  <c r="AS86" i="5" s="1"/>
  <c r="V86" i="5"/>
  <c r="S8" i="5"/>
  <c r="AO8" i="5" s="1"/>
  <c r="AP8" i="5" s="1"/>
  <c r="AQ8" i="5" s="1"/>
  <c r="AS8" i="5" s="1"/>
  <c r="P8" i="5"/>
  <c r="AA8" i="5" s="1"/>
  <c r="V8" i="5"/>
  <c r="AX8" i="5" s="1"/>
  <c r="AY8" i="5" s="1"/>
  <c r="AZ8" i="5" s="1"/>
  <c r="BB8" i="5" s="1"/>
  <c r="P110" i="5"/>
  <c r="AA110" i="5" s="1"/>
  <c r="V110" i="5"/>
  <c r="S110" i="5"/>
  <c r="AO110" i="5" s="1"/>
  <c r="AP110" i="5" s="1"/>
  <c r="AQ110" i="5" s="1"/>
  <c r="AS110" i="5" s="1"/>
  <c r="V92" i="5"/>
  <c r="AX92" i="5" s="1"/>
  <c r="AY92" i="5" s="1"/>
  <c r="AZ92" i="5" s="1"/>
  <c r="S92" i="5"/>
  <c r="AO92" i="5" s="1"/>
  <c r="AP92" i="5" s="1"/>
  <c r="AQ92" i="5" s="1"/>
  <c r="AS92" i="5" s="1"/>
  <c r="P92" i="5"/>
  <c r="AA92" i="5" s="1"/>
  <c r="V95" i="5"/>
  <c r="AX95" i="5" s="1"/>
  <c r="AY95" i="5" s="1"/>
  <c r="AZ95" i="5" s="1"/>
  <c r="BB95" i="5" s="1"/>
  <c r="P95" i="5"/>
  <c r="AA95" i="5" s="1"/>
  <c r="S95" i="5"/>
  <c r="AO95" i="5" s="1"/>
  <c r="AP95" i="5" s="1"/>
  <c r="AQ95" i="5" s="1"/>
  <c r="AS95" i="5" s="1"/>
  <c r="S94" i="5"/>
  <c r="AO94" i="5" s="1"/>
  <c r="AP94" i="5" s="1"/>
  <c r="AQ94" i="5" s="1"/>
  <c r="AS94" i="5" s="1"/>
  <c r="P94" i="5"/>
  <c r="AA94" i="5" s="1"/>
  <c r="V94" i="5"/>
  <c r="AX94" i="5" s="1"/>
  <c r="AY94" i="5" s="1"/>
  <c r="AZ94" i="5" s="1"/>
  <c r="AB89" i="5"/>
  <c r="AC89" i="5" s="1"/>
  <c r="V118" i="5"/>
  <c r="AX118" i="5" s="1"/>
  <c r="AY118" i="5" s="1"/>
  <c r="AZ118" i="5" s="1"/>
  <c r="BB118" i="5" s="1"/>
  <c r="P118" i="5"/>
  <c r="AA118" i="5" s="1"/>
  <c r="S118" i="5"/>
  <c r="AO118" i="5" s="1"/>
  <c r="AP118" i="5" s="1"/>
  <c r="AQ118" i="5" s="1"/>
  <c r="AS118" i="5" s="1"/>
  <c r="S111" i="5"/>
  <c r="AO111" i="5" s="1"/>
  <c r="AP111" i="5" s="1"/>
  <c r="AQ111" i="5" s="1"/>
  <c r="AS111" i="5" s="1"/>
  <c r="V111" i="5"/>
  <c r="AX111" i="5" s="1"/>
  <c r="AY111" i="5" s="1"/>
  <c r="AZ111" i="5" s="1"/>
  <c r="BB111" i="5" s="1"/>
  <c r="P111" i="5"/>
  <c r="AA111" i="5" s="1"/>
  <c r="P23" i="5"/>
  <c r="AA23" i="5" s="1"/>
  <c r="S23" i="5"/>
  <c r="AO23" i="5" s="1"/>
  <c r="AP23" i="5" s="1"/>
  <c r="AQ23" i="5" s="1"/>
  <c r="AS23" i="5" s="1"/>
  <c r="V23" i="5"/>
  <c r="AX23" i="5" s="1"/>
  <c r="AY23" i="5" s="1"/>
  <c r="AZ23" i="5" s="1"/>
  <c r="BB23" i="5" s="1"/>
  <c r="V11" i="5"/>
  <c r="S11" i="5"/>
  <c r="AO11" i="5" s="1"/>
  <c r="AP11" i="5" s="1"/>
  <c r="AQ11" i="5" s="1"/>
  <c r="AS11" i="5" s="1"/>
  <c r="P11" i="5"/>
  <c r="AA11" i="5" s="1"/>
  <c r="P19" i="5"/>
  <c r="AA19" i="5" s="1"/>
  <c r="V19" i="5"/>
  <c r="AX19" i="5" s="1"/>
  <c r="AY19" i="5" s="1"/>
  <c r="AZ19" i="5" s="1"/>
  <c r="BB19" i="5" s="1"/>
  <c r="S19" i="5"/>
  <c r="AO19" i="5" s="1"/>
  <c r="AP19" i="5" s="1"/>
  <c r="AQ19" i="5" s="1"/>
  <c r="AS19" i="5" s="1"/>
  <c r="P38" i="5"/>
  <c r="AA38" i="5" s="1"/>
  <c r="V38" i="5"/>
  <c r="AX38" i="5" s="1"/>
  <c r="AY38" i="5" s="1"/>
  <c r="AZ38" i="5" s="1"/>
  <c r="BB38" i="5" s="1"/>
  <c r="S38" i="5"/>
  <c r="AO38" i="5" s="1"/>
  <c r="AP38" i="5" s="1"/>
  <c r="AQ38" i="5" s="1"/>
  <c r="AS38" i="5" s="1"/>
  <c r="V107" i="5"/>
  <c r="AX107" i="5" s="1"/>
  <c r="AY107" i="5" s="1"/>
  <c r="AZ107" i="5" s="1"/>
  <c r="BB107" i="5" s="1"/>
  <c r="P107" i="5"/>
  <c r="AA107" i="5" s="1"/>
  <c r="S107" i="5"/>
  <c r="AO107" i="5" s="1"/>
  <c r="P105" i="5"/>
  <c r="AA105" i="5" s="1"/>
  <c r="V105" i="5"/>
  <c r="AX105" i="5" s="1"/>
  <c r="AY105" i="5" s="1"/>
  <c r="AZ105" i="5" s="1"/>
  <c r="BB105" i="5" s="1"/>
  <c r="S105" i="5"/>
  <c r="AO105" i="5" s="1"/>
  <c r="AP105" i="5" s="1"/>
  <c r="AQ105" i="5" s="1"/>
  <c r="AS105" i="5" s="1"/>
  <c r="S40" i="5"/>
  <c r="AO40" i="5" s="1"/>
  <c r="AP40" i="5" s="1"/>
  <c r="AQ40" i="5" s="1"/>
  <c r="AS40" i="5" s="1"/>
  <c r="V40" i="5"/>
  <c r="P40" i="5"/>
  <c r="AA40" i="5" s="1"/>
  <c r="S115" i="5"/>
  <c r="AO115" i="5" s="1"/>
  <c r="AP115" i="5" s="1"/>
  <c r="AQ115" i="5" s="1"/>
  <c r="AS115" i="5" s="1"/>
  <c r="V115" i="5"/>
  <c r="AX115" i="5" s="1"/>
  <c r="AY115" i="5" s="1"/>
  <c r="AZ115" i="5" s="1"/>
  <c r="BB115" i="5" s="1"/>
  <c r="P115" i="5"/>
  <c r="AA115" i="5" s="1"/>
  <c r="P121" i="5"/>
  <c r="AA121" i="5" s="1"/>
  <c r="S121" i="5"/>
  <c r="AO121" i="5" s="1"/>
  <c r="V121" i="5"/>
  <c r="AX121" i="5" s="1"/>
  <c r="AY121" i="5" s="1"/>
  <c r="AZ121" i="5" s="1"/>
  <c r="BB121" i="5" s="1"/>
  <c r="P120" i="5"/>
  <c r="AA120" i="5" s="1"/>
  <c r="V120" i="5"/>
  <c r="AX120" i="5" s="1"/>
  <c r="AY120" i="5" s="1"/>
  <c r="AZ120" i="5" s="1"/>
  <c r="BB120" i="5" s="1"/>
  <c r="S120" i="5"/>
  <c r="AO120" i="5" s="1"/>
  <c r="AP120" i="5" s="1"/>
  <c r="AQ120" i="5" s="1"/>
  <c r="AS120" i="5" s="1"/>
  <c r="V33" i="5"/>
  <c r="AX33" i="5" s="1"/>
  <c r="AY33" i="5" s="1"/>
  <c r="AZ33" i="5" s="1"/>
  <c r="S33" i="5"/>
  <c r="AO33" i="5" s="1"/>
  <c r="AP33" i="5" s="1"/>
  <c r="AQ33" i="5" s="1"/>
  <c r="AS33" i="5" s="1"/>
  <c r="P33" i="5"/>
  <c r="AA33" i="5" s="1"/>
  <c r="AB93" i="5"/>
  <c r="P101" i="5"/>
  <c r="AA101" i="5" s="1"/>
  <c r="V101" i="5"/>
  <c r="AX101" i="5" s="1"/>
  <c r="AY101" i="5" s="1"/>
  <c r="AZ101" i="5" s="1"/>
  <c r="BB101" i="5" s="1"/>
  <c r="S101" i="5"/>
  <c r="AO101" i="5" s="1"/>
  <c r="AP101" i="5" s="1"/>
  <c r="AQ101" i="5" s="1"/>
  <c r="AS101" i="5" s="1"/>
  <c r="V25" i="5"/>
  <c r="S25" i="5"/>
  <c r="AO25" i="5" s="1"/>
  <c r="AP25" i="5" s="1"/>
  <c r="AQ25" i="5" s="1"/>
  <c r="AS25" i="5" s="1"/>
  <c r="P25" i="5"/>
  <c r="AA25" i="5" s="1"/>
  <c r="S15" i="5"/>
  <c r="AO15" i="5" s="1"/>
  <c r="AP15" i="5" s="1"/>
  <c r="AQ15" i="5" s="1"/>
  <c r="AS15" i="5" s="1"/>
  <c r="P15" i="5"/>
  <c r="AA15" i="5" s="1"/>
  <c r="V15" i="5"/>
  <c r="AX15" i="5" s="1"/>
  <c r="AY15" i="5" s="1"/>
  <c r="AZ15" i="5" s="1"/>
  <c r="S104" i="5"/>
  <c r="AO104" i="5" s="1"/>
  <c r="AP104" i="5" s="1"/>
  <c r="AQ104" i="5" s="1"/>
  <c r="AS104" i="5" s="1"/>
  <c r="V104" i="5"/>
  <c r="AX104" i="5" s="1"/>
  <c r="AY104" i="5" s="1"/>
  <c r="AZ104" i="5" s="1"/>
  <c r="BB104" i="5" s="1"/>
  <c r="P104" i="5"/>
  <c r="AA104" i="5" s="1"/>
  <c r="S26" i="5"/>
  <c r="AO26" i="5" s="1"/>
  <c r="AP26" i="5" s="1"/>
  <c r="AQ26" i="5" s="1"/>
  <c r="AS26" i="5" s="1"/>
  <c r="V26" i="5"/>
  <c r="P26" i="5"/>
  <c r="AA26" i="5" s="1"/>
  <c r="S117" i="5"/>
  <c r="AO117" i="5" s="1"/>
  <c r="AP117" i="5" s="1"/>
  <c r="AQ117" i="5" s="1"/>
  <c r="AS117" i="5" s="1"/>
  <c r="P117" i="5"/>
  <c r="AA117" i="5" s="1"/>
  <c r="V117" i="5"/>
  <c r="AX117" i="5" s="1"/>
  <c r="AY117" i="5" s="1"/>
  <c r="AZ117" i="5" s="1"/>
  <c r="BB117" i="5" s="1"/>
  <c r="S10" i="5"/>
  <c r="AO10" i="5" s="1"/>
  <c r="AP10" i="5" s="1"/>
  <c r="AQ10" i="5" s="1"/>
  <c r="AS10" i="5" s="1"/>
  <c r="V10" i="5"/>
  <c r="AX10" i="5" s="1"/>
  <c r="AY10" i="5" s="1"/>
  <c r="AZ10" i="5" s="1"/>
  <c r="P10" i="5"/>
  <c r="AA10" i="5" s="1"/>
  <c r="S108" i="5"/>
  <c r="AO108" i="5" s="1"/>
  <c r="AP108" i="5" s="1"/>
  <c r="AQ108" i="5" s="1"/>
  <c r="AS108" i="5" s="1"/>
  <c r="P108" i="5"/>
  <c r="AA108" i="5" s="1"/>
  <c r="V108" i="5"/>
  <c r="AX108" i="5" s="1"/>
  <c r="AY108" i="5" s="1"/>
  <c r="AZ108" i="5" s="1"/>
  <c r="BB108" i="5" s="1"/>
  <c r="S17" i="5"/>
  <c r="AO17" i="5" s="1"/>
  <c r="AP17" i="5" s="1"/>
  <c r="AQ17" i="5" s="1"/>
  <c r="AS17" i="5" s="1"/>
  <c r="V17" i="5"/>
  <c r="P17" i="5"/>
  <c r="AA17" i="5" s="1"/>
  <c r="V24" i="5"/>
  <c r="S24" i="5"/>
  <c r="AO24" i="5" s="1"/>
  <c r="AP24" i="5" s="1"/>
  <c r="AQ24" i="5" s="1"/>
  <c r="AS24" i="5" s="1"/>
  <c r="P24" i="5"/>
  <c r="AA24" i="5" s="1"/>
  <c r="AB24" i="5" s="1"/>
  <c r="S46" i="5"/>
  <c r="AO46" i="5" s="1"/>
  <c r="AP46" i="5" s="1"/>
  <c r="AQ46" i="5" s="1"/>
  <c r="AS46" i="5" s="1"/>
  <c r="V46" i="5"/>
  <c r="P46" i="5"/>
  <c r="AA46" i="5" s="1"/>
  <c r="AB46" i="5" s="1"/>
  <c r="S14" i="5"/>
  <c r="AO14" i="5" s="1"/>
  <c r="AP14" i="5" s="1"/>
  <c r="AQ14" i="5" s="1"/>
  <c r="AS14" i="5" s="1"/>
  <c r="V14" i="5"/>
  <c r="P14" i="5"/>
  <c r="AA14" i="5" s="1"/>
  <c r="AB14" i="5" s="1"/>
  <c r="S43" i="5"/>
  <c r="AO43" i="5" s="1"/>
  <c r="AP43" i="5" s="1"/>
  <c r="AQ43" i="5" s="1"/>
  <c r="AS43" i="5" s="1"/>
  <c r="P43" i="5"/>
  <c r="AA43" i="5" s="1"/>
  <c r="AB43" i="5" s="1"/>
  <c r="V43" i="5"/>
  <c r="V44" i="5"/>
  <c r="P44" i="5"/>
  <c r="AA44" i="5" s="1"/>
  <c r="AB44" i="5" s="1"/>
  <c r="S44" i="5"/>
  <c r="AO44" i="5" s="1"/>
  <c r="AP44" i="5" s="1"/>
  <c r="AQ44" i="5" s="1"/>
  <c r="AS44" i="5" s="1"/>
  <c r="P31" i="5"/>
  <c r="AA31" i="5" s="1"/>
  <c r="AB31" i="5" s="1"/>
  <c r="S31" i="5"/>
  <c r="AO31" i="5" s="1"/>
  <c r="AP31" i="5" s="1"/>
  <c r="AQ31" i="5" s="1"/>
  <c r="AS31" i="5" s="1"/>
  <c r="V31" i="5"/>
  <c r="AX31" i="5" s="1"/>
  <c r="AY31" i="5" s="1"/>
  <c r="AZ31" i="5" s="1"/>
  <c r="V42" i="5"/>
  <c r="S42" i="5"/>
  <c r="AO42" i="5" s="1"/>
  <c r="AP42" i="5" s="1"/>
  <c r="AQ42" i="5" s="1"/>
  <c r="AS42" i="5" s="1"/>
  <c r="P42" i="5"/>
  <c r="AA42" i="5" s="1"/>
  <c r="AB42" i="5" s="1"/>
  <c r="P45" i="5"/>
  <c r="AA45" i="5" s="1"/>
  <c r="AB45" i="5" s="1"/>
  <c r="V45" i="5"/>
  <c r="S45" i="5"/>
  <c r="AO45" i="5" s="1"/>
  <c r="AP45" i="5" s="1"/>
  <c r="AQ45" i="5" s="1"/>
  <c r="AS45" i="5" s="1"/>
  <c r="V16" i="5"/>
  <c r="S16" i="5"/>
  <c r="AO16" i="5" s="1"/>
  <c r="AP16" i="5" s="1"/>
  <c r="AQ16" i="5" s="1"/>
  <c r="AS16" i="5" s="1"/>
  <c r="P16" i="5"/>
  <c r="AA16" i="5" s="1"/>
  <c r="AB16" i="5" s="1"/>
  <c r="P20" i="5"/>
  <c r="AA20" i="5" s="1"/>
  <c r="AB20" i="5" s="1"/>
  <c r="S20" i="5"/>
  <c r="AO20" i="5" s="1"/>
  <c r="AP20" i="5" s="1"/>
  <c r="AQ20" i="5" s="1"/>
  <c r="AS20" i="5" s="1"/>
  <c r="V20" i="5"/>
  <c r="S7" i="5"/>
  <c r="AO7" i="5" s="1"/>
  <c r="AP7" i="5" s="1"/>
  <c r="AQ7" i="5" s="1"/>
  <c r="AS7" i="5" s="1"/>
  <c r="P7" i="5"/>
  <c r="AA7" i="5" s="1"/>
  <c r="AB7" i="5" s="1"/>
  <c r="V7" i="5"/>
  <c r="AX7" i="5" s="1"/>
  <c r="AY7" i="5" s="1"/>
  <c r="AZ7" i="5" s="1"/>
  <c r="P34" i="5"/>
  <c r="AA34" i="5" s="1"/>
  <c r="AB34" i="5" s="1"/>
  <c r="V34" i="5"/>
  <c r="S34" i="5"/>
  <c r="AO34" i="5" s="1"/>
  <c r="AP34" i="5" s="1"/>
  <c r="AQ34" i="5" s="1"/>
  <c r="AS34" i="5" s="1"/>
  <c r="V30" i="5"/>
  <c r="AX30" i="5" s="1"/>
  <c r="AY30" i="5" s="1"/>
  <c r="AZ30" i="5" s="1"/>
  <c r="S30" i="5"/>
  <c r="AO30" i="5" s="1"/>
  <c r="AP30" i="5" s="1"/>
  <c r="AQ30" i="5" s="1"/>
  <c r="AS30" i="5" s="1"/>
  <c r="P30" i="5"/>
  <c r="AA30" i="5" s="1"/>
  <c r="AB30" i="5" s="1"/>
  <c r="V28" i="5"/>
  <c r="P28" i="5"/>
  <c r="AA28" i="5" s="1"/>
  <c r="AB28" i="5" s="1"/>
  <c r="S28" i="5"/>
  <c r="AO28" i="5" s="1"/>
  <c r="AP28" i="5" s="1"/>
  <c r="AQ28" i="5" s="1"/>
  <c r="AS28" i="5" s="1"/>
  <c r="V12" i="5"/>
  <c r="S12" i="5"/>
  <c r="AO12" i="5" s="1"/>
  <c r="AP12" i="5" s="1"/>
  <c r="AQ12" i="5" s="1"/>
  <c r="AS12" i="5" s="1"/>
  <c r="P12" i="5"/>
  <c r="AA12" i="5" s="1"/>
  <c r="AB12" i="5" s="1"/>
  <c r="V50" i="5"/>
  <c r="P50" i="5"/>
  <c r="AA50" i="5" s="1"/>
  <c r="AB50" i="5" s="1"/>
  <c r="S50" i="5"/>
  <c r="AO50" i="5" s="1"/>
  <c r="AP50" i="5" s="1"/>
  <c r="AQ50" i="5" s="1"/>
  <c r="AS50" i="5" s="1"/>
  <c r="S32" i="5"/>
  <c r="AO32" i="5" s="1"/>
  <c r="AP32" i="5" s="1"/>
  <c r="AQ32" i="5" s="1"/>
  <c r="AS32" i="5" s="1"/>
  <c r="P32" i="5"/>
  <c r="AA32" i="5" s="1"/>
  <c r="AB32" i="5" s="1"/>
  <c r="V32" i="5"/>
  <c r="AX32" i="5" s="1"/>
  <c r="AY32" i="5" s="1"/>
  <c r="AZ32" i="5" s="1"/>
  <c r="V13" i="5"/>
  <c r="S13" i="5"/>
  <c r="AO13" i="5" s="1"/>
  <c r="AP13" i="5" s="1"/>
  <c r="AQ13" i="5" s="1"/>
  <c r="AS13" i="5" s="1"/>
  <c r="P13" i="5"/>
  <c r="AA13" i="5" s="1"/>
  <c r="AB13" i="5" s="1"/>
  <c r="P29" i="5"/>
  <c r="AA29" i="5" s="1"/>
  <c r="AB29" i="5" s="1"/>
  <c r="V29" i="5"/>
  <c r="AX29" i="5" s="1"/>
  <c r="AY29" i="5" s="1"/>
  <c r="AZ29" i="5" s="1"/>
  <c r="S29" i="5"/>
  <c r="AO29" i="5" s="1"/>
  <c r="AP29" i="5" s="1"/>
  <c r="AQ29" i="5" s="1"/>
  <c r="AS29" i="5" s="1"/>
  <c r="P21" i="5"/>
  <c r="AA21" i="5" s="1"/>
  <c r="AB21" i="5" s="1"/>
  <c r="V21" i="5"/>
  <c r="S21" i="5"/>
  <c r="AO21" i="5" s="1"/>
  <c r="AP21" i="5" s="1"/>
  <c r="AQ21" i="5" s="1"/>
  <c r="AS21" i="5" s="1"/>
  <c r="S27" i="5"/>
  <c r="AO27" i="5" s="1"/>
  <c r="AP27" i="5" s="1"/>
  <c r="AQ27" i="5" s="1"/>
  <c r="AS27" i="5" s="1"/>
  <c r="P27" i="5"/>
  <c r="AA27" i="5" s="1"/>
  <c r="AB27" i="5" s="1"/>
  <c r="V27" i="5"/>
  <c r="V18" i="5"/>
  <c r="S18" i="5"/>
  <c r="AO18" i="5" s="1"/>
  <c r="AP18" i="5" s="1"/>
  <c r="AQ18" i="5" s="1"/>
  <c r="AS18" i="5" s="1"/>
  <c r="P18" i="5"/>
  <c r="AA18" i="5" s="1"/>
  <c r="AB18" i="5" s="1"/>
  <c r="P47" i="5"/>
  <c r="AA47" i="5" s="1"/>
  <c r="AB47" i="5" s="1"/>
  <c r="V47" i="5"/>
  <c r="S47" i="5"/>
  <c r="AO47" i="5" s="1"/>
  <c r="AP47" i="5" s="1"/>
  <c r="AQ47" i="5" s="1"/>
  <c r="AS47" i="5" s="1"/>
  <c r="P22" i="5"/>
  <c r="AA22" i="5" s="1"/>
  <c r="AB22" i="5" s="1"/>
  <c r="S22" i="5"/>
  <c r="AO22" i="5" s="1"/>
  <c r="AP22" i="5" s="1"/>
  <c r="AQ22" i="5" s="1"/>
  <c r="AS22" i="5" s="1"/>
  <c r="V22" i="5"/>
  <c r="AX22" i="5" s="1"/>
  <c r="AY22" i="5" s="1"/>
  <c r="AZ22" i="5" s="1"/>
  <c r="AB109" i="5"/>
  <c r="AY109" i="5"/>
  <c r="AZ109" i="5" s="1"/>
  <c r="BB109" i="5" s="1"/>
  <c r="AB113" i="5" l="1"/>
  <c r="AC113" i="5"/>
  <c r="AE114" i="5"/>
  <c r="AF114" i="5" s="1"/>
  <c r="AH114" i="5"/>
  <c r="AJ114" i="5" s="1"/>
  <c r="AE136" i="5"/>
  <c r="AH136" i="5"/>
  <c r="AJ136" i="5" s="1"/>
  <c r="AB58" i="5"/>
  <c r="AC58" i="5"/>
  <c r="AH96" i="5"/>
  <c r="AJ96" i="5" s="1"/>
  <c r="AE96" i="5"/>
  <c r="AF96" i="5" s="1"/>
  <c r="AE119" i="5"/>
  <c r="AF119" i="5" s="1"/>
  <c r="AH119" i="5"/>
  <c r="AJ119" i="5" s="1"/>
  <c r="AP96" i="5"/>
  <c r="AQ96" i="5" s="1"/>
  <c r="AS96" i="5" s="1"/>
  <c r="AB80" i="5"/>
  <c r="AC80" i="5"/>
  <c r="AB53" i="5"/>
  <c r="AC53" i="5" s="1"/>
  <c r="AH132" i="5"/>
  <c r="AJ132" i="5" s="1"/>
  <c r="AE132" i="5"/>
  <c r="AF132" i="5" s="1"/>
  <c r="AB52" i="5"/>
  <c r="AC52" i="5" s="1"/>
  <c r="AB91" i="5"/>
  <c r="AC91" i="5" s="1"/>
  <c r="AB86" i="5"/>
  <c r="AC86" i="5" s="1"/>
  <c r="AB90" i="5"/>
  <c r="AC90" i="5" s="1"/>
  <c r="AY85" i="5"/>
  <c r="AZ85" i="5" s="1"/>
  <c r="BB85" i="5" s="1"/>
  <c r="AB85" i="5"/>
  <c r="AC85" i="5" s="1"/>
  <c r="AB9" i="5"/>
  <c r="AC9" i="5" s="1"/>
  <c r="AB95" i="5"/>
  <c r="AC95" i="5" s="1"/>
  <c r="BB94" i="5"/>
  <c r="BB92" i="5"/>
  <c r="AB118" i="5"/>
  <c r="AC118" i="5" s="1"/>
  <c r="AB94" i="5"/>
  <c r="AC94" i="5" s="1"/>
  <c r="AB110" i="5"/>
  <c r="AC110" i="5" s="1"/>
  <c r="AH89" i="5"/>
  <c r="AJ89" i="5" s="1"/>
  <c r="AE89" i="5"/>
  <c r="AF89" i="5" s="1"/>
  <c r="AB8" i="5"/>
  <c r="AC8" i="5" s="1"/>
  <c r="AB111" i="5"/>
  <c r="AC111" i="5" s="1"/>
  <c r="AB23" i="5"/>
  <c r="AC23" i="5" s="1"/>
  <c r="AB92" i="5"/>
  <c r="AC92" i="5" s="1"/>
  <c r="AB15" i="5"/>
  <c r="AC93" i="5"/>
  <c r="AB19" i="5"/>
  <c r="AB25" i="5"/>
  <c r="AB33" i="5"/>
  <c r="AB121" i="5"/>
  <c r="AP107" i="5"/>
  <c r="AQ107" i="5" s="1"/>
  <c r="AS107" i="5" s="1"/>
  <c r="AB117" i="5"/>
  <c r="AC117" i="5" s="1"/>
  <c r="AB115" i="5"/>
  <c r="AB107" i="5"/>
  <c r="AB101" i="5"/>
  <c r="AC101" i="5" s="1"/>
  <c r="AB11" i="5"/>
  <c r="AB108" i="5"/>
  <c r="AB10" i="5"/>
  <c r="AB38" i="5"/>
  <c r="AB120" i="5"/>
  <c r="AC120" i="5" s="1"/>
  <c r="AB104" i="5"/>
  <c r="AP121" i="5"/>
  <c r="AQ121" i="5" s="1"/>
  <c r="AS121" i="5" s="1"/>
  <c r="AB26" i="5"/>
  <c r="AB40" i="5"/>
  <c r="AB105" i="5"/>
  <c r="BB55" i="5"/>
  <c r="BB53" i="5"/>
  <c r="BB4" i="5"/>
  <c r="BB22" i="5"/>
  <c r="BB10" i="5"/>
  <c r="AX27" i="5"/>
  <c r="AY27" i="5" s="1"/>
  <c r="AZ27" i="5" s="1"/>
  <c r="AX6" i="5"/>
  <c r="AY6" i="5" s="1"/>
  <c r="AZ6" i="5" s="1"/>
  <c r="AX28" i="5"/>
  <c r="AY28" i="5" s="1"/>
  <c r="AZ28" i="5" s="1"/>
  <c r="AX76" i="5"/>
  <c r="AY76" i="5" s="1"/>
  <c r="AZ76" i="5" s="1"/>
  <c r="BB76" i="5" s="1"/>
  <c r="AX20" i="5"/>
  <c r="AY20" i="5" s="1"/>
  <c r="AZ20" i="5" s="1"/>
  <c r="BB20" i="5" s="1"/>
  <c r="AX11" i="5"/>
  <c r="AY11" i="5" s="1"/>
  <c r="AZ11" i="5" s="1"/>
  <c r="BB11" i="5" s="1"/>
  <c r="AX114" i="5"/>
  <c r="AX68" i="5"/>
  <c r="AY68" i="5" s="1"/>
  <c r="AZ68" i="5" s="1"/>
  <c r="BB68" i="5" s="1"/>
  <c r="AX13" i="5"/>
  <c r="AY13" i="5" s="1"/>
  <c r="AZ13" i="5" s="1"/>
  <c r="BB13" i="5" s="1"/>
  <c r="AX42" i="5"/>
  <c r="AY42" i="5" s="1"/>
  <c r="AZ42" i="5" s="1"/>
  <c r="AX82" i="5"/>
  <c r="AY82" i="5" s="1"/>
  <c r="AZ82" i="5" s="1"/>
  <c r="BB82" i="5" s="1"/>
  <c r="AX52" i="5"/>
  <c r="AY52" i="5" s="1"/>
  <c r="AZ52" i="5" s="1"/>
  <c r="BB52" i="5" s="1"/>
  <c r="AX21" i="5"/>
  <c r="AY21" i="5" s="1"/>
  <c r="AZ21" i="5" s="1"/>
  <c r="AX86" i="5"/>
  <c r="AY86" i="5" s="1"/>
  <c r="AZ86" i="5" s="1"/>
  <c r="BB86" i="5" s="1"/>
  <c r="AX47" i="5"/>
  <c r="AY47" i="5" s="1"/>
  <c r="AZ47" i="5" s="1"/>
  <c r="BB47" i="5" s="1"/>
  <c r="AX40" i="5"/>
  <c r="AY40" i="5" s="1"/>
  <c r="AZ40" i="5" s="1"/>
  <c r="BB40" i="5" s="1"/>
  <c r="AX25" i="5"/>
  <c r="AY25" i="5" s="1"/>
  <c r="AZ25" i="5" s="1"/>
  <c r="AX43" i="5"/>
  <c r="AY43" i="5" s="1"/>
  <c r="AZ43" i="5" s="1"/>
  <c r="AX64" i="5"/>
  <c r="AY64" i="5" s="1"/>
  <c r="AZ64" i="5" s="1"/>
  <c r="BB64" i="5" s="1"/>
  <c r="AX24" i="5"/>
  <c r="AY24" i="5" s="1"/>
  <c r="AZ24" i="5" s="1"/>
  <c r="AX62" i="5"/>
  <c r="AY62" i="5" s="1"/>
  <c r="AZ62" i="5" s="1"/>
  <c r="BB62" i="5" s="1"/>
  <c r="AX110" i="5"/>
  <c r="AX17" i="5"/>
  <c r="AY17" i="5" s="1"/>
  <c r="AZ17" i="5" s="1"/>
  <c r="AX18" i="5"/>
  <c r="AY18" i="5" s="1"/>
  <c r="AZ18" i="5" s="1"/>
  <c r="AX124" i="5"/>
  <c r="AY124" i="5" s="1"/>
  <c r="AZ124" i="5" s="1"/>
  <c r="BB124" i="5" s="1"/>
  <c r="AX71" i="5"/>
  <c r="AY71" i="5" s="1"/>
  <c r="AZ71" i="5" s="1"/>
  <c r="BB71" i="5" s="1"/>
  <c r="AX50" i="5"/>
  <c r="AY50" i="5" s="1"/>
  <c r="AZ50" i="5" s="1"/>
  <c r="BB50" i="5" s="1"/>
  <c r="AX39" i="5"/>
  <c r="AY39" i="5" s="1"/>
  <c r="AZ39" i="5" s="1"/>
  <c r="BB39" i="5" s="1"/>
  <c r="AX45" i="5"/>
  <c r="AY45" i="5" s="1"/>
  <c r="AZ45" i="5" s="1"/>
  <c r="BB45" i="5" s="1"/>
  <c r="AX41" i="5"/>
  <c r="AY41" i="5" s="1"/>
  <c r="AZ41" i="5" s="1"/>
  <c r="BB41" i="5" s="1"/>
  <c r="AX44" i="5"/>
  <c r="AY44" i="5" s="1"/>
  <c r="AZ44" i="5" s="1"/>
  <c r="AX51" i="5"/>
  <c r="AY51" i="5" s="1"/>
  <c r="AZ51" i="5" s="1"/>
  <c r="BB51" i="5" s="1"/>
  <c r="AX14" i="5"/>
  <c r="AY14" i="5" s="1"/>
  <c r="AZ14" i="5" s="1"/>
  <c r="BB14" i="5" s="1"/>
  <c r="AX26" i="5"/>
  <c r="AY26" i="5" s="1"/>
  <c r="AZ26" i="5" s="1"/>
  <c r="BB26" i="5" s="1"/>
  <c r="AX12" i="5"/>
  <c r="AY12" i="5" s="1"/>
  <c r="AZ12" i="5" s="1"/>
  <c r="AX34" i="5"/>
  <c r="AY34" i="5" s="1"/>
  <c r="AZ34" i="5" s="1"/>
  <c r="AX66" i="5"/>
  <c r="AY66" i="5" s="1"/>
  <c r="AZ66" i="5" s="1"/>
  <c r="AX16" i="5"/>
  <c r="AY16" i="5" s="1"/>
  <c r="AZ16" i="5" s="1"/>
  <c r="AX46" i="5"/>
  <c r="AY46" i="5" s="1"/>
  <c r="AZ46" i="5" s="1"/>
  <c r="AX69" i="5"/>
  <c r="AY69" i="5" s="1"/>
  <c r="AZ69" i="5" s="1"/>
  <c r="AB17" i="5"/>
  <c r="AC13" i="5"/>
  <c r="AC28" i="5"/>
  <c r="AC42" i="5"/>
  <c r="AC34" i="5"/>
  <c r="AC21" i="5"/>
  <c r="AC29" i="5"/>
  <c r="AC22" i="5"/>
  <c r="AC27" i="5"/>
  <c r="AC50" i="5"/>
  <c r="AC30" i="5"/>
  <c r="AC44" i="5"/>
  <c r="AC14" i="5"/>
  <c r="AC32" i="5"/>
  <c r="AC20" i="5"/>
  <c r="AC24" i="5"/>
  <c r="AC18" i="5"/>
  <c r="AC12" i="5"/>
  <c r="AC7" i="5"/>
  <c r="AC16" i="5"/>
  <c r="AC45" i="5"/>
  <c r="AC109" i="5"/>
  <c r="AC47" i="5"/>
  <c r="AE47" i="5" s="1"/>
  <c r="AC31" i="5"/>
  <c r="AC43" i="5"/>
  <c r="AC46" i="5"/>
  <c r="AE52" i="5" l="1"/>
  <c r="AF52" i="5" s="1"/>
  <c r="AH52" i="5"/>
  <c r="AJ52" i="5" s="1"/>
  <c r="AE58" i="5"/>
  <c r="AF58" i="5" s="1"/>
  <c r="AH58" i="5"/>
  <c r="AJ58" i="5" s="1"/>
  <c r="AE80" i="5"/>
  <c r="AF80" i="5" s="1"/>
  <c r="AH80" i="5"/>
  <c r="AJ80" i="5" s="1"/>
  <c r="AH53" i="5"/>
  <c r="AJ53" i="5" s="1"/>
  <c r="AE53" i="5"/>
  <c r="AF53" i="5" s="1"/>
  <c r="AH113" i="5"/>
  <c r="AJ113" i="5" s="1"/>
  <c r="AE113" i="5"/>
  <c r="AF113" i="5" s="1"/>
  <c r="AH20" i="5"/>
  <c r="AJ20" i="5" s="1"/>
  <c r="AE20" i="5"/>
  <c r="AF20" i="5" s="1"/>
  <c r="AH21" i="5"/>
  <c r="AJ21" i="5" s="1"/>
  <c r="AE21" i="5"/>
  <c r="AF21" i="5" s="1"/>
  <c r="AH22" i="5"/>
  <c r="AJ22" i="5" s="1"/>
  <c r="AE22" i="5"/>
  <c r="AF22" i="5" s="1"/>
  <c r="AH34" i="5"/>
  <c r="AJ34" i="5" s="1"/>
  <c r="AE34" i="5"/>
  <c r="AF34" i="5" s="1"/>
  <c r="AH90" i="5"/>
  <c r="AJ90" i="5" s="1"/>
  <c r="AE90" i="5"/>
  <c r="AF90" i="5" s="1"/>
  <c r="AE85" i="5"/>
  <c r="AF85" i="5" s="1"/>
  <c r="AH85" i="5"/>
  <c r="AJ85" i="5" s="1"/>
  <c r="AE91" i="5"/>
  <c r="AF91" i="5" s="1"/>
  <c r="AH91" i="5"/>
  <c r="AJ91" i="5" s="1"/>
  <c r="AE9" i="5"/>
  <c r="AF9" i="5" s="1"/>
  <c r="AH9" i="5"/>
  <c r="AJ9" i="5" s="1"/>
  <c r="AE86" i="5"/>
  <c r="AF86" i="5" s="1"/>
  <c r="AH86" i="5"/>
  <c r="AJ86" i="5" s="1"/>
  <c r="AH8" i="5"/>
  <c r="AJ8" i="5" s="1"/>
  <c r="AE8" i="5"/>
  <c r="AF8" i="5" s="1"/>
  <c r="AE23" i="5"/>
  <c r="AF23" i="5" s="1"/>
  <c r="AH23" i="5"/>
  <c r="AJ23" i="5" s="1"/>
  <c r="AH94" i="5"/>
  <c r="AJ94" i="5" s="1"/>
  <c r="AE94" i="5"/>
  <c r="AF94" i="5" s="1"/>
  <c r="AE110" i="5"/>
  <c r="AF110" i="5" s="1"/>
  <c r="AH110" i="5"/>
  <c r="AJ110" i="5" s="1"/>
  <c r="AH95" i="5"/>
  <c r="AJ95" i="5" s="1"/>
  <c r="AE95" i="5"/>
  <c r="AF95" i="5" s="1"/>
  <c r="AE118" i="5"/>
  <c r="AF118" i="5" s="1"/>
  <c r="AH118" i="5"/>
  <c r="AJ118" i="5" s="1"/>
  <c r="AH92" i="5"/>
  <c r="AJ92" i="5" s="1"/>
  <c r="AE92" i="5"/>
  <c r="AF92" i="5" s="1"/>
  <c r="AH111" i="5"/>
  <c r="AJ111" i="5" s="1"/>
  <c r="AE111" i="5"/>
  <c r="AF111" i="5" s="1"/>
  <c r="AH44" i="5"/>
  <c r="AJ44" i="5" s="1"/>
  <c r="AE44" i="5"/>
  <c r="AF44" i="5" s="1"/>
  <c r="AH16" i="5"/>
  <c r="AJ16" i="5" s="1"/>
  <c r="AE16" i="5"/>
  <c r="AF16" i="5" s="1"/>
  <c r="AE32" i="5"/>
  <c r="AF32" i="5" s="1"/>
  <c r="AH32" i="5"/>
  <c r="AJ32" i="5" s="1"/>
  <c r="AH30" i="5"/>
  <c r="AJ30" i="5" s="1"/>
  <c r="AE30" i="5"/>
  <c r="AF30" i="5" s="1"/>
  <c r="AE13" i="5"/>
  <c r="AF13" i="5" s="1"/>
  <c r="AH13" i="5"/>
  <c r="AJ13" i="5" s="1"/>
  <c r="AE46" i="5"/>
  <c r="AF46" i="5" s="1"/>
  <c r="AH46" i="5"/>
  <c r="AJ46" i="5" s="1"/>
  <c r="AH117" i="5"/>
  <c r="AJ117" i="5" s="1"/>
  <c r="AE117" i="5"/>
  <c r="AF117" i="5" s="1"/>
  <c r="AH93" i="5"/>
  <c r="AJ93" i="5" s="1"/>
  <c r="AE93" i="5"/>
  <c r="AF93" i="5" s="1"/>
  <c r="AE45" i="5"/>
  <c r="AF45" i="5" s="1"/>
  <c r="AH45" i="5"/>
  <c r="AJ45" i="5" s="1"/>
  <c r="AH27" i="5"/>
  <c r="AJ27" i="5" s="1"/>
  <c r="AE27" i="5"/>
  <c r="AF27" i="5" s="1"/>
  <c r="AH18" i="5"/>
  <c r="AJ18" i="5" s="1"/>
  <c r="AE18" i="5"/>
  <c r="AF18" i="5" s="1"/>
  <c r="AE50" i="5"/>
  <c r="AF50" i="5" s="1"/>
  <c r="AH50" i="5"/>
  <c r="AJ50" i="5" s="1"/>
  <c r="AH43" i="5"/>
  <c r="AJ43" i="5" s="1"/>
  <c r="AE43" i="5"/>
  <c r="AF43" i="5" s="1"/>
  <c r="AH47" i="5"/>
  <c r="AJ47" i="5" s="1"/>
  <c r="AF47" i="5"/>
  <c r="AH101" i="5"/>
  <c r="AJ101" i="5" s="1"/>
  <c r="AE101" i="5"/>
  <c r="AF101" i="5" s="1"/>
  <c r="AH7" i="5"/>
  <c r="AJ7" i="5" s="1"/>
  <c r="AE7" i="5"/>
  <c r="AF7" i="5" s="1"/>
  <c r="AE12" i="5"/>
  <c r="AF12" i="5" s="1"/>
  <c r="AH12" i="5"/>
  <c r="AJ12" i="5" s="1"/>
  <c r="AE24" i="5"/>
  <c r="AF24" i="5" s="1"/>
  <c r="AH24" i="5"/>
  <c r="AJ24" i="5" s="1"/>
  <c r="AE14" i="5"/>
  <c r="AF14" i="5" s="1"/>
  <c r="AH14" i="5"/>
  <c r="AJ14" i="5" s="1"/>
  <c r="AH29" i="5"/>
  <c r="AJ29" i="5" s="1"/>
  <c r="AE29" i="5"/>
  <c r="AF29" i="5" s="1"/>
  <c r="AH42" i="5"/>
  <c r="AJ42" i="5" s="1"/>
  <c r="AE42" i="5"/>
  <c r="AF42" i="5" s="1"/>
  <c r="AH28" i="5"/>
  <c r="AJ28" i="5" s="1"/>
  <c r="AE28" i="5"/>
  <c r="AF28" i="5" s="1"/>
  <c r="AH31" i="5"/>
  <c r="AJ31" i="5" s="1"/>
  <c r="AE31" i="5"/>
  <c r="AF31" i="5" s="1"/>
  <c r="AH109" i="5"/>
  <c r="AJ109" i="5" s="1"/>
  <c r="AE109" i="5"/>
  <c r="AF109" i="5" s="1"/>
  <c r="AE120" i="5"/>
  <c r="AF120" i="5" s="1"/>
  <c r="AH120" i="5"/>
  <c r="AJ120" i="5" s="1"/>
  <c r="AC25" i="5"/>
  <c r="AC15" i="5"/>
  <c r="AC105" i="5"/>
  <c r="AC10" i="5"/>
  <c r="AC115" i="5"/>
  <c r="AC33" i="5"/>
  <c r="AC40" i="5"/>
  <c r="AC104" i="5"/>
  <c r="AC108" i="5"/>
  <c r="AC11" i="5"/>
  <c r="AH11" i="5" s="1"/>
  <c r="AJ11" i="5" s="1"/>
  <c r="AC107" i="5"/>
  <c r="AC19" i="5"/>
  <c r="AC26" i="5"/>
  <c r="AC38" i="5"/>
  <c r="AC121" i="5"/>
  <c r="BB46" i="5"/>
  <c r="BB33" i="5"/>
  <c r="BB28" i="5"/>
  <c r="BB72" i="5"/>
  <c r="BB6" i="5"/>
  <c r="BB29" i="5"/>
  <c r="BB17" i="5"/>
  <c r="BB32" i="5"/>
  <c r="BB12" i="5"/>
  <c r="BB61" i="5"/>
  <c r="BB44" i="5"/>
  <c r="BB18" i="5"/>
  <c r="BB43" i="5"/>
  <c r="BB21" i="5"/>
  <c r="BB9" i="5"/>
  <c r="BB27" i="5"/>
  <c r="BB30" i="5"/>
  <c r="BB16" i="5"/>
  <c r="BB34" i="5"/>
  <c r="BB24" i="5"/>
  <c r="BB57" i="5"/>
  <c r="BB69" i="5"/>
  <c r="BB25" i="5"/>
  <c r="BB2" i="5"/>
  <c r="BB31" i="5"/>
  <c r="BB5" i="5"/>
  <c r="BB42" i="5"/>
  <c r="BB66" i="5"/>
  <c r="BB7" i="5"/>
  <c r="AY114" i="5"/>
  <c r="AZ114" i="5" s="1"/>
  <c r="BB114" i="5" s="1"/>
  <c r="AY110" i="5"/>
  <c r="AZ110" i="5" s="1"/>
  <c r="BB110" i="5" s="1"/>
  <c r="AC17" i="5"/>
  <c r="AH19" i="5" l="1"/>
  <c r="AJ19" i="5" s="1"/>
  <c r="AE19" i="5"/>
  <c r="AF19" i="5" s="1"/>
  <c r="AE40" i="5"/>
  <c r="AF40" i="5" s="1"/>
  <c r="AH40" i="5"/>
  <c r="AJ40" i="5" s="1"/>
  <c r="AH25" i="5"/>
  <c r="AJ25" i="5" s="1"/>
  <c r="AE25" i="5"/>
  <c r="AF25" i="5" s="1"/>
  <c r="AH15" i="5"/>
  <c r="AJ15" i="5" s="1"/>
  <c r="AE15" i="5"/>
  <c r="AF15" i="5" s="1"/>
  <c r="AE33" i="5"/>
  <c r="AF33" i="5" s="1"/>
  <c r="AH33" i="5"/>
  <c r="AJ33" i="5" s="1"/>
  <c r="AE115" i="5"/>
  <c r="AF115" i="5" s="1"/>
  <c r="AH115" i="5"/>
  <c r="AJ115" i="5" s="1"/>
  <c r="AH17" i="5"/>
  <c r="AJ17" i="5" s="1"/>
  <c r="AE17" i="5"/>
  <c r="AF17" i="5" s="1"/>
  <c r="AH107" i="5"/>
  <c r="AJ107" i="5" s="1"/>
  <c r="AE107" i="5"/>
  <c r="AF107" i="5" s="1"/>
  <c r="AH38" i="5"/>
  <c r="AJ38" i="5" s="1"/>
  <c r="AE38" i="5"/>
  <c r="AF38" i="5" s="1"/>
  <c r="AH10" i="5"/>
  <c r="AJ10" i="5" s="1"/>
  <c r="AE10" i="5"/>
  <c r="AF10" i="5" s="1"/>
  <c r="AH26" i="5"/>
  <c r="AJ26" i="5" s="1"/>
  <c r="AE26" i="5"/>
  <c r="AF26" i="5" s="1"/>
  <c r="AH108" i="5"/>
  <c r="AJ108" i="5" s="1"/>
  <c r="AE108" i="5"/>
  <c r="AF108" i="5" s="1"/>
  <c r="AE121" i="5"/>
  <c r="AF121" i="5" s="1"/>
  <c r="AH121" i="5"/>
  <c r="AJ121" i="5" s="1"/>
  <c r="AE105" i="5"/>
  <c r="AF105" i="5" s="1"/>
  <c r="AH105" i="5"/>
  <c r="AJ105" i="5" s="1"/>
  <c r="AE104" i="5"/>
  <c r="AF104" i="5" s="1"/>
  <c r="AH104" i="5"/>
  <c r="AJ104" i="5" s="1"/>
  <c r="BB15" i="5"/>
</calcChain>
</file>

<file path=xl/sharedStrings.xml><?xml version="1.0" encoding="utf-8"?>
<sst xmlns="http://schemas.openxmlformats.org/spreadsheetml/2006/main" count="11167" uniqueCount="734">
  <si>
    <t>Site_code</t>
  </si>
  <si>
    <t>Sampling_event</t>
  </si>
  <si>
    <t>SIA/District</t>
  </si>
  <si>
    <t>Sample_code</t>
  </si>
  <si>
    <t>Collected</t>
  </si>
  <si>
    <t>Dried</t>
  </si>
  <si>
    <t xml:space="preserve">S2 </t>
  </si>
  <si>
    <t>Submitted_District</t>
  </si>
  <si>
    <t>Powder</t>
  </si>
  <si>
    <t>Decarb</t>
  </si>
  <si>
    <t>Wrap</t>
  </si>
  <si>
    <t>Submitted_SIA</t>
  </si>
  <si>
    <t>Returned</t>
  </si>
  <si>
    <t>P37</t>
  </si>
  <si>
    <t>9-23</t>
  </si>
  <si>
    <t>SIA</t>
  </si>
  <si>
    <t>Y</t>
  </si>
  <si>
    <t>C,N,S</t>
  </si>
  <si>
    <t>NCL</t>
  </si>
  <si>
    <t>CP</t>
  </si>
  <si>
    <t>EP146</t>
  </si>
  <si>
    <t>OL</t>
  </si>
  <si>
    <t>R127</t>
  </si>
  <si>
    <t>ACS1</t>
  </si>
  <si>
    <t>ACS2</t>
  </si>
  <si>
    <t>ACS3</t>
  </si>
  <si>
    <t>ACS4</t>
  </si>
  <si>
    <t>ACS5</t>
  </si>
  <si>
    <t>GBHM</t>
  </si>
  <si>
    <t>DC1</t>
  </si>
  <si>
    <t>DCM1</t>
  </si>
  <si>
    <t>DC2</t>
  </si>
  <si>
    <t>DCM2</t>
  </si>
  <si>
    <t>GB1</t>
  </si>
  <si>
    <t>MCS1</t>
  </si>
  <si>
    <t>MCS2</t>
  </si>
  <si>
    <t>MCS3</t>
  </si>
  <si>
    <t>MCS4</t>
  </si>
  <si>
    <t>TBHM</t>
  </si>
  <si>
    <t>TBCM</t>
  </si>
  <si>
    <t>TB1</t>
  </si>
  <si>
    <t>TB2</t>
  </si>
  <si>
    <t>GB2</t>
  </si>
  <si>
    <t>RB</t>
  </si>
  <si>
    <t>TSM1</t>
  </si>
  <si>
    <t>TSM3</t>
  </si>
  <si>
    <t>TSM4</t>
  </si>
  <si>
    <t>SBT1</t>
  </si>
  <si>
    <t>SBT2</t>
  </si>
  <si>
    <t>D</t>
  </si>
  <si>
    <t>TBC</t>
  </si>
  <si>
    <t>WB1</t>
  </si>
  <si>
    <t>WB2</t>
  </si>
  <si>
    <t>TKB</t>
  </si>
  <si>
    <t>JB</t>
  </si>
  <si>
    <t>CC</t>
  </si>
  <si>
    <t>11_23</t>
  </si>
  <si>
    <t>TSH</t>
  </si>
  <si>
    <t>7-24</t>
  </si>
  <si>
    <t>N</t>
  </si>
  <si>
    <t>1-24</t>
  </si>
  <si>
    <t>3-24</t>
  </si>
  <si>
    <t>4-24</t>
  </si>
  <si>
    <t>8-24</t>
  </si>
  <si>
    <t>Accounted For</t>
  </si>
  <si>
    <t xml:space="preserve"> Filtered</t>
  </si>
  <si>
    <t>Wrapped</t>
  </si>
  <si>
    <t>Clean Filter Weight</t>
  </si>
  <si>
    <t>Average Clean Filter Weight</t>
  </si>
  <si>
    <t>Dried Filter Weight</t>
  </si>
  <si>
    <t>Sample Weight</t>
  </si>
  <si>
    <t>Total Weight after Trim</t>
  </si>
  <si>
    <t>C Total weight %</t>
  </si>
  <si>
    <t>C Sample Amount</t>
  </si>
  <si>
    <t>N Total weight %</t>
  </si>
  <si>
    <t>N Sample Amount</t>
  </si>
  <si>
    <t>S Total weight %</t>
  </si>
  <si>
    <t>S Sample Amount</t>
  </si>
  <si>
    <t>C Section Weight</t>
  </si>
  <si>
    <t>C Cut Filter Weight</t>
  </si>
  <si>
    <t>C Filter Trim Piece</t>
  </si>
  <si>
    <t>C Sample Weight</t>
  </si>
  <si>
    <t>C Filter Weight</t>
  </si>
  <si>
    <t>C Sample to Filter Ratio</t>
  </si>
  <si>
    <t>C Vial Piece</t>
  </si>
  <si>
    <t>C Sample Amount in Vial Piece</t>
  </si>
  <si>
    <t>C Vial Filter Amount</t>
  </si>
  <si>
    <t>C Weight After Decarb</t>
  </si>
  <si>
    <t>C Weight Ratio After Decarb (same)</t>
  </si>
  <si>
    <t>C Total Weight to Tin</t>
  </si>
  <si>
    <t>C approx Sample in Tin</t>
  </si>
  <si>
    <t>N Section Weight</t>
  </si>
  <si>
    <t>N Cut Weight</t>
  </si>
  <si>
    <t>N Filter Trim Piece</t>
  </si>
  <si>
    <t>N Sample Weight</t>
  </si>
  <si>
    <t>N Filter Weight</t>
  </si>
  <si>
    <t>N Sample to Filter Ratio</t>
  </si>
  <si>
    <t>N Total Weight to Tin</t>
  </si>
  <si>
    <t>N apprx Sample in Tin</t>
  </si>
  <si>
    <t>S Section Weight</t>
  </si>
  <si>
    <t>S Cut Weight</t>
  </si>
  <si>
    <t>S Trim Piece</t>
  </si>
  <si>
    <t>S Sample Weight</t>
  </si>
  <si>
    <t>S Filter Weight</t>
  </si>
  <si>
    <t>S Sample to Filter Ratio</t>
  </si>
  <si>
    <t>S Total Weight to Tin</t>
  </si>
  <si>
    <t>S apprx Sample in Tin</t>
  </si>
  <si>
    <t>Archive</t>
  </si>
  <si>
    <t>y</t>
  </si>
  <si>
    <t>1123E</t>
  </si>
  <si>
    <t>11-24</t>
  </si>
  <si>
    <t>Filtered/Unfiltered</t>
  </si>
  <si>
    <t>Rep</t>
  </si>
  <si>
    <t>Submitted</t>
  </si>
  <si>
    <t>9_23</t>
  </si>
  <si>
    <t>UF</t>
  </si>
  <si>
    <t>F</t>
  </si>
  <si>
    <t>Time_Collected</t>
  </si>
  <si>
    <t>Temp</t>
  </si>
  <si>
    <t>DO%</t>
  </si>
  <si>
    <t>DO</t>
  </si>
  <si>
    <t>Salinity</t>
  </si>
  <si>
    <t>pH</t>
  </si>
  <si>
    <t>NTU</t>
  </si>
  <si>
    <t>FDOM_RFU</t>
  </si>
  <si>
    <t>FDOM_QSU</t>
  </si>
  <si>
    <t>Water_amount</t>
  </si>
  <si>
    <t>Processed</t>
  </si>
  <si>
    <t>Chl</t>
  </si>
  <si>
    <t>1</t>
  </si>
  <si>
    <t>NA</t>
  </si>
  <si>
    <t>2</t>
  </si>
  <si>
    <t>7_24</t>
  </si>
  <si>
    <t>8_24</t>
  </si>
  <si>
    <t>TSM3_8_24_1</t>
  </si>
  <si>
    <t>TSM4_8_24_1</t>
  </si>
  <si>
    <t>TSM3_8_24_2</t>
  </si>
  <si>
    <t>TSM4_8_24_2</t>
  </si>
  <si>
    <t>Majority</t>
  </si>
  <si>
    <t>Site_Name</t>
  </si>
  <si>
    <t>Latitude</t>
  </si>
  <si>
    <t>Longitude</t>
  </si>
  <si>
    <t>UTM_Easting</t>
  </si>
  <si>
    <t>UTM_Northing</t>
  </si>
  <si>
    <t>Site_type</t>
  </si>
  <si>
    <t>Algal_subset</t>
  </si>
  <si>
    <t>Notes</t>
  </si>
  <si>
    <t>Marsh 1</t>
  </si>
  <si>
    <t>Marsh</t>
  </si>
  <si>
    <t>Taylor slough near entrance to park</t>
  </si>
  <si>
    <t>Marsh 3</t>
  </si>
  <si>
    <t>Marsh across from Paurotis Pond entrance</t>
  </si>
  <si>
    <t>Marsh 4</t>
  </si>
  <si>
    <t>Marsh just south of Nine Mile Pond</t>
  </si>
  <si>
    <t>Snake Bight Trail 1</t>
  </si>
  <si>
    <t>Mangrove</t>
  </si>
  <si>
    <t>Mangroves along Snake Bight Trail</t>
  </si>
  <si>
    <t>Snake Bight Trail 2</t>
  </si>
  <si>
    <t>POI</t>
  </si>
  <si>
    <t>Creek at end of Snake Bight Trail</t>
  </si>
  <si>
    <t>West Lake</t>
  </si>
  <si>
    <t>Coastal Lakes</t>
  </si>
  <si>
    <t>Long Lake</t>
  </si>
  <si>
    <t>Cuthbert Lake</t>
  </si>
  <si>
    <t>Coastal lakes</t>
  </si>
  <si>
    <t>Cuthbert lake. Sediment collection required at entrance to lake</t>
  </si>
  <si>
    <t>The Lungs</t>
  </si>
  <si>
    <t>Alligator Creek</t>
  </si>
  <si>
    <t>Entrance to Alligator Creek from Garfield</t>
  </si>
  <si>
    <t>Garfield Healthy Mangroves</t>
  </si>
  <si>
    <t>Healthy mangroves near Alligator Creek</t>
  </si>
  <si>
    <t>Dead Creek 1</t>
  </si>
  <si>
    <t>Southern Dead Creek</t>
  </si>
  <si>
    <t>Dead Creek Mangrove 1</t>
  </si>
  <si>
    <t>Dead mangroves off of southern dead creek</t>
  </si>
  <si>
    <t>Dead Creek 2</t>
  </si>
  <si>
    <t>northern Dead Creek</t>
  </si>
  <si>
    <t>Dead Creek Mangrove 2</t>
  </si>
  <si>
    <t>Dead mangroves off of northern dead creek</t>
  </si>
  <si>
    <t>Seven Palm Lake</t>
  </si>
  <si>
    <t>Seven Palm Lake (sediment near entrance?)</t>
  </si>
  <si>
    <t>Middle Lake</t>
  </si>
  <si>
    <t>Monroe Lake</t>
  </si>
  <si>
    <t>McCormick Creek</t>
  </si>
  <si>
    <t>Entrance to McCormick Creek from Terrapin</t>
  </si>
  <si>
    <t>Terrapin Healthy Mangrove</t>
  </si>
  <si>
    <t>Healthy mangroves near McCormick Creek</t>
  </si>
  <si>
    <t>East Terrapin Creek</t>
  </si>
  <si>
    <t>Dead creek on eastern side of Terrapin Bay</t>
  </si>
  <si>
    <t>East Terrapin Creek Mangrove</t>
  </si>
  <si>
    <t>Dead mangroves off of east Terrapin Creek</t>
  </si>
  <si>
    <t>Terrapin Bay</t>
  </si>
  <si>
    <t>Florida Bay</t>
  </si>
  <si>
    <t>Terrapin Bay by the hydro station</t>
  </si>
  <si>
    <t>Southern Terrapin Bay</t>
  </si>
  <si>
    <t>Florida Bay site just south of Terrapin</t>
  </si>
  <si>
    <t>Garfield Bight</t>
  </si>
  <si>
    <t>Garfield Bight by the hydro station</t>
  </si>
  <si>
    <t>Southern Garfield Bight</t>
  </si>
  <si>
    <t>Florida  Bay</t>
  </si>
  <si>
    <t>Florida Bay site just south of Garfield</t>
  </si>
  <si>
    <t>Rankin Basin</t>
  </si>
  <si>
    <t>Whipray Basin</t>
  </si>
  <si>
    <t>Southern Whipray Basin</t>
  </si>
  <si>
    <t xml:space="preserve">Florida Bay </t>
  </si>
  <si>
    <t>Twin Keys Basin</t>
  </si>
  <si>
    <t>Johnson Basin</t>
  </si>
  <si>
    <t>Conche Channel</t>
  </si>
  <si>
    <t>Western Conche Channel</t>
  </si>
  <si>
    <t>ENP Marsh</t>
  </si>
  <si>
    <t>E146</t>
  </si>
  <si>
    <t>Column</t>
  </si>
  <si>
    <t>Description</t>
  </si>
  <si>
    <t>Site code of site (see Site_Metadata tab)</t>
  </si>
  <si>
    <t>Code for sampling event. Underscore between month and year is quarterly sampling, no underscore is EOI sampling</t>
  </si>
  <si>
    <t>Column used in water nutrients. Denotes whether sample was for filtered (F) or unfiltered (UF) nutrients</t>
  </si>
  <si>
    <t>Column used in sediment. Denotes whether sample is for stable isotope analysis (SIA) or to be sent to SFWMD (D)</t>
  </si>
  <si>
    <t>Replicate number if 2 replicates were taken</t>
  </si>
  <si>
    <t>Unique sample code for sample collection. Auto-generated using Site-code, Sampling_event, and other columns to the left of this column</t>
  </si>
  <si>
    <t>Date the sample was collected</t>
  </si>
  <si>
    <t>Time sample was collected. Data for time collected housed in the water quality tab</t>
  </si>
  <si>
    <t>Filtered</t>
  </si>
  <si>
    <t>Column used in water SIA. Date when sample was filtered for POM</t>
  </si>
  <si>
    <t>Column used in water SIA. Denotes whether enough water was left over to archive</t>
  </si>
  <si>
    <t>Column used in sediment and water SIA. Date when sample was put in drying oven</t>
  </si>
  <si>
    <t>Column used in sediment. Date when sample is submitted to SFWMD if sample is denoted as a D</t>
  </si>
  <si>
    <t>Column in sediment and water SIA. Date when sample is ground for stable isotope analysis</t>
  </si>
  <si>
    <t>Column used in sediment and water SIA. Date when sample started to be decarbonated for stable isotope analysis</t>
  </si>
  <si>
    <t>Column used in sediment and water SIA. Date when sample was wrapped for stable isotope analysis</t>
  </si>
  <si>
    <t>Column used in sediment and water SIA. Date when sample is submitted to lab for stable isotope analysis (if sample is denoted as a SIA in sediment)</t>
  </si>
  <si>
    <t>Column used in chlorophyll. Amount of water filtered for chlorophyll sample</t>
  </si>
  <si>
    <t>Column used in chlorophyll. Date when processing is started on a sample</t>
  </si>
  <si>
    <t>Column used in chlorophyll. Chlorophyll reading</t>
  </si>
  <si>
    <t>Column in water nutrients, sediment, and water SIA. Date processed sample data is returned</t>
  </si>
  <si>
    <t>Column in algal ID. Species of Cyano that forms the majority of the cyano makeup in the sample</t>
  </si>
  <si>
    <t>Sample Quality</t>
  </si>
  <si>
    <t>Site</t>
  </si>
  <si>
    <t>Total Weight (mg)</t>
  </si>
  <si>
    <t>Weight -avg filter Weight (mg)</t>
  </si>
  <si>
    <t>Sites That look Light</t>
  </si>
  <si>
    <t>Poor</t>
  </si>
  <si>
    <t>Strong</t>
  </si>
  <si>
    <t>Clean Filter Weights</t>
  </si>
  <si>
    <t>Avg Weight</t>
  </si>
  <si>
    <t>δ³⁴S corr</t>
  </si>
  <si>
    <t>Uc S</t>
  </si>
  <si>
    <t>Wt%S</t>
  </si>
  <si>
    <t>Uc S_Percents</t>
  </si>
  <si>
    <t>Amount</t>
  </si>
  <si>
    <t>Analyst comments</t>
  </si>
  <si>
    <t>Too small S</t>
  </si>
  <si>
    <t>Too Small S</t>
  </si>
  <si>
    <t>very small S</t>
  </si>
  <si>
    <t>Very small S</t>
  </si>
  <si>
    <t>small S</t>
  </si>
  <si>
    <t>Very large S</t>
  </si>
  <si>
    <t>Too small S, manually integrated area</t>
  </si>
  <si>
    <t>Very Large</t>
  </si>
  <si>
    <t>9-23_DUP</t>
  </si>
  <si>
    <t>4-24_DUP</t>
  </si>
  <si>
    <t>δ¹⁵N corr</t>
  </si>
  <si>
    <t>Uc N</t>
  </si>
  <si>
    <t>Wt%N</t>
  </si>
  <si>
    <t>Uc N_Percents</t>
  </si>
  <si>
    <t>Very small N</t>
  </si>
  <si>
    <t>BQL_N&lt;0.0099mg;0.0082 mg N ;estimated target 5.76mg</t>
  </si>
  <si>
    <t>BQL_N&lt;0.0061mg;0.0057 mg N</t>
  </si>
  <si>
    <t>BQL_N&lt;0.0099mg;0.0077 mg N ;estimated target 5.62mg</t>
  </si>
  <si>
    <t>BQL_N&lt;0.0099mg;0.0082 mg N ;estimated target 5.1mg</t>
  </si>
  <si>
    <t>BQL_N&lt;0.0061mg;0.0033 mg N</t>
  </si>
  <si>
    <t>BQL_N&lt;0.0099mg;0.0083 mg N ;estimated target 6.58mg</t>
  </si>
  <si>
    <t>BQL_N&lt;0.0099mg;0.0036 mg N ;estimated target 13.9mg</t>
  </si>
  <si>
    <t>BQL_N&lt;0.0061mg;0.0047 mg N</t>
  </si>
  <si>
    <t>BDL_N&lt;0.0035mg;0.0033 mg N ;estimated target 11.94mg</t>
  </si>
  <si>
    <t>BQL_N&lt;0.0084mg;0.0039 mg N</t>
  </si>
  <si>
    <t>BQL_N&lt;0.0099mg;0.0085 mg N ;estimated target 4.68mg</t>
  </si>
  <si>
    <t>BQL_N&lt;0.0099mg;0.0098 mg N ;estimated target 4.24mg</t>
  </si>
  <si>
    <t>BQL_N&lt;0.0099mg;0.009 mg N ;estimated target 5.23mg</t>
  </si>
  <si>
    <t>BQL_N&lt;0.0099mg;0.0083 mg N ;estimated target 4.58mg</t>
  </si>
  <si>
    <t>BQL_N&lt;0.0099mg;0.0083 mg N ;estimated target 6.1mg</t>
  </si>
  <si>
    <t>BQL_N&lt;0.0084mg;0.0063 mg N</t>
  </si>
  <si>
    <t>BQL_N&lt;0.0099mg;0.0062 mg N ;estimated target 8.53mg</t>
  </si>
  <si>
    <t>BQL_N&lt;0.0099mg;0.0089 mg N ;estimated target 4.48mg</t>
  </si>
  <si>
    <t>BQL_N&lt;0.0099mg;0.0059 mg N ;estimated target 7.02mg</t>
  </si>
  <si>
    <t>BQL_N&lt;0.0061mg;0.0056 mg N</t>
  </si>
  <si>
    <t>BQL_N&lt;0.0099mg;0.0083 mg N ;estimated target 6.53mg</t>
  </si>
  <si>
    <t>Large N</t>
  </si>
  <si>
    <t>BQL_N&lt;0.0061mg;0.0042 mg N</t>
  </si>
  <si>
    <t>Very large N</t>
  </si>
  <si>
    <t>BQL_N&lt;0.0099mg;0.0066 mg N ;estimated target 5.47mg</t>
  </si>
  <si>
    <t>δ¹³C corr</t>
  </si>
  <si>
    <t>Uc C</t>
  </si>
  <si>
    <t>Wt%C</t>
  </si>
  <si>
    <t>Uc C_Percents</t>
  </si>
  <si>
    <t>Large C</t>
  </si>
  <si>
    <t>Very Large C</t>
  </si>
  <si>
    <t>Very large C</t>
  </si>
  <si>
    <t>Very Large N</t>
  </si>
  <si>
    <t>Too large C</t>
  </si>
  <si>
    <t xml:space="preserve"> </t>
  </si>
  <si>
    <t>Very Small C</t>
  </si>
  <si>
    <t>Very small C</t>
  </si>
  <si>
    <t>Small C</t>
  </si>
  <si>
    <t>Too Small</t>
  </si>
  <si>
    <t>BQL_N&lt;0.0144mg;0.0083 mg N</t>
  </si>
  <si>
    <t>BQL_N&lt;0.0112mg;0.0094 mg N</t>
  </si>
  <si>
    <t>BQL_N&lt;0.0144mg;0.0117 mg N</t>
  </si>
  <si>
    <t>BQL_N&lt;0.0112mg;0.005 mg N</t>
  </si>
  <si>
    <t>BQL_N&lt;0.008mg;0.0076 mg N</t>
  </si>
  <si>
    <t>BDL_N&lt;0.0068mg;0.0041 mg N</t>
  </si>
  <si>
    <t>BQL_N&lt;0.0144mg;0.0133 mg N</t>
  </si>
  <si>
    <t>BDL_N&lt;0.0041mg;0.0013 mg N</t>
  </si>
  <si>
    <t>BDL_N&lt;0.003mg;0.0022 mg N</t>
  </si>
  <si>
    <t>BQL_N&lt;0.008mg;0.0044 mg N</t>
  </si>
  <si>
    <t>BQL_N&lt;0.0066mg;0.0025 mg N</t>
  </si>
  <si>
    <t>BQL_N&lt;0.0066mg;0.0047 mg N</t>
  </si>
  <si>
    <t>BDL_N&lt;0.0022mg;0.0011 mg N</t>
  </si>
  <si>
    <t>Small N</t>
  </si>
  <si>
    <t>BQL_N&lt;0.0144mg;0.0079 mg N</t>
  </si>
  <si>
    <t>BQL_N&lt;0.0144mg;0.0116 mg N</t>
  </si>
  <si>
    <t>BQL_N&lt;0.008mg;0.0071 mg N</t>
  </si>
  <si>
    <t>Very Small N</t>
  </si>
  <si>
    <t>BDL_N&lt;0.003mg;0.0019 mg N</t>
  </si>
  <si>
    <t>BQL_N&lt;0.0144mg;0.0076 mg N</t>
  </si>
  <si>
    <t>BQL_N&lt;0.008mg;0.0067 mg N</t>
  </si>
  <si>
    <t>BQL_N&lt;0.0144mg;0.011 mg N</t>
  </si>
  <si>
    <t>BQL_N&lt;0.0066mg;0.0063 mg N</t>
  </si>
  <si>
    <t>BDL_N&lt;0.0022mg;0.0009 mg N</t>
  </si>
  <si>
    <t>BDL_N&lt;0.0068mg;0.0035 mg N</t>
  </si>
  <si>
    <t>BQL_N&lt;0.0144mg;0.012 mg N</t>
  </si>
  <si>
    <t>BQL_N&lt;0.0066mg;0.0044 mg N</t>
  </si>
  <si>
    <t>BQL_N&lt;0.0066mg;0.0048 mg N</t>
  </si>
  <si>
    <t>BQL_N&lt;0.0112mg;0.0042 mg N</t>
  </si>
  <si>
    <t>BQL_N&lt;0.0112mg;0.0045 mg N</t>
  </si>
  <si>
    <t>BQL_N&lt;0.008mg;0.0047 mg N</t>
  </si>
  <si>
    <t>BDL_N&lt;0.0041mg;0.0039 mg N</t>
  </si>
  <si>
    <t>BDL_N&lt;0.0068mg;0.0053 mg N</t>
  </si>
  <si>
    <t>BDL_N&lt;0.0068mg;0.0061 mg N</t>
  </si>
  <si>
    <t>BQL_N&lt;0.008mg;0.0048 mg N</t>
  </si>
  <si>
    <t>BQL_N&lt;0.0066mg;0.0062 mg N</t>
  </si>
  <si>
    <t>BQL_N&lt;0.0073mg;0.0039 mg N</t>
  </si>
  <si>
    <t>BQL_N&lt;0.0112mg;0.0052 mg N</t>
  </si>
  <si>
    <t>BQL_N&lt;0.008mg;0.0042 mg N</t>
  </si>
  <si>
    <t>BQL_N&lt;0.0144mg;0.0096 mg N</t>
  </si>
  <si>
    <t>BQL_N&lt;0.0112mg;0.0055 mg N</t>
  </si>
  <si>
    <t>BQL_N&lt;0.0112mg;0.0071 mg N</t>
  </si>
  <si>
    <t>BDL_N&lt;0.0022mg;0.0022 mg N</t>
  </si>
  <si>
    <t>BQL_N&lt;0.0066mg;0.0023 mg N</t>
  </si>
  <si>
    <t>BDL_N&lt;0.003mg;0.0029 mg N</t>
  </si>
  <si>
    <t>BDL_N&lt;0.0068mg;0.0062 mg N</t>
  </si>
  <si>
    <t>BDL_N&lt;0.0041mg;0.0019 mg N</t>
  </si>
  <si>
    <t>BQL_N&lt;0.0073mg;0.0054 mg N</t>
  </si>
  <si>
    <t>BQL_N&lt;0.0144mg;0.01 mg N</t>
  </si>
  <si>
    <t>BQL_N&lt;0.0112mg;0.0095 mg N</t>
  </si>
  <si>
    <t>BQL_N&lt;0.0144mg;0.0075 mg N</t>
  </si>
  <si>
    <t>BDL_N&lt;0.0068mg;0.0054 mg N</t>
  </si>
  <si>
    <t>BQL_N&lt;0.0112mg;0.0041 mg N</t>
  </si>
  <si>
    <t>BQL_N&lt;0.0112mg;0.0079 mg N</t>
  </si>
  <si>
    <t>BQL_N&lt;0.0144mg;0.0107 mg N</t>
  </si>
  <si>
    <t>BQL_N&lt;0.0112mg;0.009 mg N</t>
  </si>
  <si>
    <t>BDL_N&lt;0.0022mg;0.0016 mg N</t>
  </si>
  <si>
    <t>BDL_N&lt;0.0068mg;0.0055 mg N</t>
  </si>
  <si>
    <t>BDL_N&lt;0.0041mg;0.0016 mg N</t>
  </si>
  <si>
    <t>BQL_N&lt;0.008mg;0.0045 mg N</t>
  </si>
  <si>
    <t>BQL_N&lt;0.008mg;0.0046 mg N</t>
  </si>
  <si>
    <t>BQL_N&lt;0.0112mg;0.0065 mg N</t>
  </si>
  <si>
    <t>BQL_N&lt;0.008mg;0.004 mg N</t>
  </si>
  <si>
    <t>BDL_N&lt;0.0022mg;0.0021 mg N</t>
  </si>
  <si>
    <t>BQL_N&lt;0.0112mg;0.0066 mg N</t>
  </si>
  <si>
    <t>BQL_N&lt;0.008mg;0.0057 mg N</t>
  </si>
  <si>
    <t>BQL_N&lt;0.0144mg;0.0073 mg N</t>
  </si>
  <si>
    <t>BDL_N&lt;0.003mg;0.003 mg N</t>
  </si>
  <si>
    <t>BQL_N&lt;0.008mg;0.0064 mg N</t>
  </si>
  <si>
    <t>BQL_N&lt;0.008mg;0.0065 mg N</t>
  </si>
  <si>
    <t>BQL_N&lt;0.008mg;0.0054 mg N</t>
  </si>
  <si>
    <t>BDL_N&lt;0.0022mg;0.002 mg N</t>
  </si>
  <si>
    <t>BQL_N&lt;0.0144mg;0.0089 mg N</t>
  </si>
  <si>
    <t>BQL_N&lt;0.0112mg;0.0058 mg N</t>
  </si>
  <si>
    <t>BDL_N&lt;0.003mg;0.0011 mg N</t>
  </si>
  <si>
    <t>BDL_N&lt;0.0068mg;0.0047 mg N</t>
  </si>
  <si>
    <t>Gleo</t>
  </si>
  <si>
    <t>Syn</t>
  </si>
  <si>
    <t>Mix</t>
  </si>
  <si>
    <t>Filtered.Unfiltered</t>
  </si>
  <si>
    <t>N.N_um.L</t>
  </si>
  <si>
    <t>N.N_MDL</t>
  </si>
  <si>
    <t>N.N_FLAG</t>
  </si>
  <si>
    <t>NO3.N_um.L</t>
  </si>
  <si>
    <t>NO2.N_um.L</t>
  </si>
  <si>
    <t>NO2.N_MDL</t>
  </si>
  <si>
    <t>NO2.N_FLAG</t>
  </si>
  <si>
    <t>NH3.NH4.N_um.L</t>
  </si>
  <si>
    <t>NH3.NH4.N_MDL</t>
  </si>
  <si>
    <t>NH3.NH4.N_FLAG</t>
  </si>
  <si>
    <t>TN_um.L</t>
  </si>
  <si>
    <t>TN_MDL</t>
  </si>
  <si>
    <t>TN_FLAG</t>
  </si>
  <si>
    <t>TP_um.L</t>
  </si>
  <si>
    <t>TP_MDL</t>
  </si>
  <si>
    <t>TP_FLAG</t>
  </si>
  <si>
    <t>SRP_um.L</t>
  </si>
  <si>
    <t>SRP_MDL</t>
  </si>
  <si>
    <t>SRP_FLAG</t>
  </si>
  <si>
    <t>TOC_um.L</t>
  </si>
  <si>
    <t>TOC_MDL</t>
  </si>
  <si>
    <t>TOC_FLAG</t>
  </si>
  <si>
    <t>ACS1_1-24_UF1</t>
  </si>
  <si>
    <t>ACS1_11-24_UF1</t>
  </si>
  <si>
    <t>ACS1_1123E_F1</t>
  </si>
  <si>
    <t>I</t>
  </si>
  <si>
    <t>ACS1_4-24_F1</t>
  </si>
  <si>
    <t>ACS1_4-24_UF1</t>
  </si>
  <si>
    <t>ACS1_8-24_UF1</t>
  </si>
  <si>
    <t>ACS2_1-24_UF1</t>
  </si>
  <si>
    <t>ACS2_4-24_F1</t>
  </si>
  <si>
    <t>ACS2_4-24_UF1</t>
  </si>
  <si>
    <t>ACS2_8-24_UF1</t>
  </si>
  <si>
    <t>ACS3_1-24_UF1</t>
  </si>
  <si>
    <t>ACS3_4-24_F1</t>
  </si>
  <si>
    <t>ACS3_4-24_UF1</t>
  </si>
  <si>
    <t>ACS3_8-24_F1</t>
  </si>
  <si>
    <t>T</t>
  </si>
  <si>
    <t>ACS3_8-24_UF1</t>
  </si>
  <si>
    <t>ACS4_1-24_UF1</t>
  </si>
  <si>
    <t>ACS4_4-24_F1</t>
  </si>
  <si>
    <t>ACS4_4-24_UF1</t>
  </si>
  <si>
    <t>ACS4_8-24_UF1</t>
  </si>
  <si>
    <t>ACS5_1-24_UF1</t>
  </si>
  <si>
    <t>ACS5_4-24_F1</t>
  </si>
  <si>
    <t>ACS5_4-24_UF1</t>
  </si>
  <si>
    <t>ACS5_8-24_UF1</t>
  </si>
  <si>
    <t>CC_1-24_UF1</t>
  </si>
  <si>
    <t>CC_4-24_F1</t>
  </si>
  <si>
    <t>CC_4-24_UF1</t>
  </si>
  <si>
    <t>CC_8-24_UF1</t>
  </si>
  <si>
    <t>CP_3-24_F1</t>
  </si>
  <si>
    <t>CP_3-24_UF1</t>
  </si>
  <si>
    <t>CP_7-24_F1</t>
  </si>
  <si>
    <t>CP_7-24_UF1</t>
  </si>
  <si>
    <t>DC1_1-24_UF1</t>
  </si>
  <si>
    <t>DC1_11-24_F1</t>
  </si>
  <si>
    <t>DC1_11-24_UF1</t>
  </si>
  <si>
    <t>DC1_1123E_F2</t>
  </si>
  <si>
    <t>DC1_4-24_F1</t>
  </si>
  <si>
    <t>DC1_4-24_UF1</t>
  </si>
  <si>
    <t>DC1_8-24_UF1</t>
  </si>
  <si>
    <t>DC2_1-24_UF1</t>
  </si>
  <si>
    <t>DC2_4-24_F1</t>
  </si>
  <si>
    <t>DC2_4-24_UF1</t>
  </si>
  <si>
    <t>DC2_8-24_F1</t>
  </si>
  <si>
    <t>DC2_8-24_UF1</t>
  </si>
  <si>
    <t>DCM1_1-24_UF1</t>
  </si>
  <si>
    <t>DCM1_1123E_F1</t>
  </si>
  <si>
    <t>DCM1_4-24_F1</t>
  </si>
  <si>
    <t>DCM1_4-24_UF1</t>
  </si>
  <si>
    <t>DCM1_8-24_UF1</t>
  </si>
  <si>
    <t>DCM2_1-24_UF1</t>
  </si>
  <si>
    <t>DCM2_8-24_UF1</t>
  </si>
  <si>
    <t>EP146_3-24_F1</t>
  </si>
  <si>
    <t>EP146_3-24_UF1</t>
  </si>
  <si>
    <t>EP146_7-24_F1</t>
  </si>
  <si>
    <t>EP146_7-24_UF1</t>
  </si>
  <si>
    <t>GB1_1-24_UF1</t>
  </si>
  <si>
    <t>GB1_11-24_F1</t>
  </si>
  <si>
    <t>GB1_11-24_UF1</t>
  </si>
  <si>
    <t>GB1_1123E_F1</t>
  </si>
  <si>
    <t>GB1_4-24_F1</t>
  </si>
  <si>
    <t>ND</t>
  </si>
  <si>
    <t>U</t>
  </si>
  <si>
    <t>GB1_4-24_UF1</t>
  </si>
  <si>
    <t>GB1_8-24_UF1</t>
  </si>
  <si>
    <t>GB2_1-24_UF1</t>
  </si>
  <si>
    <t>GB2_1123E_F1</t>
  </si>
  <si>
    <t>GB2_4-24_F1</t>
  </si>
  <si>
    <t>GB2_4-24_UF1</t>
  </si>
  <si>
    <t>GB2_8-24_UF1</t>
  </si>
  <si>
    <t>GBHM_1-24_UF1</t>
  </si>
  <si>
    <t>JB_1-24_UF1</t>
  </si>
  <si>
    <t>JB_11-24_F1</t>
  </si>
  <si>
    <t>JB_11-24_UF1</t>
  </si>
  <si>
    <t>JB_1123E_F1</t>
  </si>
  <si>
    <t>JB_4-24_F1</t>
  </si>
  <si>
    <t>JB_4-24_UF1</t>
  </si>
  <si>
    <t>JB_8-24_F1</t>
  </si>
  <si>
    <t>JB_8-24_UF1</t>
  </si>
  <si>
    <t>MCS1_1-24_UF1</t>
  </si>
  <si>
    <t>MCS1_11-24_F1</t>
  </si>
  <si>
    <t>MCS1_11-24_UF1</t>
  </si>
  <si>
    <t>MCS1_1123E_F1</t>
  </si>
  <si>
    <t>MCS1_4-24_F1</t>
  </si>
  <si>
    <t>MCS1_4-24_UF1</t>
  </si>
  <si>
    <t>MCS1_8-24_F1</t>
  </si>
  <si>
    <t>MCS1_8-24_UF1</t>
  </si>
  <si>
    <t>MCS2_1-24_UF1</t>
  </si>
  <si>
    <t>MCS2_4-24_F1</t>
  </si>
  <si>
    <t>MCS2_4-24_UF1</t>
  </si>
  <si>
    <t>MCS2_8-24_F1</t>
  </si>
  <si>
    <t>MCS2_8-24_UF1</t>
  </si>
  <si>
    <t>MCS3_1-24_UF1</t>
  </si>
  <si>
    <t>MCS3_4-24_F1</t>
  </si>
  <si>
    <t>MCS3_4-24_UF1</t>
  </si>
  <si>
    <t>MCS3_8-24_F1</t>
  </si>
  <si>
    <t>MCS3_8-24_UF1</t>
  </si>
  <si>
    <t>MCS4_1-24_UF1</t>
  </si>
  <si>
    <t>MCS4_4-24_F1</t>
  </si>
  <si>
    <t>MCS4_4-24_UF1</t>
  </si>
  <si>
    <t>MCS4_8-24_UF1</t>
  </si>
  <si>
    <t>NCL_3-24_F1</t>
  </si>
  <si>
    <t>NCL_3-24_UF1</t>
  </si>
  <si>
    <t>NCL_7-24_F1</t>
  </si>
  <si>
    <t>NCL_7-24_UF1</t>
  </si>
  <si>
    <t>OL_3-24_F1</t>
  </si>
  <si>
    <t>OL_3-24_UF1</t>
  </si>
  <si>
    <t>OL_7-24_F1</t>
  </si>
  <si>
    <t>OL_7-24_UF1</t>
  </si>
  <si>
    <t>P37_3-24_F1</t>
  </si>
  <si>
    <t>P37_3-24_UF1</t>
  </si>
  <si>
    <t>P37_7-24_F1</t>
  </si>
  <si>
    <t>P37_7-24_UF1</t>
  </si>
  <si>
    <t>R127_3-24_F1</t>
  </si>
  <si>
    <t>R127_3-24_UF1</t>
  </si>
  <si>
    <t>R127_7-24_F1</t>
  </si>
  <si>
    <t>R127_7-24_UF1</t>
  </si>
  <si>
    <t>RB_1-24_UF1</t>
  </si>
  <si>
    <t>RB_11-24_F1</t>
  </si>
  <si>
    <t>RB_11-24_UF1</t>
  </si>
  <si>
    <t>RB_1123E_F1</t>
  </si>
  <si>
    <t>RB_4-24_F1</t>
  </si>
  <si>
    <t>RB_4-24_UF1</t>
  </si>
  <si>
    <t>RB_8-24_UF1</t>
  </si>
  <si>
    <t>SBT1_1-24_UF1</t>
  </si>
  <si>
    <t>SBT1_11-24_UF1</t>
  </si>
  <si>
    <t>SBT1_1123E_F1</t>
  </si>
  <si>
    <t>SBT1_4-24_F1</t>
  </si>
  <si>
    <t>SBT1_4-24_UF1</t>
  </si>
  <si>
    <t>SBT1_8-24_UF1</t>
  </si>
  <si>
    <t>SBT2_1-24_UF1</t>
  </si>
  <si>
    <t>SBT2_11-24_UF1</t>
  </si>
  <si>
    <t>SBT2_1123E_F1</t>
  </si>
  <si>
    <t>SBT2_4-24_F1</t>
  </si>
  <si>
    <t>SBT2_4-24_UF1</t>
  </si>
  <si>
    <t>SBT2_8-24_UF1</t>
  </si>
  <si>
    <t>TB1_1-24_UF1</t>
  </si>
  <si>
    <t>TB1_11-24_UF1</t>
  </si>
  <si>
    <t>TB1_1123E_F1</t>
  </si>
  <si>
    <t>TB1_4-24_F1</t>
  </si>
  <si>
    <t>TB1_4-24_UF1</t>
  </si>
  <si>
    <t>TB1_8-24_F1</t>
  </si>
  <si>
    <t>TB1_8-24_UF1</t>
  </si>
  <si>
    <t>TB2_1-24_UF1</t>
  </si>
  <si>
    <t>TB2_11-24_F1</t>
  </si>
  <si>
    <t>TB2_11-24_UF1</t>
  </si>
  <si>
    <t>TB2_1123E_F1</t>
  </si>
  <si>
    <t>TB2_4-24_F1</t>
  </si>
  <si>
    <t>TB2_4-24_UF1</t>
  </si>
  <si>
    <t>TB2_8-24_UF1</t>
  </si>
  <si>
    <t>TBC_1-24_UF1</t>
  </si>
  <si>
    <t>TBC_4-24_F1</t>
  </si>
  <si>
    <t>TBC_4-24_UF1</t>
  </si>
  <si>
    <t>TBC_8-24_UF1</t>
  </si>
  <si>
    <t>TBCM_1-24_UF1</t>
  </si>
  <si>
    <t>TBCM_4-24_F1</t>
  </si>
  <si>
    <t>TBCM_4-24_UF1</t>
  </si>
  <si>
    <t>TBCM_8-24_F1</t>
  </si>
  <si>
    <t>TBCM_8-24_UF1</t>
  </si>
  <si>
    <t>TBHM_1-24_UF1</t>
  </si>
  <si>
    <t>TBHM_4-24_F1</t>
  </si>
  <si>
    <t>TBHM_4-24_UF1</t>
  </si>
  <si>
    <t>TBHM_8-24_UF1</t>
  </si>
  <si>
    <t>TKB_1-24_UF1</t>
  </si>
  <si>
    <t>TKB_11-24_F1</t>
  </si>
  <si>
    <t>TKB_11-24_UF1</t>
  </si>
  <si>
    <t>TKB_1123E_F1</t>
  </si>
  <si>
    <t>TKB_4-24_F1</t>
  </si>
  <si>
    <t>TKB_4-24_UF1</t>
  </si>
  <si>
    <t>TKB_8-24_UF1</t>
  </si>
  <si>
    <t>TSH_3-24_F1</t>
  </si>
  <si>
    <t>TSH_3-24_UF1</t>
  </si>
  <si>
    <t>TSH_7-24_F1</t>
  </si>
  <si>
    <t>TSH_7-24_UF1</t>
  </si>
  <si>
    <t>TSM1_1-24_UF1</t>
  </si>
  <si>
    <t>TSM1_4-24_F1</t>
  </si>
  <si>
    <t>TSM1_4-24_UF1</t>
  </si>
  <si>
    <t>TSM1_8-24_F1</t>
  </si>
  <si>
    <t>TSM1_8-24_UF1</t>
  </si>
  <si>
    <t>TSM3_1-24_UF1</t>
  </si>
  <si>
    <t>TSM3_11-24_UF1</t>
  </si>
  <si>
    <t>TSM3_1123E_F1</t>
  </si>
  <si>
    <t>TSM3_4-24_UF1</t>
  </si>
  <si>
    <t>TSM3_8-24_F1</t>
  </si>
  <si>
    <t>TSM3_8-24_UF1</t>
  </si>
  <si>
    <t>TSM4_1-24_UF1</t>
  </si>
  <si>
    <t>TSM4_11-24_UF1</t>
  </si>
  <si>
    <t>TSM4_1123E_F1</t>
  </si>
  <si>
    <t>TSM4_4-24_F1</t>
  </si>
  <si>
    <t>TSM4_4-24_UF1</t>
  </si>
  <si>
    <t>TSM4_8-24_F1</t>
  </si>
  <si>
    <t>TSM4_8-24_UF1</t>
  </si>
  <si>
    <t>WB1_1-24_UF1</t>
  </si>
  <si>
    <t>WB1_1123E_F1</t>
  </si>
  <si>
    <t>WB1_4-24_F1</t>
  </si>
  <si>
    <t>WB1_4-24_UF1</t>
  </si>
  <si>
    <t>WB1_8-24_F1</t>
  </si>
  <si>
    <t>WB1_8-24_UF1</t>
  </si>
  <si>
    <t>WB2_1-24_UF1</t>
  </si>
  <si>
    <t>WB2_4-24_F1</t>
  </si>
  <si>
    <t>WB2_4-24_UF1</t>
  </si>
  <si>
    <t>WB2_8-24_F1</t>
  </si>
  <si>
    <t>WB2_8-24_UF1</t>
  </si>
  <si>
    <t>RB_1-24_F1</t>
  </si>
  <si>
    <t>GB2_1-24_F1</t>
  </si>
  <si>
    <t>SBT2_1-24_F1</t>
  </si>
  <si>
    <t>CC_1-24_F1</t>
  </si>
  <si>
    <t>JB_1-24_F1</t>
  </si>
  <si>
    <t>TKB_1-24_F1</t>
  </si>
  <si>
    <t>MCS4_1-24_F1</t>
  </si>
  <si>
    <t>MCS2_1-24_F1</t>
  </si>
  <si>
    <t>MCS3_1-24_F1</t>
  </si>
  <si>
    <t>MCS1_1-24_F1</t>
  </si>
  <si>
    <t>TBHM_1-24_F1</t>
  </si>
  <si>
    <t>TB1_1-24_F1</t>
  </si>
  <si>
    <t>TBC_1-24_F1</t>
  </si>
  <si>
    <t>TB2_1-24_F1</t>
  </si>
  <si>
    <t>WB2_1-24_F1</t>
  </si>
  <si>
    <t>WB1_1-24_F1</t>
  </si>
  <si>
    <t>DC1_1-24_F1</t>
  </si>
  <si>
    <t>DCM1_1-24_F1</t>
  </si>
  <si>
    <t>DC2_1-24_F1</t>
  </si>
  <si>
    <t>DCM2_1-24_F1</t>
  </si>
  <si>
    <t>GB1_1-24_F1</t>
  </si>
  <si>
    <t>ACS5_1-24_F1</t>
  </si>
  <si>
    <t>GBHM_1-24_F1</t>
  </si>
  <si>
    <t>ACS4_1-24_F1</t>
  </si>
  <si>
    <t>ACS3_1-24_F1</t>
  </si>
  <si>
    <t>ACS2_1-24_F1</t>
  </si>
  <si>
    <t>ACS1_1-24_F1</t>
  </si>
  <si>
    <t>TBCM_1-24_F1</t>
  </si>
  <si>
    <t/>
  </si>
  <si>
    <t>TBK</t>
  </si>
  <si>
    <t>SBT2_9-23_UF1</t>
  </si>
  <si>
    <t>WB1_9-23_UF1</t>
  </si>
  <si>
    <t>WB2_9-23_UF1</t>
  </si>
  <si>
    <t>TKB_9-23_UF1</t>
  </si>
  <si>
    <t>JB_9-23_UF1</t>
  </si>
  <si>
    <t>CC_9-23_UF1</t>
  </si>
  <si>
    <t>GB1_1123E_UF</t>
  </si>
  <si>
    <t>DC1_1123E_UF</t>
  </si>
  <si>
    <t>DCM1_1123E_UF</t>
  </si>
  <si>
    <t>ACS1_1123E_UF</t>
  </si>
  <si>
    <t>SBT1_1123E_UF</t>
  </si>
  <si>
    <t>TSM4_1123E_UF</t>
  </si>
  <si>
    <t>TSM3_1123E_UF</t>
  </si>
  <si>
    <t>RB_1123E_UF</t>
  </si>
  <si>
    <t>GB2_1123E_UF</t>
  </si>
  <si>
    <t>SBT2_1123E_UF</t>
  </si>
  <si>
    <t>JB_1123E_UF</t>
  </si>
  <si>
    <t>TKB_1123E_UF</t>
  </si>
  <si>
    <t>WB1_1123E_UF</t>
  </si>
  <si>
    <t>TB2_1123E_UF</t>
  </si>
  <si>
    <t>TB1_1123E_UF</t>
  </si>
  <si>
    <t>MCS1_1123E_UF</t>
  </si>
  <si>
    <t>CC_9-23_F1</t>
  </si>
  <si>
    <t>JB_9-23_F1</t>
  </si>
  <si>
    <t>TKB_9-23_F1</t>
  </si>
  <si>
    <t>WB2_9-23_F1</t>
  </si>
  <si>
    <t>WB1_9-23_F1</t>
  </si>
  <si>
    <t>SBT2_9-23_F1</t>
  </si>
  <si>
    <t>ACS1_9-23_UF1</t>
  </si>
  <si>
    <t>ACS1_9-23_F1</t>
  </si>
  <si>
    <t>ACS2_9-23_UF1</t>
  </si>
  <si>
    <t>ACS2_9-23_F1</t>
  </si>
  <si>
    <t>ACS3_9-23_UF1</t>
  </si>
  <si>
    <t>ACS3_9-23_F1</t>
  </si>
  <si>
    <t>ACS4_9-23_UF1</t>
  </si>
  <si>
    <t>ACS4_9-23_F1</t>
  </si>
  <si>
    <t>DC2_9-23_UF1</t>
  </si>
  <si>
    <t>DC2_9-23_F1</t>
  </si>
  <si>
    <t>DC1_9-23_UF1</t>
  </si>
  <si>
    <t>DC1_9-23_F1</t>
  </si>
  <si>
    <t>GB1_9-23_UF1</t>
  </si>
  <si>
    <t>GB1_9-23_F1</t>
  </si>
  <si>
    <t>ACS5_9-23_UF1</t>
  </si>
  <si>
    <t>ACS5_9-23_F1</t>
  </si>
  <si>
    <t>MCS1_9-23_UF1</t>
  </si>
  <si>
    <t>MCS1_9-23_F1</t>
  </si>
  <si>
    <t>MCS2_9-23_UF1</t>
  </si>
  <si>
    <t>MCS2_9-23_F1</t>
  </si>
  <si>
    <t>MCS3_9-23_UF1</t>
  </si>
  <si>
    <t>MCS3_9-23_F1</t>
  </si>
  <si>
    <t>MCS4_9-23_UF1</t>
  </si>
  <si>
    <t>MCS4_9-23_F1</t>
  </si>
  <si>
    <t>TB1_9-23_UF1</t>
  </si>
  <si>
    <t>TB1_9-23_F1</t>
  </si>
  <si>
    <t>TBC_9-23_UF1</t>
  </si>
  <si>
    <t>TBC_9-23_F1</t>
  </si>
  <si>
    <t>RB_9-23_UF1</t>
  </si>
  <si>
    <t>RB_9-23_F1</t>
  </si>
  <si>
    <t>TB2_9-23_UF1</t>
  </si>
  <si>
    <t>TB2_9-23_F1</t>
  </si>
  <si>
    <t>GB2_9-23_UF1</t>
  </si>
  <si>
    <t>GB2_9-23_F1</t>
  </si>
  <si>
    <t>TSM4_9-23_UF1</t>
  </si>
  <si>
    <t>TSM4_9-23_F1</t>
  </si>
  <si>
    <t>TSM3_9-23_UF1</t>
  </si>
  <si>
    <t>TSM3_9-23_F1</t>
  </si>
  <si>
    <t>TSM1_9-23_UF1</t>
  </si>
  <si>
    <t>TSM1_9-23_F1</t>
  </si>
  <si>
    <t>P37_9-23_UF1</t>
  </si>
  <si>
    <t>P37_9-23_F1</t>
  </si>
  <si>
    <t>NCL_9-23_UF1</t>
  </si>
  <si>
    <t>NCL_9-23_F1</t>
  </si>
  <si>
    <t>CP_9-23_UF1</t>
  </si>
  <si>
    <t>CP_9-23_F1</t>
  </si>
  <si>
    <t>EP146_9-23_UF1</t>
  </si>
  <si>
    <t>EP146_9-23_F1</t>
  </si>
  <si>
    <t>OL_9-23_UF1</t>
  </si>
  <si>
    <t>OL_9-23_F1</t>
  </si>
  <si>
    <t>TSH_9-23_UF1</t>
  </si>
  <si>
    <t>TSH_9-23_F1</t>
  </si>
  <si>
    <t>R127_9-23_UF1</t>
  </si>
  <si>
    <t>R127_9-23_F1</t>
  </si>
  <si>
    <t>TBCM_9-23_UF1</t>
  </si>
  <si>
    <t>TBCM_9-23_F1</t>
  </si>
  <si>
    <t>TBHM_9-23_UF1</t>
  </si>
  <si>
    <t>TBHM_9-23_F1</t>
  </si>
  <si>
    <t>DCM2_9-23_UF1</t>
  </si>
  <si>
    <t>DCM2_9-23_F1</t>
  </si>
  <si>
    <t>DCM1_9-23_UF1</t>
  </si>
  <si>
    <t>DCM1_9-23_F1</t>
  </si>
  <si>
    <t>GBHM_9-23_UF1</t>
  </si>
  <si>
    <t>GBHM_9-23_F1</t>
  </si>
  <si>
    <t>SBT1_9-23_UF1</t>
  </si>
  <si>
    <t>SBT1_9-23_F1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</si>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</sst>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&quot;&quot;###0.000_);\-&quot;&quot;###0.000"/>
    <numFmt numFmtId="166" formatCode="###0.000_);\-###0.000"/>
    <numFmt numFmtId="167" formatCode="&quot;&quot;###0.00_);\-&quot;&quot;###0.00"/>
    <numFmt numFmtId="168" formatCode="&quot;&quot;###0.00_);\-&quot;&quot;###0.00;"/>
    <numFmt numFmtId="171" formatCode="mm/dd/yyyy"/>
    <numFmt numFmtId="172" formatCode="0.000"/>
    <numFmt numFmtId="173" formatCode="0.00000"/>
    <numFmt numFmtId="174" formatCode="0.0000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1"/>
      <color theme="1" tint="0.34998626667073579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color indexed="8"/>
      <name val="Calibri"/>
      <family val="2"/>
      <scheme val="minor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10" xfId="0" applyBorder="1"/>
    <xf numFmtId="0" fontId="0" fillId="0" borderId="8" xfId="0" applyBorder="1" applyAlignment="1">
      <alignment horizontal="right"/>
    </xf>
    <xf numFmtId="14" fontId="0" fillId="0" borderId="0" xfId="0" applyNumberFormat="1" applyAlignment="1">
      <alignment horizontal="left" vertical="center"/>
    </xf>
    <xf numFmtId="14" fontId="2" fillId="0" borderId="0" xfId="0" applyNumberFormat="1" applyFont="1" applyAlignment="1">
      <alignment horizontal="left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1" xfId="0" applyBorder="1"/>
    <xf numFmtId="0" fontId="5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5" fillId="0" borderId="11" xfId="0" applyFont="1" applyBorder="1"/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49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20" fontId="0" fillId="0" borderId="0" xfId="0" applyNumberFormat="1"/>
    <xf numFmtId="0" fontId="10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/>
    <xf numFmtId="14" fontId="0" fillId="3" borderId="0" xfId="0" applyNumberForma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14" fontId="9" fillId="3" borderId="0" xfId="0" applyNumberFormat="1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49" fontId="0" fillId="4" borderId="0" xfId="0" applyNumberFormat="1" applyFill="1" applyAlignment="1">
      <alignment vertical="top"/>
    </xf>
    <xf numFmtId="14" fontId="0" fillId="0" borderId="0" xfId="0" applyNumberFormat="1"/>
    <xf numFmtId="0" fontId="12" fillId="0" borderId="0" xfId="1" applyFont="1" applyAlignment="1">
      <alignment horizontal="left" wrapText="1" indent="1"/>
    </xf>
    <xf numFmtId="0" fontId="13" fillId="0" borderId="0" xfId="1" applyFont="1" applyAlignment="1">
      <alignment horizontal="left" wrapText="1" indent="1"/>
    </xf>
    <xf numFmtId="171" fontId="12" fillId="0" borderId="0" xfId="1" applyNumberFormat="1" applyFont="1" applyAlignment="1">
      <alignment horizontal="center" wrapText="1"/>
    </xf>
    <xf numFmtId="172" fontId="14" fillId="0" borderId="0" xfId="0" applyNumberFormat="1" applyFont="1" applyAlignment="1">
      <alignment horizontal="right"/>
    </xf>
    <xf numFmtId="172" fontId="14" fillId="0" borderId="0" xfId="0" applyNumberFormat="1" applyFont="1" applyAlignment="1">
      <alignment horizontal="center"/>
    </xf>
    <xf numFmtId="172" fontId="14" fillId="0" borderId="0" xfId="0" applyNumberFormat="1" applyFont="1"/>
    <xf numFmtId="172" fontId="14" fillId="0" borderId="0" xfId="0" quotePrefix="1" applyNumberFormat="1" applyFont="1" applyAlignment="1">
      <alignment horizontal="center"/>
    </xf>
    <xf numFmtId="172" fontId="14" fillId="5" borderId="0" xfId="0" applyNumberFormat="1" applyFont="1" applyFill="1" applyAlignment="1">
      <alignment horizontal="right"/>
    </xf>
    <xf numFmtId="172" fontId="14" fillId="5" borderId="0" xfId="0" applyNumberFormat="1" applyFont="1" applyFill="1" applyAlignment="1">
      <alignment horizontal="center"/>
    </xf>
    <xf numFmtId="172" fontId="14" fillId="5" borderId="0" xfId="0" applyNumberFormat="1" applyFont="1" applyFill="1"/>
    <xf numFmtId="172" fontId="14" fillId="5" borderId="0" xfId="0" quotePrefix="1" applyNumberFormat="1" applyFont="1" applyFill="1" applyAlignment="1">
      <alignment horizontal="center"/>
    </xf>
    <xf numFmtId="16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right"/>
    </xf>
    <xf numFmtId="164" fontId="14" fillId="5" borderId="0" xfId="0" applyNumberFormat="1" applyFont="1" applyFill="1" applyAlignment="1">
      <alignment horizontal="right"/>
    </xf>
    <xf numFmtId="164" fontId="14" fillId="5" borderId="0" xfId="0" applyNumberFormat="1" applyFont="1" applyFill="1" applyAlignment="1">
      <alignment horizontal="center"/>
    </xf>
    <xf numFmtId="173" fontId="14" fillId="5" borderId="0" xfId="0" applyNumberFormat="1" applyFont="1" applyFill="1" applyAlignment="1">
      <alignment horizontal="right" indent="1"/>
    </xf>
    <xf numFmtId="173" fontId="14" fillId="5" borderId="0" xfId="0" applyNumberFormat="1" applyFont="1" applyFill="1" applyAlignment="1">
      <alignment horizontal="center"/>
    </xf>
    <xf numFmtId="173" fontId="14" fillId="5" borderId="0" xfId="0" quotePrefix="1" applyNumberFormat="1" applyFont="1" applyFill="1" applyAlignment="1">
      <alignment horizontal="center"/>
    </xf>
    <xf numFmtId="2" fontId="14" fillId="0" borderId="0" xfId="0" applyNumberFormat="1" applyFont="1" applyAlignment="1">
      <alignment horizontal="right" indent="1"/>
    </xf>
    <xf numFmtId="2" fontId="14" fillId="0" borderId="0" xfId="0" applyNumberFormat="1" applyFont="1" applyAlignment="1">
      <alignment horizontal="center"/>
    </xf>
    <xf numFmtId="173" fontId="14" fillId="0" borderId="0" xfId="0" applyNumberFormat="1" applyFont="1" applyAlignment="1">
      <alignment horizontal="right" indent="1"/>
    </xf>
    <xf numFmtId="173" fontId="14" fillId="0" borderId="0" xfId="0" applyNumberFormat="1" applyFont="1" applyAlignment="1">
      <alignment horizontal="center"/>
    </xf>
    <xf numFmtId="172" fontId="14" fillId="0" borderId="0" xfId="0" applyNumberFormat="1" applyFont="1" applyAlignment="1">
      <alignment horizontal="right" indent="1"/>
    </xf>
    <xf numFmtId="174" fontId="14" fillId="0" borderId="0" xfId="0" applyNumberFormat="1" applyFont="1" applyAlignment="1">
      <alignment horizontal="center"/>
    </xf>
    <xf numFmtId="2" fontId="14" fillId="6" borderId="0" xfId="0" applyNumberFormat="1" applyFont="1" applyFill="1" applyAlignment="1">
      <alignment horizontal="right" indent="1"/>
    </xf>
    <xf numFmtId="2" fontId="14" fillId="6" borderId="0" xfId="0" applyNumberFormat="1" applyFont="1" applyFill="1" applyAlignment="1">
      <alignment horizontal="center"/>
    </xf>
    <xf numFmtId="172" fontId="14" fillId="6" borderId="0" xfId="0" applyNumberFormat="1" applyFont="1" applyFill="1"/>
    <xf numFmtId="173" fontId="14" fillId="0" borderId="0" xfId="0" quotePrefix="1" applyNumberFormat="1" applyFont="1" applyAlignment="1">
      <alignment horizontal="center"/>
    </xf>
    <xf numFmtId="2" fontId="14" fillId="5" borderId="0" xfId="0" applyNumberFormat="1" applyFont="1" applyFill="1" applyAlignment="1">
      <alignment horizontal="right" indent="1"/>
    </xf>
    <xf numFmtId="2" fontId="14" fillId="5" borderId="0" xfId="0" applyNumberFormat="1" applyFont="1" applyFill="1" applyAlignment="1">
      <alignment horizontal="center"/>
    </xf>
    <xf numFmtId="174" fontId="14" fillId="5" borderId="0" xfId="0" applyNumberFormat="1" applyFont="1" applyFill="1" applyAlignment="1">
      <alignment horizontal="right" indent="1"/>
    </xf>
    <xf numFmtId="174" fontId="14" fillId="5" borderId="0" xfId="0" applyNumberFormat="1" applyFont="1" applyFill="1" applyAlignment="1">
      <alignment horizontal="center"/>
    </xf>
    <xf numFmtId="172" fontId="14" fillId="7" borderId="0" xfId="0" applyNumberFormat="1" applyFont="1" applyFill="1" applyAlignment="1">
      <alignment horizontal="right"/>
    </xf>
    <xf numFmtId="172" fontId="14" fillId="7" borderId="0" xfId="0" applyNumberFormat="1" applyFont="1" applyFill="1" applyAlignment="1">
      <alignment horizontal="center"/>
    </xf>
    <xf numFmtId="172" fontId="14" fillId="7" borderId="0" xfId="0" applyNumberFormat="1" applyFont="1" applyFill="1"/>
    <xf numFmtId="172" fontId="14" fillId="7" borderId="0" xfId="0" quotePrefix="1" applyNumberFormat="1" applyFont="1" applyFill="1" applyAlignment="1">
      <alignment horizontal="center"/>
    </xf>
    <xf numFmtId="164" fontId="14" fillId="7" borderId="0" xfId="0" applyNumberFormat="1" applyFont="1" applyFill="1" applyAlignment="1">
      <alignment horizontal="right"/>
    </xf>
    <xf numFmtId="164" fontId="14" fillId="7" borderId="0" xfId="0" applyNumberFormat="1" applyFont="1" applyFill="1" applyAlignment="1">
      <alignment horizontal="center"/>
    </xf>
    <xf numFmtId="1" fontId="14" fillId="7" borderId="0" xfId="0" applyNumberFormat="1" applyFont="1" applyFill="1" applyAlignment="1">
      <alignment horizontal="right"/>
    </xf>
    <xf numFmtId="2" fontId="14" fillId="7" borderId="0" xfId="0" applyNumberFormat="1" applyFont="1" applyFill="1" applyAlignment="1">
      <alignment horizontal="right"/>
    </xf>
  </cellXfs>
  <cellStyles count="2">
    <cellStyle name="Normal" xfId="0" builtinId="0"/>
    <cellStyle name="Normal_LIMS" xfId="1" xr:uid="{248DEF50-1C14-46AF-B3E2-25B0DE142A3D}"/>
  </cellStyles>
  <dxfs count="18"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ill>
        <patternFill>
          <bgColor rgb="FFFF53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53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17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CC0000"/>
      <color rgb="FFFF5353"/>
      <color rgb="FFFF7171"/>
      <color rgb="FFFF8781"/>
      <color rgb="FFFC45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136F5EA-3740-4ABD-9F05-3323862A5CA6}">
    <nsvFilter filterId="{27BD15E3-4BDC-454A-A05D-20BB71F17961}" ref="A1:H351" tableId="0">
      <columnFilter colId="5">
        <filter colId="5">
          <x:filters blank="1">
            <x:filter val="11"/>
            <x:filter val="17"/>
            <x:filter val="20"/>
            <x:filter val="22"/>
            <x:filter val="24"/>
            <x:filter val="25"/>
            <x:filter val="28"/>
            <x:filter val="30"/>
            <x:filter val="48"/>
            <x:filter val="5"/>
            <x:filter val="50"/>
            <x:filter val="51"/>
            <x:filter val="52"/>
            <x:filter val="53"/>
            <x:filter val="54"/>
            <x:filter val="55"/>
            <x:filter val="56"/>
            <x:filter val="57"/>
            <x:filter val="58"/>
          </x:filters>
        </filter>
      </columnFilter>
      <columnFilter colId="6">
        <filter colId="6">
          <x:filters blank="1"/>
        </filter>
      </columnFilter>
      <sortRules>
        <sortRule colId="4">
          <sortCondition ref="E1:E351"/>
        </sortRule>
      </sortRules>
    </nsvFilter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4553-578E-4364-BFA7-0BDCDC3FCDBA}">
  <dimension ref="A1:AC293"/>
  <sheetViews>
    <sheetView zoomScale="73" zoomScaleNormal="73" workbookViewId="0">
      <pane xSplit="1" topLeftCell="B1" activePane="topRight" state="frozen"/>
      <selection pane="topRight" activeCell="X83" sqref="X83:AC86"/>
    </sheetView>
  </sheetViews>
  <sheetFormatPr defaultRowHeight="15" customHeight="1" x14ac:dyDescent="0.35"/>
  <cols>
    <col min="1" max="1" width="15" style="1" customWidth="1"/>
    <col min="2" max="2" width="16" style="2" customWidth="1"/>
    <col min="3" max="3" width="16" style="1" customWidth="1"/>
    <col min="4" max="4" width="17.7265625" style="1" customWidth="1"/>
    <col min="5" max="5" width="17.81640625" style="1" customWidth="1"/>
    <col min="6" max="6" width="16.81640625" style="32" customWidth="1"/>
    <col min="7" max="7" width="16.81640625" style="1" customWidth="1"/>
    <col min="8" max="9" width="19.453125" style="1" customWidth="1"/>
    <col min="10" max="10" width="17.54296875" style="1" customWidth="1"/>
    <col min="11" max="11" width="15.54296875" style="1" customWidth="1"/>
    <col min="12" max="12" width="16.453125" style="1" customWidth="1"/>
    <col min="13" max="13" width="16.54296875" style="1" customWidth="1"/>
    <col min="14" max="14" width="17.81640625" customWidth="1"/>
    <col min="17" max="17" width="17.90625" customWidth="1"/>
    <col min="23" max="23" width="47.36328125" customWidth="1"/>
    <col min="29" max="29" width="15.36328125" customWidth="1"/>
  </cols>
  <sheetData>
    <row r="1" spans="1:29" s="7" customFormat="1" ht="14.5" x14ac:dyDescent="0.3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3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60" t="s">
        <v>244</v>
      </c>
      <c r="M1" s="60" t="s">
        <v>245</v>
      </c>
      <c r="N1" s="60" t="s">
        <v>246</v>
      </c>
      <c r="O1" s="60" t="s">
        <v>247</v>
      </c>
      <c r="P1" s="60" t="s">
        <v>248</v>
      </c>
      <c r="Q1" s="60" t="s">
        <v>249</v>
      </c>
      <c r="R1" s="59" t="s">
        <v>260</v>
      </c>
      <c r="S1" s="59" t="s">
        <v>261</v>
      </c>
      <c r="T1" s="59" t="s">
        <v>262</v>
      </c>
      <c r="U1" s="59" t="s">
        <v>263</v>
      </c>
      <c r="V1" s="59" t="s">
        <v>248</v>
      </c>
      <c r="W1" s="59" t="s">
        <v>249</v>
      </c>
      <c r="X1" s="59" t="s">
        <v>290</v>
      </c>
      <c r="Y1" s="59" t="s">
        <v>291</v>
      </c>
      <c r="Z1" s="59" t="s">
        <v>292</v>
      </c>
      <c r="AA1" s="59" t="s">
        <v>293</v>
      </c>
      <c r="AB1" s="59" t="s">
        <v>248</v>
      </c>
      <c r="AC1" s="59" t="s">
        <v>249</v>
      </c>
    </row>
    <row r="2" spans="1:29" ht="14.5" x14ac:dyDescent="0.35">
      <c r="A2" s="1" t="s">
        <v>23</v>
      </c>
      <c r="B2" s="2" t="s">
        <v>62</v>
      </c>
      <c r="C2" s="1" t="s">
        <v>15</v>
      </c>
      <c r="D2" s="1" t="str">
        <f t="shared" ref="D2:D65" si="0">A2&amp;"_"&amp;B2&amp;"_"&amp;C2</f>
        <v>ACS1_4-24_SIA</v>
      </c>
      <c r="E2" s="10">
        <v>45392</v>
      </c>
      <c r="F2" s="24">
        <v>45517</v>
      </c>
      <c r="G2" s="10" t="s">
        <v>16</v>
      </c>
      <c r="I2" s="1" t="s">
        <v>16</v>
      </c>
      <c r="J2" s="1" t="s">
        <v>16</v>
      </c>
      <c r="K2" s="1" t="s">
        <v>17</v>
      </c>
      <c r="L2"/>
      <c r="M2"/>
      <c r="O2" s="61"/>
      <c r="P2" s="62">
        <v>3.6</v>
      </c>
      <c r="Q2" s="63" t="s">
        <v>250</v>
      </c>
      <c r="R2" s="64">
        <v>5.3469897888083153</v>
      </c>
      <c r="S2" s="65">
        <v>0.37492249725037885</v>
      </c>
      <c r="T2" s="61">
        <v>0.40308569264342686</v>
      </c>
      <c r="U2" s="66">
        <v>9.7477073117755754E-3</v>
      </c>
      <c r="V2" s="62">
        <v>3</v>
      </c>
      <c r="X2" s="64">
        <v>-23.849842847988903</v>
      </c>
      <c r="Y2" s="64">
        <v>0.15037659686083729</v>
      </c>
      <c r="Z2" s="61">
        <v>14.875277219663568</v>
      </c>
      <c r="AA2" s="66">
        <v>5.4951430550071539E-2</v>
      </c>
      <c r="AB2" s="62">
        <v>2</v>
      </c>
    </row>
    <row r="3" spans="1:29" ht="14.5" x14ac:dyDescent="0.35">
      <c r="A3" s="1" t="s">
        <v>23</v>
      </c>
      <c r="B3" s="2" t="s">
        <v>259</v>
      </c>
      <c r="C3" s="1" t="s">
        <v>15</v>
      </c>
      <c r="D3" s="1" t="str">
        <f t="shared" si="0"/>
        <v>ACS1_4-24_DUP_SIA</v>
      </c>
      <c r="E3" s="10">
        <v>45392</v>
      </c>
      <c r="F3" s="24">
        <v>45517</v>
      </c>
      <c r="G3" s="10" t="s">
        <v>16</v>
      </c>
      <c r="I3" s="1" t="s">
        <v>16</v>
      </c>
      <c r="J3" s="1" t="s">
        <v>16</v>
      </c>
      <c r="K3" s="1" t="s">
        <v>17</v>
      </c>
      <c r="L3"/>
      <c r="M3"/>
      <c r="O3" s="61"/>
      <c r="P3" s="62"/>
      <c r="Q3" s="63"/>
      <c r="R3" s="64">
        <v>4.2903650236566495</v>
      </c>
      <c r="S3" s="65">
        <v>0.80780070077248123</v>
      </c>
      <c r="T3" s="61">
        <v>0.37663923659409171</v>
      </c>
      <c r="U3" s="66">
        <v>1.9814918535127842E-2</v>
      </c>
      <c r="V3" s="62">
        <v>2.6</v>
      </c>
      <c r="W3" s="63" t="s">
        <v>264</v>
      </c>
      <c r="X3" s="64"/>
      <c r="Y3" s="64"/>
      <c r="Z3" s="61"/>
      <c r="AA3" s="66"/>
      <c r="AB3" s="62"/>
    </row>
    <row r="4" spans="1:29" ht="14.5" x14ac:dyDescent="0.35">
      <c r="A4" s="1" t="s">
        <v>23</v>
      </c>
      <c r="B4" s="2" t="s">
        <v>14</v>
      </c>
      <c r="C4" s="1" t="s">
        <v>15</v>
      </c>
      <c r="D4" s="1" t="str">
        <f t="shared" si="0"/>
        <v>ACS1_9-23_SIA</v>
      </c>
      <c r="E4" s="10">
        <v>45195</v>
      </c>
      <c r="F4" s="24">
        <v>45505</v>
      </c>
      <c r="G4" s="10" t="s">
        <v>16</v>
      </c>
      <c r="I4" s="1" t="s">
        <v>16</v>
      </c>
      <c r="J4" s="1" t="s">
        <v>16</v>
      </c>
      <c r="K4" s="1" t="s">
        <v>17</v>
      </c>
      <c r="L4" s="64">
        <v>-4.7954134276954896</v>
      </c>
      <c r="M4" s="65">
        <v>0.7901816986053618</v>
      </c>
      <c r="N4" s="61">
        <v>0.47770254076988033</v>
      </c>
      <c r="O4" s="61">
        <v>4.5516568605787483E-2</v>
      </c>
      <c r="P4" s="62">
        <v>3.2</v>
      </c>
      <c r="V4" s="62">
        <v>2.6</v>
      </c>
      <c r="W4" s="63" t="s">
        <v>265</v>
      </c>
      <c r="X4" s="64">
        <v>-23.748059911274851</v>
      </c>
      <c r="Y4" s="64">
        <v>0.17515381364786789</v>
      </c>
      <c r="Z4" s="61">
        <v>19.669650711537667</v>
      </c>
      <c r="AA4" s="66">
        <v>0.18196239161657274</v>
      </c>
      <c r="AB4" s="62">
        <v>2.5</v>
      </c>
    </row>
    <row r="5" spans="1:29" ht="14.5" x14ac:dyDescent="0.35">
      <c r="A5" s="1" t="s">
        <v>24</v>
      </c>
      <c r="B5" s="2" t="s">
        <v>62</v>
      </c>
      <c r="C5" s="1" t="s">
        <v>15</v>
      </c>
      <c r="D5" s="1" t="str">
        <f t="shared" si="0"/>
        <v>ACS2_4-24_SIA</v>
      </c>
      <c r="E5" s="10">
        <v>45392</v>
      </c>
      <c r="F5" s="24">
        <v>45523</v>
      </c>
      <c r="G5" s="10" t="s">
        <v>16</v>
      </c>
      <c r="I5" s="1" t="s">
        <v>16</v>
      </c>
      <c r="J5" s="1" t="s">
        <v>16</v>
      </c>
      <c r="K5" s="1" t="s">
        <v>17</v>
      </c>
      <c r="L5"/>
      <c r="M5"/>
      <c r="O5" s="61"/>
      <c r="P5" s="62">
        <v>3.8</v>
      </c>
      <c r="Q5" s="63" t="s">
        <v>251</v>
      </c>
      <c r="V5" s="62">
        <v>2.2999999999999998</v>
      </c>
      <c r="W5" s="63" t="s">
        <v>266</v>
      </c>
      <c r="X5" s="64">
        <v>-21.348686363019333</v>
      </c>
      <c r="Y5" s="64">
        <v>0.15024625079880183</v>
      </c>
      <c r="Z5" s="61">
        <v>10.717955238716055</v>
      </c>
      <c r="AA5" s="66">
        <v>3.936724230860468E-2</v>
      </c>
      <c r="AB5" s="62">
        <v>2.7</v>
      </c>
    </row>
    <row r="6" spans="1:29" ht="14.5" x14ac:dyDescent="0.35">
      <c r="A6" s="1" t="s">
        <v>24</v>
      </c>
      <c r="B6" s="2" t="s">
        <v>259</v>
      </c>
      <c r="C6" s="1" t="s">
        <v>15</v>
      </c>
      <c r="D6" s="1" t="str">
        <f t="shared" si="0"/>
        <v>ACS2_4-24_DUP_SIA</v>
      </c>
      <c r="E6" s="10">
        <v>45392</v>
      </c>
      <c r="F6" s="24">
        <v>45523</v>
      </c>
      <c r="G6" s="10" t="s">
        <v>16</v>
      </c>
      <c r="I6" s="1" t="s">
        <v>16</v>
      </c>
      <c r="J6" s="1" t="s">
        <v>16</v>
      </c>
      <c r="K6" s="1" t="s">
        <v>17</v>
      </c>
      <c r="L6"/>
      <c r="M6"/>
      <c r="O6" s="61"/>
      <c r="P6" s="62"/>
      <c r="Q6" s="63"/>
      <c r="V6" s="62"/>
      <c r="W6" s="63"/>
      <c r="X6" s="64">
        <v>-21.214759123698396</v>
      </c>
      <c r="Z6" s="61">
        <v>11.083245247799123</v>
      </c>
      <c r="AA6" s="66">
        <v>4.7338600004538343E-2</v>
      </c>
      <c r="AB6" s="62">
        <v>2.2000000000000002</v>
      </c>
    </row>
    <row r="7" spans="1:29" ht="14.5" x14ac:dyDescent="0.35">
      <c r="A7" s="1" t="s">
        <v>24</v>
      </c>
      <c r="B7" s="2" t="s">
        <v>14</v>
      </c>
      <c r="C7" s="1" t="s">
        <v>15</v>
      </c>
      <c r="D7" s="1" t="str">
        <f t="shared" si="0"/>
        <v>ACS2_9-23_SIA</v>
      </c>
      <c r="E7" s="10">
        <v>45195</v>
      </c>
      <c r="F7" s="24">
        <v>45503</v>
      </c>
      <c r="G7" s="10" t="s">
        <v>16</v>
      </c>
      <c r="I7" s="1" t="s">
        <v>16</v>
      </c>
      <c r="J7" s="1" t="s">
        <v>16</v>
      </c>
      <c r="K7" s="1" t="s">
        <v>17</v>
      </c>
      <c r="L7" s="64">
        <v>0.4613821835955183</v>
      </c>
      <c r="M7" s="65">
        <v>0.71911749283720172</v>
      </c>
      <c r="N7" s="61">
        <v>0.49273666691675694</v>
      </c>
      <c r="O7" s="61">
        <v>4.3864352002050813E-2</v>
      </c>
      <c r="P7" s="62">
        <v>3.2</v>
      </c>
      <c r="V7" s="62">
        <v>2.4</v>
      </c>
      <c r="W7" s="63" t="s">
        <v>267</v>
      </c>
      <c r="X7" s="64">
        <v>-22.704489258917846</v>
      </c>
      <c r="Y7" s="64">
        <v>0.17439302308259402</v>
      </c>
      <c r="Z7" s="61">
        <v>18.079108907093161</v>
      </c>
      <c r="AA7" s="66">
        <v>0.16420692966862932</v>
      </c>
      <c r="AB7" s="62">
        <v>2.6</v>
      </c>
    </row>
    <row r="8" spans="1:29" ht="14.5" x14ac:dyDescent="0.35">
      <c r="A8" s="1" t="s">
        <v>25</v>
      </c>
      <c r="B8" s="2" t="s">
        <v>62</v>
      </c>
      <c r="C8" s="1" t="s">
        <v>15</v>
      </c>
      <c r="D8" s="1" t="str">
        <f t="shared" si="0"/>
        <v>ACS3_4-24_SIA</v>
      </c>
      <c r="E8" s="10">
        <v>45392</v>
      </c>
      <c r="F8" s="24">
        <v>45517</v>
      </c>
      <c r="G8" s="10" t="s">
        <v>16</v>
      </c>
      <c r="I8" s="1" t="s">
        <v>16</v>
      </c>
      <c r="J8" s="1" t="s">
        <v>16</v>
      </c>
      <c r="K8" s="1" t="s">
        <v>17</v>
      </c>
      <c r="L8" s="64">
        <v>-0.45434148555090115</v>
      </c>
      <c r="M8" s="65">
        <v>0.95723782934158896</v>
      </c>
      <c r="N8" s="61">
        <v>0.22345767699017025</v>
      </c>
      <c r="O8" s="61">
        <v>0.29361192790584167</v>
      </c>
      <c r="P8" s="62">
        <v>3.7</v>
      </c>
      <c r="V8" s="62">
        <v>2.2999999999999998</v>
      </c>
      <c r="W8" s="63" t="s">
        <v>268</v>
      </c>
      <c r="X8" s="64">
        <v>-16.795956843387582</v>
      </c>
      <c r="Z8" s="61">
        <v>14.628075558237869</v>
      </c>
      <c r="AA8" s="66">
        <v>6.962256602631102E-2</v>
      </c>
      <c r="AB8" s="62">
        <v>2.9</v>
      </c>
      <c r="AC8" s="63" t="s">
        <v>294</v>
      </c>
    </row>
    <row r="9" spans="1:29" ht="14.5" x14ac:dyDescent="0.35">
      <c r="A9" s="1" t="s">
        <v>25</v>
      </c>
      <c r="B9" s="2" t="s">
        <v>259</v>
      </c>
      <c r="C9" s="1" t="s">
        <v>15</v>
      </c>
      <c r="D9" s="1" t="str">
        <f t="shared" si="0"/>
        <v>ACS3_4-24_DUP_SIA</v>
      </c>
      <c r="E9" s="10">
        <v>45392</v>
      </c>
      <c r="F9" s="24">
        <v>45517</v>
      </c>
      <c r="G9" s="10" t="s">
        <v>16</v>
      </c>
      <c r="I9" s="1" t="s">
        <v>16</v>
      </c>
      <c r="J9" s="1" t="s">
        <v>16</v>
      </c>
      <c r="K9" s="1" t="s">
        <v>17</v>
      </c>
      <c r="L9" s="64"/>
      <c r="M9" s="65"/>
      <c r="N9" s="61"/>
      <c r="O9" s="61"/>
      <c r="P9" s="62"/>
      <c r="R9" s="64">
        <v>5.3956688835071276</v>
      </c>
      <c r="S9" s="65">
        <v>0.37493520519872803</v>
      </c>
      <c r="T9" s="61">
        <v>0.37633049239373684</v>
      </c>
      <c r="U9" s="66">
        <v>1.0045169213766336E-2</v>
      </c>
      <c r="V9" s="62">
        <v>3</v>
      </c>
    </row>
    <row r="10" spans="1:29" ht="14.5" x14ac:dyDescent="0.35">
      <c r="A10" s="1" t="s">
        <v>25</v>
      </c>
      <c r="B10" s="2" t="s">
        <v>14</v>
      </c>
      <c r="C10" s="1" t="s">
        <v>15</v>
      </c>
      <c r="D10" s="1" t="str">
        <f t="shared" si="0"/>
        <v>ACS3_9-23_SIA</v>
      </c>
      <c r="E10" s="10">
        <v>45195</v>
      </c>
      <c r="F10" s="25">
        <v>45503</v>
      </c>
      <c r="G10" s="10" t="s">
        <v>16</v>
      </c>
      <c r="I10" s="1" t="s">
        <v>16</v>
      </c>
      <c r="J10" s="1" t="s">
        <v>16</v>
      </c>
      <c r="K10" s="1" t="s">
        <v>17</v>
      </c>
      <c r="L10" s="64">
        <v>6.1734826468974546E-2</v>
      </c>
      <c r="M10" s="65">
        <v>0.72300385851729798</v>
      </c>
      <c r="N10" s="61">
        <v>1.1500387176217262</v>
      </c>
      <c r="O10" s="61">
        <v>7.5125186782643308E-2</v>
      </c>
      <c r="P10" s="62">
        <v>3.7</v>
      </c>
      <c r="R10" s="64">
        <v>3.3836213980485974</v>
      </c>
      <c r="S10" s="65">
        <v>0.39812839224386465</v>
      </c>
      <c r="T10" s="61">
        <v>1.1923321059855574</v>
      </c>
      <c r="U10" s="66">
        <v>5.3372706309743664E-3</v>
      </c>
      <c r="V10" s="62">
        <v>3</v>
      </c>
      <c r="X10" s="64">
        <v>-25.115846688635983</v>
      </c>
      <c r="Y10" s="64">
        <v>0.26428022089184289</v>
      </c>
      <c r="Z10" s="61">
        <v>26.836309531035507</v>
      </c>
      <c r="AA10" s="66">
        <v>0.27577810975297506</v>
      </c>
      <c r="AB10" s="62">
        <v>2.5</v>
      </c>
      <c r="AC10" s="63" t="s">
        <v>294</v>
      </c>
    </row>
    <row r="11" spans="1:29" ht="14.5" x14ac:dyDescent="0.35">
      <c r="A11" s="1" t="s">
        <v>26</v>
      </c>
      <c r="B11" s="2" t="s">
        <v>62</v>
      </c>
      <c r="C11" s="1" t="s">
        <v>15</v>
      </c>
      <c r="D11" s="1" t="str">
        <f t="shared" si="0"/>
        <v>ACS4_4-24_SIA</v>
      </c>
      <c r="E11" s="10">
        <v>45392</v>
      </c>
      <c r="F11" s="24">
        <v>45520</v>
      </c>
      <c r="G11" s="10" t="s">
        <v>16</v>
      </c>
      <c r="I11" s="1" t="s">
        <v>16</v>
      </c>
      <c r="J11" s="1" t="s">
        <v>16</v>
      </c>
      <c r="K11" s="1" t="s">
        <v>17</v>
      </c>
      <c r="L11" s="64">
        <v>-0.47168272072308759</v>
      </c>
      <c r="M11" s="65">
        <v>1.9154270794300978</v>
      </c>
      <c r="N11" s="61">
        <v>0.14247603013561425</v>
      </c>
      <c r="O11" s="61">
        <v>0.33812362545029356</v>
      </c>
      <c r="P11" s="62">
        <v>3.7</v>
      </c>
      <c r="Q11" s="63" t="s">
        <v>252</v>
      </c>
      <c r="V11" s="62">
        <v>2.4</v>
      </c>
      <c r="W11" s="63" t="s">
        <v>269</v>
      </c>
      <c r="X11" s="64">
        <v>-4.8188658837244969</v>
      </c>
      <c r="Y11" s="64">
        <v>0.15385413176358853</v>
      </c>
      <c r="Z11" s="61">
        <v>10.516353299728982</v>
      </c>
      <c r="AA11" s="66">
        <v>4.1713856442887567E-2</v>
      </c>
      <c r="AB11" s="62">
        <v>2.1</v>
      </c>
    </row>
    <row r="12" spans="1:29" ht="14.5" x14ac:dyDescent="0.35">
      <c r="A12" s="1" t="s">
        <v>26</v>
      </c>
      <c r="B12" s="2" t="s">
        <v>14</v>
      </c>
      <c r="C12" s="1" t="s">
        <v>15</v>
      </c>
      <c r="D12" s="1" t="str">
        <f t="shared" si="0"/>
        <v>ACS4_9-23_SIA</v>
      </c>
      <c r="E12" s="10">
        <v>45195</v>
      </c>
      <c r="F12" s="25">
        <v>45503</v>
      </c>
      <c r="G12" s="10" t="s">
        <v>16</v>
      </c>
      <c r="I12" s="1" t="s">
        <v>16</v>
      </c>
      <c r="J12" s="1" t="s">
        <v>16</v>
      </c>
      <c r="K12" s="1" t="s">
        <v>17</v>
      </c>
      <c r="L12" s="64">
        <v>-0.5282792068738642</v>
      </c>
      <c r="M12" s="65">
        <v>1.458459207639472</v>
      </c>
      <c r="N12" s="61">
        <v>0.40838842086652311</v>
      </c>
      <c r="O12" s="61">
        <v>5.6846287213843001E-2</v>
      </c>
      <c r="P12" s="62">
        <v>3.1</v>
      </c>
      <c r="Q12" s="63" t="s">
        <v>253</v>
      </c>
      <c r="V12" s="62">
        <v>3</v>
      </c>
      <c r="W12" s="63" t="s">
        <v>270</v>
      </c>
      <c r="X12" s="64">
        <v>-21.69131386827997</v>
      </c>
      <c r="Y12" s="64">
        <v>0.17367736670731074</v>
      </c>
      <c r="Z12" s="61">
        <v>14.746985501706256</v>
      </c>
      <c r="AA12" s="66">
        <v>0.10889978240039809</v>
      </c>
      <c r="AB12" s="62">
        <v>2.1</v>
      </c>
    </row>
    <row r="13" spans="1:29" ht="14.5" x14ac:dyDescent="0.35">
      <c r="A13" s="1" t="s">
        <v>27</v>
      </c>
      <c r="B13" s="2" t="s">
        <v>62</v>
      </c>
      <c r="C13" s="1" t="s">
        <v>15</v>
      </c>
      <c r="D13" s="1" t="str">
        <f t="shared" si="0"/>
        <v>ACS5_4-24_SIA</v>
      </c>
      <c r="E13" s="10">
        <v>45392</v>
      </c>
      <c r="F13" s="24">
        <v>45523</v>
      </c>
      <c r="G13" s="10" t="s">
        <v>16</v>
      </c>
      <c r="I13" s="1" t="s">
        <v>16</v>
      </c>
      <c r="J13" s="1" t="s">
        <v>16</v>
      </c>
      <c r="K13" s="1" t="s">
        <v>17</v>
      </c>
      <c r="L13" s="64">
        <v>2.1421068690214344</v>
      </c>
      <c r="M13" s="65">
        <v>1.3328004892542764</v>
      </c>
      <c r="N13" s="61">
        <v>0.19403618438790335</v>
      </c>
      <c r="O13" s="61">
        <v>0.37481946328647775</v>
      </c>
      <c r="P13" s="62">
        <v>3.2</v>
      </c>
      <c r="Q13" s="63" t="s">
        <v>254</v>
      </c>
      <c r="R13" s="64">
        <v>4.4156653215562862</v>
      </c>
      <c r="S13" s="65">
        <v>0.3748032060483526</v>
      </c>
      <c r="T13" s="61">
        <v>0.38548319927066588</v>
      </c>
      <c r="U13" s="66">
        <v>1.2150890733715366E-2</v>
      </c>
      <c r="V13" s="62">
        <v>2.6</v>
      </c>
      <c r="X13" s="64">
        <v>-18.938297653713988</v>
      </c>
      <c r="Y13" s="64">
        <v>0.15029041508555879</v>
      </c>
      <c r="Z13" s="61">
        <v>12.291601335187893</v>
      </c>
      <c r="AA13" s="66">
        <v>4.7150485389387639E-2</v>
      </c>
      <c r="AB13" s="62">
        <v>2.7</v>
      </c>
    </row>
    <row r="14" spans="1:29" ht="14.5" x14ac:dyDescent="0.35">
      <c r="A14" s="1" t="s">
        <v>27</v>
      </c>
      <c r="B14" s="2" t="s">
        <v>14</v>
      </c>
      <c r="C14" s="1" t="s">
        <v>15</v>
      </c>
      <c r="D14" s="1" t="str">
        <f t="shared" si="0"/>
        <v>ACS5_9-23_SIA</v>
      </c>
      <c r="E14" s="10">
        <v>45195</v>
      </c>
      <c r="F14" s="24">
        <v>45505</v>
      </c>
      <c r="G14" s="10" t="s">
        <v>16</v>
      </c>
      <c r="I14" s="1" t="s">
        <v>16</v>
      </c>
      <c r="J14" s="1" t="s">
        <v>16</v>
      </c>
      <c r="K14" s="1" t="s">
        <v>17</v>
      </c>
      <c r="L14" s="64">
        <v>2.2705495881985964</v>
      </c>
      <c r="M14" s="65">
        <v>0.70498731117515712</v>
      </c>
      <c r="N14" s="61">
        <v>0.50821791450492848</v>
      </c>
      <c r="O14" s="61">
        <v>3.9320649673071584E-2</v>
      </c>
      <c r="P14" s="62">
        <v>3.3</v>
      </c>
      <c r="V14" s="62">
        <v>2.8</v>
      </c>
      <c r="W14" s="63" t="s">
        <v>271</v>
      </c>
      <c r="X14" s="64">
        <v>-21.012486356552593</v>
      </c>
      <c r="Y14" s="64">
        <v>0.17321068215341615</v>
      </c>
      <c r="Z14" s="61">
        <v>20.907007519216123</v>
      </c>
      <c r="AA14" s="66">
        <v>0.19167632056837136</v>
      </c>
      <c r="AB14" s="62">
        <v>2.2999999999999998</v>
      </c>
    </row>
    <row r="15" spans="1:29" ht="14.5" x14ac:dyDescent="0.35">
      <c r="A15" s="1" t="s">
        <v>55</v>
      </c>
      <c r="B15" s="2" t="s">
        <v>62</v>
      </c>
      <c r="C15" s="1" t="s">
        <v>15</v>
      </c>
      <c r="D15" s="1" t="str">
        <f t="shared" si="0"/>
        <v>CC_4-24_SIA</v>
      </c>
      <c r="E15" s="10">
        <v>45393</v>
      </c>
      <c r="F15" s="24">
        <v>45517</v>
      </c>
      <c r="G15" s="10" t="s">
        <v>16</v>
      </c>
      <c r="I15" s="1" t="s">
        <v>16</v>
      </c>
      <c r="J15" s="1" t="s">
        <v>16</v>
      </c>
      <c r="K15" s="1" t="s">
        <v>17</v>
      </c>
      <c r="L15"/>
      <c r="M15"/>
      <c r="O15" s="61"/>
      <c r="P15" s="62">
        <v>3.4</v>
      </c>
      <c r="Q15" s="63" t="s">
        <v>251</v>
      </c>
      <c r="V15" s="62">
        <v>2.7</v>
      </c>
      <c r="W15" s="63" t="s">
        <v>272</v>
      </c>
      <c r="X15" s="64">
        <v>-13.068648160761212</v>
      </c>
      <c r="Y15" s="64">
        <v>0.151092838121093</v>
      </c>
      <c r="Z15" s="61">
        <v>6.5170915632365292</v>
      </c>
      <c r="AA15" s="66">
        <v>5.2467109270679116E-2</v>
      </c>
      <c r="AB15" s="62">
        <v>2</v>
      </c>
    </row>
    <row r="16" spans="1:29" ht="14.5" x14ac:dyDescent="0.35">
      <c r="A16" s="1" t="s">
        <v>55</v>
      </c>
      <c r="B16" s="2" t="s">
        <v>14</v>
      </c>
      <c r="C16" s="1" t="s">
        <v>15</v>
      </c>
      <c r="D16" s="1" t="str">
        <f t="shared" si="0"/>
        <v>CC_9-23_SIA</v>
      </c>
      <c r="E16" s="10">
        <v>45204</v>
      </c>
      <c r="F16" s="24">
        <v>45509</v>
      </c>
      <c r="G16" s="10" t="s">
        <v>16</v>
      </c>
      <c r="I16" s="1" t="s">
        <v>16</v>
      </c>
      <c r="J16" s="1" t="s">
        <v>16</v>
      </c>
      <c r="K16" s="1" t="s">
        <v>17</v>
      </c>
      <c r="L16" s="64">
        <v>-0.98887985605511819</v>
      </c>
      <c r="M16" s="65">
        <v>0.73448590744869013</v>
      </c>
      <c r="N16" s="61">
        <v>0.49031358503828204</v>
      </c>
      <c r="O16" s="61">
        <v>3.594750495500796E-2</v>
      </c>
      <c r="P16" s="62">
        <v>3.5</v>
      </c>
      <c r="V16" s="62">
        <v>2.2000000000000002</v>
      </c>
      <c r="W16" s="63" t="s">
        <v>273</v>
      </c>
      <c r="X16" s="64">
        <v>-22.218165071411665</v>
      </c>
      <c r="Y16" s="64">
        <v>0.17404666533159796</v>
      </c>
      <c r="Z16" s="61">
        <v>6.1465166365663926</v>
      </c>
      <c r="AA16" s="66">
        <v>4.8138889769704381E-2</v>
      </c>
      <c r="AB16" s="62">
        <v>2.5</v>
      </c>
    </row>
    <row r="17" spans="1:29" ht="14.5" x14ac:dyDescent="0.35">
      <c r="A17" s="1" t="s">
        <v>19</v>
      </c>
      <c r="B17" s="2" t="s">
        <v>61</v>
      </c>
      <c r="C17" s="1" t="s">
        <v>15</v>
      </c>
      <c r="D17" s="1" t="str">
        <f t="shared" si="0"/>
        <v>CP_3-24_SIA</v>
      </c>
      <c r="E17" s="10">
        <v>45358</v>
      </c>
      <c r="F17" s="24">
        <v>45530</v>
      </c>
      <c r="G17" s="10" t="s">
        <v>16</v>
      </c>
      <c r="I17" s="1" t="s">
        <v>16</v>
      </c>
      <c r="J17" s="1" t="s">
        <v>16</v>
      </c>
      <c r="K17" s="1" t="s">
        <v>17</v>
      </c>
      <c r="L17" s="64">
        <v>1.680139128086843</v>
      </c>
      <c r="M17" s="65">
        <v>0.84718253302325841</v>
      </c>
      <c r="N17" s="61">
        <v>0.84992090694635192</v>
      </c>
      <c r="O17" s="61">
        <v>0.13118237340279537</v>
      </c>
      <c r="P17" s="62">
        <v>3.2</v>
      </c>
      <c r="R17" s="64">
        <v>3.8687419279759139</v>
      </c>
      <c r="S17" s="65">
        <v>0.40397567294678849</v>
      </c>
      <c r="T17" s="61">
        <v>1.4224789727878229</v>
      </c>
      <c r="U17" s="66">
        <v>2.3135395542801255E-2</v>
      </c>
      <c r="V17" s="62">
        <v>2.9</v>
      </c>
      <c r="X17" s="64">
        <v>-26.159378473222894</v>
      </c>
      <c r="Y17" s="64">
        <v>0.22598385023667666</v>
      </c>
      <c r="Z17" s="61">
        <v>42.324623205176117</v>
      </c>
      <c r="AA17" s="66">
        <v>0.24365109537402757</v>
      </c>
      <c r="AB17" s="62">
        <v>2</v>
      </c>
      <c r="AC17" s="63" t="s">
        <v>286</v>
      </c>
    </row>
    <row r="18" spans="1:29" ht="14.5" x14ac:dyDescent="0.35">
      <c r="A18" s="1" t="s">
        <v>19</v>
      </c>
      <c r="B18" s="2" t="s">
        <v>14</v>
      </c>
      <c r="C18" s="1" t="s">
        <v>15</v>
      </c>
      <c r="D18" s="1" t="str">
        <f t="shared" si="0"/>
        <v>CP_9-23_SIA</v>
      </c>
      <c r="E18" s="10">
        <v>45184</v>
      </c>
      <c r="F18" s="24">
        <v>45503</v>
      </c>
      <c r="G18" s="10" t="s">
        <v>16</v>
      </c>
      <c r="I18" s="1" t="s">
        <v>16</v>
      </c>
      <c r="J18" s="1" t="s">
        <v>16</v>
      </c>
      <c r="K18" s="1" t="s">
        <v>17</v>
      </c>
      <c r="L18" s="64">
        <v>8.5814821036586899</v>
      </c>
      <c r="M18" s="65">
        <v>0.70293724286480486</v>
      </c>
      <c r="N18" s="61">
        <v>0.75807631239609041</v>
      </c>
      <c r="O18" s="61">
        <v>2.7307614922529078E-2</v>
      </c>
      <c r="P18" s="62">
        <v>3.4</v>
      </c>
      <c r="R18" s="64">
        <v>3.4694017188172288</v>
      </c>
      <c r="S18" s="65">
        <v>0.39816335810426401</v>
      </c>
      <c r="T18" s="61">
        <v>2.3932338795938333</v>
      </c>
      <c r="U18" s="66">
        <v>1.1886705757458845E-2</v>
      </c>
      <c r="V18" s="62">
        <v>2.2999999999999998</v>
      </c>
      <c r="X18" s="64">
        <v>-25.794674200363353</v>
      </c>
      <c r="Y18" s="64">
        <v>0.35342877838697023</v>
      </c>
      <c r="Z18" s="61">
        <v>53.505519361197585</v>
      </c>
      <c r="AA18" s="66">
        <v>0.6340220631047363</v>
      </c>
      <c r="AB18" s="62">
        <v>2.6</v>
      </c>
      <c r="AC18" s="63" t="s">
        <v>295</v>
      </c>
    </row>
    <row r="19" spans="1:29" ht="14.5" x14ac:dyDescent="0.35">
      <c r="A19" s="1" t="s">
        <v>29</v>
      </c>
      <c r="B19" s="2" t="s">
        <v>62</v>
      </c>
      <c r="C19" s="1" t="s">
        <v>15</v>
      </c>
      <c r="D19" s="1" t="str">
        <f t="shared" si="0"/>
        <v>DC1_4-24_SIA</v>
      </c>
      <c r="E19" s="10">
        <v>45392</v>
      </c>
      <c r="F19" s="24">
        <v>45517</v>
      </c>
      <c r="G19" s="10" t="s">
        <v>16</v>
      </c>
      <c r="I19" s="1" t="s">
        <v>16</v>
      </c>
      <c r="J19" s="1" t="s">
        <v>16</v>
      </c>
      <c r="K19" s="1" t="s">
        <v>17</v>
      </c>
      <c r="L19" s="64">
        <v>0.28611162089834341</v>
      </c>
      <c r="M19" s="65">
        <v>0.93701060594606911</v>
      </c>
      <c r="N19" s="61">
        <v>0.23486185680209906</v>
      </c>
      <c r="O19" s="61">
        <v>0.25618333025828954</v>
      </c>
      <c r="P19" s="62">
        <v>4</v>
      </c>
      <c r="R19" s="64">
        <v>3.5755728117710701</v>
      </c>
      <c r="S19" s="65">
        <v>0.37470918808518006</v>
      </c>
      <c r="T19" s="61">
        <v>0.49030975431218959</v>
      </c>
      <c r="U19" s="66">
        <v>1.3957796334129477E-2</v>
      </c>
      <c r="V19" s="62">
        <v>2.2000000000000002</v>
      </c>
      <c r="X19" s="64">
        <v>-18.676728523336806</v>
      </c>
      <c r="Z19" s="61">
        <v>17.776909251248245</v>
      </c>
      <c r="AA19" s="66">
        <v>8.7957466881357624E-2</v>
      </c>
      <c r="AB19" s="62">
        <v>2.6</v>
      </c>
      <c r="AC19" s="63" t="s">
        <v>296</v>
      </c>
    </row>
    <row r="20" spans="1:29" ht="14.5" x14ac:dyDescent="0.35">
      <c r="A20" s="1" t="s">
        <v>29</v>
      </c>
      <c r="B20" s="2" t="s">
        <v>14</v>
      </c>
      <c r="C20" s="1" t="s">
        <v>15</v>
      </c>
      <c r="D20" s="1" t="str">
        <f t="shared" si="0"/>
        <v>DC1_9-23_SIA</v>
      </c>
      <c r="E20" s="10">
        <v>45195</v>
      </c>
      <c r="F20" s="25">
        <v>45503</v>
      </c>
      <c r="G20" s="10" t="s">
        <v>16</v>
      </c>
      <c r="I20" s="1" t="s">
        <v>16</v>
      </c>
      <c r="J20" s="1" t="s">
        <v>16</v>
      </c>
      <c r="K20" s="1" t="s">
        <v>17</v>
      </c>
      <c r="L20" s="64">
        <v>-3.8807122795667315</v>
      </c>
      <c r="M20" s="65">
        <v>0.77492407929743312</v>
      </c>
      <c r="N20" s="61">
        <v>0.4888922513322857</v>
      </c>
      <c r="O20" s="61">
        <v>3.8615162159251065E-2</v>
      </c>
      <c r="P20" s="62">
        <v>3.4</v>
      </c>
      <c r="R20" s="64">
        <v>2.2899223082485185</v>
      </c>
      <c r="S20" s="65">
        <v>0.3977464227212808</v>
      </c>
      <c r="T20" s="61">
        <v>0.74295295910518899</v>
      </c>
      <c r="U20" s="66">
        <v>4.892241086988932E-3</v>
      </c>
      <c r="V20" s="62">
        <v>3</v>
      </c>
      <c r="X20" s="64">
        <v>-19.431932747157511</v>
      </c>
      <c r="Y20" s="64">
        <v>0.17216440424601404</v>
      </c>
      <c r="Z20" s="61">
        <v>25.825379221366902</v>
      </c>
      <c r="AA20" s="66">
        <v>0.26244730217513451</v>
      </c>
      <c r="AB20" s="62">
        <v>2.5</v>
      </c>
    </row>
    <row r="21" spans="1:29" ht="14.5" x14ac:dyDescent="0.35">
      <c r="A21" s="1" t="s">
        <v>31</v>
      </c>
      <c r="B21" s="2" t="s">
        <v>62</v>
      </c>
      <c r="C21" s="1" t="s">
        <v>15</v>
      </c>
      <c r="D21" s="1" t="str">
        <f t="shared" si="0"/>
        <v>DC2_4-24_SIA</v>
      </c>
      <c r="E21" s="10">
        <v>45392</v>
      </c>
      <c r="F21" s="24">
        <v>45517</v>
      </c>
      <c r="G21" s="10" t="s">
        <v>16</v>
      </c>
      <c r="I21" s="1" t="s">
        <v>16</v>
      </c>
      <c r="J21" s="1" t="s">
        <v>16</v>
      </c>
      <c r="K21" s="1" t="s">
        <v>17</v>
      </c>
      <c r="L21"/>
      <c r="M21"/>
      <c r="O21" s="61"/>
      <c r="P21" s="62">
        <v>3.5</v>
      </c>
      <c r="Q21" s="63" t="s">
        <v>251</v>
      </c>
      <c r="V21" s="62">
        <v>2</v>
      </c>
      <c r="W21" s="63" t="s">
        <v>274</v>
      </c>
      <c r="X21" s="64">
        <v>-16.179144625769826</v>
      </c>
      <c r="Z21" s="61">
        <v>6.724119877915717</v>
      </c>
      <c r="AA21" s="66">
        <v>5.6334062917543087E-2</v>
      </c>
      <c r="AB21" s="62">
        <v>2</v>
      </c>
    </row>
    <row r="22" spans="1:29" ht="14.5" x14ac:dyDescent="0.35">
      <c r="A22" s="1" t="s">
        <v>31</v>
      </c>
      <c r="B22" s="2" t="s">
        <v>14</v>
      </c>
      <c r="C22" s="1" t="s">
        <v>15</v>
      </c>
      <c r="D22" s="1" t="str">
        <f t="shared" si="0"/>
        <v>DC2_9-23_SIA</v>
      </c>
      <c r="E22" s="10">
        <v>45195</v>
      </c>
      <c r="F22" s="25">
        <v>45503</v>
      </c>
      <c r="G22" s="10" t="s">
        <v>16</v>
      </c>
      <c r="I22" s="1" t="s">
        <v>16</v>
      </c>
      <c r="J22" s="1" t="s">
        <v>16</v>
      </c>
      <c r="K22" s="1" t="s">
        <v>17</v>
      </c>
      <c r="L22" s="64">
        <v>2.9511221308083933</v>
      </c>
      <c r="M22" s="65">
        <v>0.86869161840335007</v>
      </c>
      <c r="N22" s="61">
        <v>0.39662850116609943</v>
      </c>
      <c r="O22" s="61">
        <v>0.21126323658307877</v>
      </c>
      <c r="P22" s="62">
        <v>3.6</v>
      </c>
      <c r="U22" s="66">
        <v>1.528886980247998E-2</v>
      </c>
      <c r="V22" s="62">
        <v>2.6</v>
      </c>
      <c r="X22" s="64">
        <v>-16.027663434614258</v>
      </c>
      <c r="Y22" s="64">
        <v>0.17010666025400559</v>
      </c>
      <c r="Z22" s="61">
        <v>5.9099802880158325</v>
      </c>
      <c r="AA22" s="66">
        <v>6.2394348160254999E-2</v>
      </c>
      <c r="AB22" s="62">
        <v>2.1</v>
      </c>
    </row>
    <row r="23" spans="1:29" ht="14.5" x14ac:dyDescent="0.35">
      <c r="A23" s="1" t="s">
        <v>30</v>
      </c>
      <c r="B23" s="2" t="s">
        <v>62</v>
      </c>
      <c r="C23" s="1" t="s">
        <v>15</v>
      </c>
      <c r="D23" s="1" t="str">
        <f t="shared" si="0"/>
        <v>DCM1_4-24_SIA</v>
      </c>
      <c r="E23" s="10">
        <v>45392</v>
      </c>
      <c r="F23" s="24">
        <v>45516</v>
      </c>
      <c r="G23" s="10" t="s">
        <v>16</v>
      </c>
      <c r="I23" s="1" t="s">
        <v>16</v>
      </c>
      <c r="J23" s="1" t="s">
        <v>16</v>
      </c>
      <c r="K23" s="1" t="s">
        <v>17</v>
      </c>
      <c r="L23" s="64">
        <v>-1.9513036348611643</v>
      </c>
      <c r="M23" s="65">
        <v>0.99977412564603996</v>
      </c>
      <c r="N23" s="61">
        <v>0.52475567768449805</v>
      </c>
      <c r="O23" s="61">
        <v>0.15627731441196149</v>
      </c>
      <c r="P23" s="62">
        <v>3.5</v>
      </c>
      <c r="R23" s="64">
        <v>3.2112845571905186</v>
      </c>
      <c r="S23" s="65">
        <v>0.37459788561171914</v>
      </c>
      <c r="T23" s="61">
        <v>1.0624263991989604</v>
      </c>
      <c r="U23" s="66">
        <v>8.9890728046230547E-3</v>
      </c>
      <c r="V23" s="62">
        <v>2.2999999999999998</v>
      </c>
      <c r="X23" s="64">
        <v>-23.305236194003591</v>
      </c>
      <c r="Y23" s="64">
        <v>0.15033294766128244</v>
      </c>
      <c r="Z23" s="61">
        <v>29.713100381001965</v>
      </c>
      <c r="AA23" s="66">
        <v>0.1621372634853053</v>
      </c>
      <c r="AB23" s="62">
        <v>2.4</v>
      </c>
    </row>
    <row r="24" spans="1:29" ht="14.5" x14ac:dyDescent="0.35">
      <c r="A24" s="1" t="s">
        <v>30</v>
      </c>
      <c r="B24" s="2" t="s">
        <v>14</v>
      </c>
      <c r="C24" s="1" t="s">
        <v>15</v>
      </c>
      <c r="D24" s="1" t="str">
        <f t="shared" si="0"/>
        <v>DCM1_9-23_SIA</v>
      </c>
      <c r="E24" s="10">
        <v>45195</v>
      </c>
      <c r="F24" s="24">
        <v>45505</v>
      </c>
      <c r="G24" s="10" t="s">
        <v>16</v>
      </c>
      <c r="I24" s="1" t="s">
        <v>16</v>
      </c>
      <c r="J24" s="1" t="s">
        <v>16</v>
      </c>
      <c r="K24" s="1" t="s">
        <v>17</v>
      </c>
      <c r="L24" s="64">
        <v>1.0191321450259094</v>
      </c>
      <c r="M24" s="65">
        <v>0.71414950255941578</v>
      </c>
      <c r="N24" s="61">
        <v>0.79173736691840191</v>
      </c>
      <c r="O24" s="61">
        <v>2.8647457607642472E-2</v>
      </c>
      <c r="P24" s="62">
        <v>3.1</v>
      </c>
      <c r="R24" s="64">
        <v>2.5365407304583405</v>
      </c>
      <c r="S24" s="65">
        <v>0.39782220515681282</v>
      </c>
      <c r="T24" s="61">
        <v>1.0351286678212246</v>
      </c>
      <c r="U24" s="66">
        <v>6.6271187849993142E-3</v>
      </c>
      <c r="V24" s="62">
        <v>2.2000000000000002</v>
      </c>
      <c r="X24" s="64">
        <v>-22.086452270628737</v>
      </c>
      <c r="Y24" s="64">
        <v>0.26093064270884836</v>
      </c>
      <c r="Z24" s="61">
        <v>31.873163680812265</v>
      </c>
      <c r="AA24" s="66">
        <v>0.34555222335752594</v>
      </c>
      <c r="AB24" s="62">
        <v>2.6</v>
      </c>
      <c r="AC24" s="63" t="s">
        <v>294</v>
      </c>
    </row>
    <row r="25" spans="1:29" ht="14.5" x14ac:dyDescent="0.35">
      <c r="A25" s="1" t="s">
        <v>30</v>
      </c>
      <c r="B25" s="2" t="s">
        <v>258</v>
      </c>
      <c r="C25" s="1" t="s">
        <v>15</v>
      </c>
      <c r="D25" s="1" t="str">
        <f t="shared" si="0"/>
        <v>DCM1_9-23_DUP_SIA</v>
      </c>
      <c r="E25" s="10">
        <v>45195</v>
      </c>
      <c r="F25" s="24">
        <v>45505</v>
      </c>
      <c r="G25" s="10" t="s">
        <v>16</v>
      </c>
      <c r="I25" s="1" t="s">
        <v>16</v>
      </c>
      <c r="J25" s="1" t="s">
        <v>16</v>
      </c>
      <c r="K25" s="1" t="s">
        <v>17</v>
      </c>
      <c r="L25" s="64"/>
      <c r="M25" s="65"/>
      <c r="N25" s="61"/>
      <c r="O25" s="61"/>
      <c r="P25" s="62"/>
      <c r="R25" s="64"/>
      <c r="S25" s="65"/>
      <c r="T25" s="61"/>
      <c r="U25" s="66"/>
      <c r="V25" s="62"/>
      <c r="X25" s="64">
        <v>-22.106715778441497</v>
      </c>
      <c r="Y25" s="64">
        <v>0.26095204436931008</v>
      </c>
      <c r="Z25" s="61">
        <v>26.46205420712398</v>
      </c>
      <c r="AA25" s="66">
        <v>0.27667053666906039</v>
      </c>
      <c r="AB25" s="62">
        <v>2.7</v>
      </c>
      <c r="AC25" s="63" t="s">
        <v>294</v>
      </c>
    </row>
    <row r="26" spans="1:29" s="30" customFormat="1" ht="14.5" x14ac:dyDescent="0.35">
      <c r="A26" s="1" t="s">
        <v>32</v>
      </c>
      <c r="B26" s="2" t="s">
        <v>14</v>
      </c>
      <c r="C26" s="1" t="s">
        <v>15</v>
      </c>
      <c r="D26" s="1" t="str">
        <f t="shared" si="0"/>
        <v>DCM2_9-23_SIA</v>
      </c>
      <c r="E26" s="10">
        <v>45195</v>
      </c>
      <c r="F26" s="24">
        <v>45505</v>
      </c>
      <c r="G26" s="10" t="s">
        <v>16</v>
      </c>
      <c r="H26" s="1"/>
      <c r="I26" s="1" t="s">
        <v>16</v>
      </c>
      <c r="J26" s="1" t="s">
        <v>16</v>
      </c>
      <c r="K26" s="1" t="s">
        <v>17</v>
      </c>
      <c r="L26" s="64">
        <v>2.2576481277122227</v>
      </c>
      <c r="M26" s="65">
        <v>0.70506749300590676</v>
      </c>
      <c r="N26" s="61">
        <v>0.59498724822765681</v>
      </c>
      <c r="O26" s="61">
        <v>2.3422568108008957E-2</v>
      </c>
      <c r="P26" s="62">
        <v>3.8</v>
      </c>
      <c r="Q26"/>
      <c r="R26" s="64">
        <v>3.6302398202584167</v>
      </c>
      <c r="S26" s="65">
        <v>0.39823087970621679</v>
      </c>
      <c r="T26" s="61">
        <v>0.8318095315406896</v>
      </c>
      <c r="U26" s="66">
        <v>7.6959316345139106E-3</v>
      </c>
      <c r="V26" s="62">
        <v>2.1</v>
      </c>
      <c r="W26"/>
      <c r="X26" s="64">
        <v>-22.31948261047545</v>
      </c>
      <c r="Y26" s="64">
        <v>0.17411839151901592</v>
      </c>
      <c r="Z26" s="61">
        <v>22.07801904347431</v>
      </c>
      <c r="AA26" s="66">
        <v>0.21617070143468967</v>
      </c>
      <c r="AB26" s="62">
        <v>2.6</v>
      </c>
      <c r="AC26"/>
    </row>
    <row r="27" spans="1:29" ht="14.5" x14ac:dyDescent="0.35">
      <c r="A27" s="1" t="s">
        <v>20</v>
      </c>
      <c r="B27" s="2" t="s">
        <v>61</v>
      </c>
      <c r="C27" s="1" t="s">
        <v>15</v>
      </c>
      <c r="D27" s="1" t="str">
        <f t="shared" si="0"/>
        <v>EP146_3-24_SIA</v>
      </c>
      <c r="E27" s="10">
        <v>45358</v>
      </c>
      <c r="F27" s="24">
        <v>45530</v>
      </c>
      <c r="G27" s="10" t="s">
        <v>16</v>
      </c>
      <c r="I27" s="1" t="s">
        <v>16</v>
      </c>
      <c r="J27" s="1" t="s">
        <v>16</v>
      </c>
      <c r="K27" s="1" t="s">
        <v>17</v>
      </c>
      <c r="L27" s="64">
        <v>2.3769748311334515</v>
      </c>
      <c r="M27" s="65">
        <v>0.70433737725572076</v>
      </c>
      <c r="N27" s="61">
        <v>0.37610713080011815</v>
      </c>
      <c r="O27" s="61">
        <v>4.1295941819788497E-2</v>
      </c>
      <c r="P27" s="62">
        <v>3.8</v>
      </c>
      <c r="R27" s="64">
        <v>4.0304294902719002</v>
      </c>
      <c r="S27" s="65">
        <v>0.40413032730826753</v>
      </c>
      <c r="T27" s="61">
        <v>0.47110712884232475</v>
      </c>
      <c r="U27" s="66">
        <v>1.6589681580723738E-2</v>
      </c>
      <c r="V27" s="62">
        <v>2.7</v>
      </c>
      <c r="X27" s="64">
        <v>-26.169463781630036</v>
      </c>
      <c r="Y27" s="64">
        <v>0.22598618008258756</v>
      </c>
      <c r="Z27" s="61">
        <v>47.205107225646664</v>
      </c>
      <c r="AA27" s="66">
        <v>0.28908652550013486</v>
      </c>
      <c r="AB27" s="62">
        <v>2.2999999999999998</v>
      </c>
      <c r="AC27" s="63" t="s">
        <v>286</v>
      </c>
    </row>
    <row r="28" spans="1:29" ht="14.5" x14ac:dyDescent="0.35">
      <c r="A28" s="1" t="s">
        <v>20</v>
      </c>
      <c r="B28" s="2" t="s">
        <v>14</v>
      </c>
      <c r="C28" s="1" t="s">
        <v>15</v>
      </c>
      <c r="D28" s="1" t="str">
        <f t="shared" si="0"/>
        <v>EP146_9-23_SIA</v>
      </c>
      <c r="E28" s="10">
        <v>45184</v>
      </c>
      <c r="F28" s="24">
        <v>45503</v>
      </c>
      <c r="G28" s="10" t="s">
        <v>16</v>
      </c>
      <c r="I28" s="1" t="s">
        <v>16</v>
      </c>
      <c r="J28" s="1" t="s">
        <v>16</v>
      </c>
      <c r="K28" s="1" t="s">
        <v>17</v>
      </c>
      <c r="R28" s="64">
        <v>2.407870249305391</v>
      </c>
      <c r="S28" s="65">
        <v>0.39778191413448788</v>
      </c>
      <c r="T28" s="61">
        <v>1.1174026382834443</v>
      </c>
      <c r="U28" s="66">
        <v>6.8852471265671749E-3</v>
      </c>
      <c r="V28" s="62">
        <v>2.1</v>
      </c>
      <c r="X28" s="64">
        <v>-28.52011600117924</v>
      </c>
      <c r="Y28" s="64">
        <v>0.35785999221602327</v>
      </c>
      <c r="Z28" s="61">
        <v>52.995197337732804</v>
      </c>
      <c r="AA28" s="66">
        <v>0.61667136955822155</v>
      </c>
      <c r="AB28" s="62">
        <v>2.2999999999999998</v>
      </c>
      <c r="AC28" s="63" t="s">
        <v>295</v>
      </c>
    </row>
    <row r="29" spans="1:29" ht="14.5" x14ac:dyDescent="0.35">
      <c r="A29" s="1" t="s">
        <v>20</v>
      </c>
      <c r="B29" s="2" t="s">
        <v>258</v>
      </c>
      <c r="C29" s="1" t="s">
        <v>15</v>
      </c>
      <c r="D29" s="1" t="str">
        <f t="shared" si="0"/>
        <v>EP146_9-23_DUP_SIA</v>
      </c>
      <c r="E29" s="10">
        <v>45184</v>
      </c>
      <c r="F29" s="24">
        <v>45503</v>
      </c>
      <c r="G29" s="10" t="s">
        <v>16</v>
      </c>
      <c r="I29" s="1" t="s">
        <v>16</v>
      </c>
      <c r="J29" s="1" t="s">
        <v>16</v>
      </c>
      <c r="K29" s="1" t="s">
        <v>17</v>
      </c>
      <c r="R29" s="64">
        <v>2.6544886715152129</v>
      </c>
      <c r="S29" s="65">
        <v>0.39786058020410886</v>
      </c>
      <c r="T29" s="61">
        <v>1.0289571184074431</v>
      </c>
      <c r="U29" s="66">
        <v>5.6879596920917071E-3</v>
      </c>
      <c r="V29" s="62">
        <v>2.5</v>
      </c>
    </row>
    <row r="30" spans="1:29" ht="14.5" x14ac:dyDescent="0.35">
      <c r="A30" s="1" t="s">
        <v>33</v>
      </c>
      <c r="B30" s="2" t="s">
        <v>62</v>
      </c>
      <c r="C30" s="1" t="s">
        <v>15</v>
      </c>
      <c r="D30" s="1" t="str">
        <f t="shared" si="0"/>
        <v>GB1_4-24_SIA</v>
      </c>
      <c r="E30" s="10">
        <v>45392</v>
      </c>
      <c r="F30" s="24">
        <v>45517</v>
      </c>
      <c r="G30" s="10" t="s">
        <v>16</v>
      </c>
      <c r="I30" s="1" t="s">
        <v>16</v>
      </c>
      <c r="J30" s="1" t="s">
        <v>16</v>
      </c>
      <c r="K30" s="1" t="s">
        <v>17</v>
      </c>
      <c r="L30" s="64">
        <v>-1.2823296861006539</v>
      </c>
      <c r="M30" s="65">
        <v>0.98054893649448982</v>
      </c>
      <c r="N30" s="61">
        <v>0.43451211328566131</v>
      </c>
      <c r="O30" s="61">
        <v>0.2159379847887726</v>
      </c>
      <c r="P30" s="62">
        <v>3.4</v>
      </c>
      <c r="R30" s="64">
        <v>3.9943531240764401</v>
      </c>
      <c r="S30" s="65">
        <v>0.37476010267766602</v>
      </c>
      <c r="T30" s="61">
        <v>0.39861134661329678</v>
      </c>
      <c r="U30" s="66">
        <v>1.4175727346306042E-2</v>
      </c>
      <c r="V30" s="62">
        <v>2.2999999999999998</v>
      </c>
      <c r="X30" s="64">
        <v>-10.496382883127541</v>
      </c>
      <c r="Z30" s="61">
        <v>17.956253289426684</v>
      </c>
      <c r="AA30" s="66">
        <v>7.9428861235025516E-2</v>
      </c>
      <c r="AB30" s="62">
        <v>2</v>
      </c>
    </row>
    <row r="31" spans="1:29" ht="14.5" x14ac:dyDescent="0.35">
      <c r="A31" s="1" t="s">
        <v>33</v>
      </c>
      <c r="B31" s="2" t="s">
        <v>14</v>
      </c>
      <c r="C31" s="1" t="s">
        <v>15</v>
      </c>
      <c r="D31" s="1" t="str">
        <f t="shared" si="0"/>
        <v>GB1_9-23_SIA</v>
      </c>
      <c r="E31" s="10">
        <v>45195</v>
      </c>
      <c r="F31" s="25">
        <v>45503</v>
      </c>
      <c r="G31" s="10" t="s">
        <v>16</v>
      </c>
      <c r="I31" s="1" t="s">
        <v>16</v>
      </c>
      <c r="J31" s="1" t="s">
        <v>16</v>
      </c>
      <c r="K31" s="1" t="s">
        <v>17</v>
      </c>
      <c r="L31" s="64">
        <v>2.3413710053476953</v>
      </c>
      <c r="M31" s="65">
        <v>0.70455252452677475</v>
      </c>
      <c r="N31" s="61">
        <v>0.44802267264461376</v>
      </c>
      <c r="O31" s="61">
        <v>4.3014849090677987E-2</v>
      </c>
      <c r="P31" s="62">
        <v>3.4</v>
      </c>
      <c r="V31" s="62">
        <v>2.2000000000000002</v>
      </c>
      <c r="W31" s="63" t="s">
        <v>275</v>
      </c>
      <c r="X31" s="64">
        <v>-16.524119376026814</v>
      </c>
      <c r="Y31" s="64">
        <v>0.17038982278216888</v>
      </c>
      <c r="Z31" s="61">
        <v>17.484067349850328</v>
      </c>
      <c r="AA31" s="66">
        <v>0.16145661675581452</v>
      </c>
      <c r="AB31" s="62">
        <v>2.8</v>
      </c>
    </row>
    <row r="32" spans="1:29" ht="14.5" x14ac:dyDescent="0.35">
      <c r="A32" s="1" t="s">
        <v>33</v>
      </c>
      <c r="B32" s="2" t="s">
        <v>258</v>
      </c>
      <c r="C32" s="1" t="s">
        <v>15</v>
      </c>
      <c r="D32" s="1" t="str">
        <f t="shared" si="0"/>
        <v>GB1_9-23_DUP_SIA</v>
      </c>
      <c r="E32" s="10">
        <v>45195</v>
      </c>
      <c r="F32" s="25">
        <v>45503</v>
      </c>
      <c r="G32" s="10" t="s">
        <v>16</v>
      </c>
      <c r="I32" s="1" t="s">
        <v>16</v>
      </c>
      <c r="J32" s="1" t="s">
        <v>16</v>
      </c>
      <c r="K32" s="1" t="s">
        <v>17</v>
      </c>
      <c r="L32" s="64">
        <v>-6.1076577019480993E-2</v>
      </c>
      <c r="M32" s="65">
        <v>0.72425213106731645</v>
      </c>
      <c r="N32" s="61">
        <v>0.40077507914973631</v>
      </c>
      <c r="O32" s="61">
        <v>3.6375158357611806E-2</v>
      </c>
      <c r="P32" s="62">
        <v>3.9</v>
      </c>
      <c r="R32" s="64"/>
      <c r="S32" s="65"/>
      <c r="T32" s="61"/>
      <c r="U32" s="66"/>
      <c r="V32" s="62"/>
    </row>
    <row r="33" spans="1:29" ht="14.5" x14ac:dyDescent="0.35">
      <c r="A33" s="1" t="s">
        <v>42</v>
      </c>
      <c r="B33" s="2" t="s">
        <v>62</v>
      </c>
      <c r="C33" s="1" t="s">
        <v>15</v>
      </c>
      <c r="D33" s="1" t="str">
        <f t="shared" si="0"/>
        <v>GB2_4-24_SIA</v>
      </c>
      <c r="E33" s="10">
        <v>45393</v>
      </c>
      <c r="F33" s="24">
        <v>45517</v>
      </c>
      <c r="G33" s="10" t="s">
        <v>16</v>
      </c>
      <c r="I33" s="1" t="s">
        <v>16</v>
      </c>
      <c r="J33" s="1" t="s">
        <v>16</v>
      </c>
      <c r="K33" s="1" t="s">
        <v>17</v>
      </c>
      <c r="L33" s="64">
        <v>-3.0559047586279311</v>
      </c>
      <c r="M33" s="65">
        <v>2.0645444480327826</v>
      </c>
      <c r="N33" s="61">
        <v>0.20183357342272315</v>
      </c>
      <c r="O33" s="61">
        <v>0.37052958066800057</v>
      </c>
      <c r="P33" s="62">
        <v>3.2</v>
      </c>
      <c r="Q33" s="63" t="s">
        <v>252</v>
      </c>
      <c r="R33" s="64">
        <v>3.1268640251556832</v>
      </c>
      <c r="S33" s="65">
        <v>0.37467260280573345</v>
      </c>
      <c r="T33" s="61">
        <v>0.40171635981633069</v>
      </c>
      <c r="U33" s="66">
        <v>1.1347793648867177E-2</v>
      </c>
      <c r="V33" s="62">
        <v>2.7</v>
      </c>
      <c r="X33" s="64">
        <v>-7.5620697704653104</v>
      </c>
      <c r="Y33" s="64">
        <v>0.15272844507588235</v>
      </c>
      <c r="Z33" s="61">
        <v>13.842551790002391</v>
      </c>
      <c r="AA33" s="66">
        <v>5.145544871243575E-2</v>
      </c>
      <c r="AB33" s="62">
        <v>2.2000000000000002</v>
      </c>
    </row>
    <row r="34" spans="1:29" ht="14.5" x14ac:dyDescent="0.35">
      <c r="A34" s="1" t="s">
        <v>42</v>
      </c>
      <c r="B34" s="2" t="s">
        <v>14</v>
      </c>
      <c r="C34" s="1" t="s">
        <v>15</v>
      </c>
      <c r="D34" s="1" t="str">
        <f t="shared" si="0"/>
        <v>GB2_9-23_SIA</v>
      </c>
      <c r="E34" s="10">
        <v>45196</v>
      </c>
      <c r="F34" s="24">
        <v>45502</v>
      </c>
      <c r="G34" s="10" t="s">
        <v>16</v>
      </c>
      <c r="I34" s="1" t="s">
        <v>16</v>
      </c>
      <c r="J34" s="1" t="s">
        <v>16</v>
      </c>
      <c r="K34" s="1" t="s">
        <v>17</v>
      </c>
      <c r="L34" s="64">
        <v>-3.1458449672515028</v>
      </c>
      <c r="M34" s="65">
        <v>1.5269768637496604</v>
      </c>
      <c r="N34" s="61">
        <v>0.3743400804771656</v>
      </c>
      <c r="O34" s="61">
        <v>5.1590793226908974E-2</v>
      </c>
      <c r="P34" s="62">
        <v>3.4</v>
      </c>
      <c r="Q34" s="63" t="s">
        <v>253</v>
      </c>
      <c r="V34" s="62">
        <v>2.2999999999999998</v>
      </c>
      <c r="W34" s="63" t="s">
        <v>276</v>
      </c>
      <c r="X34" s="64">
        <v>-15.521075739295318</v>
      </c>
      <c r="Y34" s="64">
        <v>0.16982375651710571</v>
      </c>
      <c r="Z34" s="61">
        <v>16.603579329314091</v>
      </c>
      <c r="AA34" s="66">
        <v>0.14778845787962169</v>
      </c>
      <c r="AB34" s="62">
        <v>2.7</v>
      </c>
    </row>
    <row r="35" spans="1:29" ht="14.5" x14ac:dyDescent="0.35">
      <c r="A35" s="1" t="s">
        <v>28</v>
      </c>
      <c r="B35" s="2" t="s">
        <v>14</v>
      </c>
      <c r="C35" s="1" t="s">
        <v>15</v>
      </c>
      <c r="D35" s="1" t="str">
        <f t="shared" si="0"/>
        <v>GBHM_9-23_SIA</v>
      </c>
      <c r="E35" s="10">
        <v>45195</v>
      </c>
      <c r="F35" s="24">
        <v>45505</v>
      </c>
      <c r="G35" s="10" t="s">
        <v>16</v>
      </c>
      <c r="I35" s="1" t="s">
        <v>16</v>
      </c>
      <c r="J35" s="1" t="s">
        <v>16</v>
      </c>
      <c r="K35" s="1" t="s">
        <v>17</v>
      </c>
      <c r="L35" s="64">
        <v>3.6707885373950422</v>
      </c>
      <c r="M35" s="65">
        <v>1.3961879743865795</v>
      </c>
      <c r="N35" s="61">
        <v>0.33461279119554332</v>
      </c>
      <c r="O35" s="61">
        <v>4.6199144092862771E-2</v>
      </c>
      <c r="P35" s="62">
        <v>3.8</v>
      </c>
      <c r="Q35" s="63" t="s">
        <v>253</v>
      </c>
      <c r="V35" s="62">
        <v>2.6</v>
      </c>
      <c r="W35" s="63" t="s">
        <v>277</v>
      </c>
      <c r="X35" s="64">
        <v>-20.26955836345585</v>
      </c>
      <c r="Y35" s="64">
        <v>0.15024541621343893</v>
      </c>
      <c r="Z35" s="61">
        <v>11.060468772651328</v>
      </c>
      <c r="AA35" s="66">
        <v>4.0896812230851329E-2</v>
      </c>
      <c r="AB35" s="62">
        <v>2.7</v>
      </c>
    </row>
    <row r="36" spans="1:29" ht="14.5" x14ac:dyDescent="0.35">
      <c r="A36" s="1" t="s">
        <v>54</v>
      </c>
      <c r="B36" s="2" t="s">
        <v>62</v>
      </c>
      <c r="C36" s="1" t="s">
        <v>15</v>
      </c>
      <c r="D36" s="1" t="str">
        <f t="shared" si="0"/>
        <v>JB_4-24_SIA</v>
      </c>
      <c r="E36" s="10">
        <v>45393</v>
      </c>
      <c r="F36" s="24">
        <v>45520</v>
      </c>
      <c r="G36" s="10" t="s">
        <v>16</v>
      </c>
      <c r="I36" s="1" t="s">
        <v>16</v>
      </c>
      <c r="J36" s="1" t="s">
        <v>16</v>
      </c>
      <c r="K36" s="1" t="s">
        <v>17</v>
      </c>
      <c r="L36" s="64">
        <v>-1.9220166192320596</v>
      </c>
      <c r="M36" s="65">
        <v>1.4983296286245391</v>
      </c>
      <c r="N36" s="61">
        <v>0.23054327116412943</v>
      </c>
      <c r="O36" s="61">
        <v>0.38684487836864145</v>
      </c>
      <c r="P36" s="62">
        <v>3</v>
      </c>
      <c r="Q36" s="63" t="s">
        <v>254</v>
      </c>
      <c r="R36" s="64">
        <v>1.4957915885600979</v>
      </c>
      <c r="S36" s="65">
        <v>0.37461499607903803</v>
      </c>
      <c r="T36" s="61">
        <v>0.44439880825519656</v>
      </c>
      <c r="U36" s="66">
        <v>1.4491390322574351E-2</v>
      </c>
      <c r="V36" s="62">
        <v>2.2000000000000002</v>
      </c>
      <c r="X36" s="64">
        <v>-14.419713054204422</v>
      </c>
      <c r="Z36" s="61">
        <v>18.982245290113781</v>
      </c>
      <c r="AA36" s="66">
        <v>9.5030850580363271E-2</v>
      </c>
      <c r="AB36" s="62">
        <v>2.5</v>
      </c>
      <c r="AC36" s="63" t="s">
        <v>296</v>
      </c>
    </row>
    <row r="37" spans="1:29" ht="14.5" x14ac:dyDescent="0.35">
      <c r="A37" s="1" t="s">
        <v>54</v>
      </c>
      <c r="B37" s="2" t="s">
        <v>14</v>
      </c>
      <c r="C37" s="1" t="s">
        <v>15</v>
      </c>
      <c r="D37" s="1" t="str">
        <f t="shared" si="0"/>
        <v>JB_9-23_SIA</v>
      </c>
      <c r="E37" s="10">
        <v>45204</v>
      </c>
      <c r="F37" s="24">
        <v>45509</v>
      </c>
      <c r="G37" s="10" t="s">
        <v>16</v>
      </c>
      <c r="I37" s="1" t="s">
        <v>16</v>
      </c>
      <c r="J37" s="1" t="s">
        <v>16</v>
      </c>
      <c r="K37" s="1" t="s">
        <v>17</v>
      </c>
      <c r="L37" s="64">
        <v>0.24673090326256464</v>
      </c>
      <c r="M37" s="65">
        <v>0.7211713096893414</v>
      </c>
      <c r="N37" s="61">
        <v>0.64231645616782751</v>
      </c>
      <c r="O37" s="61">
        <v>3.5594216893586994E-2</v>
      </c>
      <c r="P37" s="62">
        <v>3</v>
      </c>
      <c r="V37" s="62">
        <v>2.1</v>
      </c>
      <c r="W37" s="63" t="s">
        <v>278</v>
      </c>
      <c r="X37" s="64">
        <v>-15.186727860384817</v>
      </c>
      <c r="Y37" s="64">
        <v>0.16964039560002872</v>
      </c>
      <c r="Z37" s="61">
        <v>18.844403187951112</v>
      </c>
      <c r="AA37" s="66">
        <v>0.16189827034544474</v>
      </c>
      <c r="AB37" s="62">
        <v>2.2000000000000002</v>
      </c>
    </row>
    <row r="38" spans="1:29" ht="14.5" x14ac:dyDescent="0.35">
      <c r="A38" s="1" t="s">
        <v>34</v>
      </c>
      <c r="B38" s="2" t="s">
        <v>62</v>
      </c>
      <c r="C38" s="1" t="s">
        <v>15</v>
      </c>
      <c r="D38" s="1" t="str">
        <f t="shared" si="0"/>
        <v>MCS1_4-24_SIA</v>
      </c>
      <c r="E38" s="10">
        <v>45390</v>
      </c>
      <c r="F38" s="24">
        <v>45517</v>
      </c>
      <c r="G38" s="10" t="s">
        <v>16</v>
      </c>
      <c r="I38" s="1" t="s">
        <v>16</v>
      </c>
      <c r="J38" s="1" t="s">
        <v>16</v>
      </c>
      <c r="K38" s="1" t="s">
        <v>17</v>
      </c>
      <c r="L38" s="64">
        <v>-7.6674926006232269</v>
      </c>
      <c r="M38" s="65">
        <v>0.84477956702288015</v>
      </c>
      <c r="N38" s="61">
        <v>0.75521025138375775</v>
      </c>
      <c r="O38" s="61">
        <v>2.7181363196197336E-2</v>
      </c>
      <c r="P38" s="62">
        <v>3.4</v>
      </c>
      <c r="R38" s="64">
        <v>3.8570326017805936</v>
      </c>
      <c r="S38" s="65">
        <v>0.80870986757920083</v>
      </c>
      <c r="T38" s="61">
        <v>0.38255363222584848</v>
      </c>
      <c r="U38" s="66">
        <v>2.209007221844593E-2</v>
      </c>
      <c r="V38" s="62">
        <v>2.4</v>
      </c>
      <c r="W38" s="63" t="s">
        <v>264</v>
      </c>
      <c r="X38" s="64">
        <v>-24.217926806197962</v>
      </c>
      <c r="Z38" s="61">
        <v>13.338136576746153</v>
      </c>
      <c r="AA38" s="66">
        <v>5.6057854008619422E-2</v>
      </c>
      <c r="AB38" s="62">
        <v>2.2999999999999998</v>
      </c>
    </row>
    <row r="39" spans="1:29" ht="14.5" x14ac:dyDescent="0.35">
      <c r="A39" s="1" t="s">
        <v>34</v>
      </c>
      <c r="B39" s="2" t="s">
        <v>259</v>
      </c>
      <c r="C39" s="1" t="s">
        <v>15</v>
      </c>
      <c r="D39" s="1" t="str">
        <f t="shared" si="0"/>
        <v>MCS1_4-24_DUP_SIA</v>
      </c>
      <c r="E39" s="10">
        <v>45390</v>
      </c>
      <c r="F39" s="24">
        <v>45517</v>
      </c>
      <c r="G39" s="10" t="s">
        <v>16</v>
      </c>
      <c r="I39" s="1" t="s">
        <v>16</v>
      </c>
      <c r="J39" s="1" t="s">
        <v>16</v>
      </c>
      <c r="K39" s="1" t="s">
        <v>17</v>
      </c>
      <c r="L39" s="64">
        <v>-14.351077840984566</v>
      </c>
      <c r="M39" s="65">
        <v>1.4026099165680674</v>
      </c>
      <c r="N39" s="61">
        <v>0.34292220516864258</v>
      </c>
      <c r="O39" s="61">
        <v>0.21774162313486395</v>
      </c>
      <c r="P39" s="62">
        <v>3.8</v>
      </c>
    </row>
    <row r="40" spans="1:29" ht="14.5" x14ac:dyDescent="0.35">
      <c r="A40" s="1" t="s">
        <v>34</v>
      </c>
      <c r="B40" s="2" t="s">
        <v>14</v>
      </c>
      <c r="C40" s="1" t="s">
        <v>15</v>
      </c>
      <c r="D40" s="1" t="str">
        <f t="shared" si="0"/>
        <v>MCS1_9-23_SIA</v>
      </c>
      <c r="E40" s="10">
        <v>45196</v>
      </c>
      <c r="F40" s="24">
        <v>45502</v>
      </c>
      <c r="G40" s="10" t="s">
        <v>16</v>
      </c>
      <c r="I40" s="1" t="s">
        <v>16</v>
      </c>
      <c r="J40" s="1" t="s">
        <v>16</v>
      </c>
      <c r="K40" s="1" t="s">
        <v>17</v>
      </c>
      <c r="L40" s="64">
        <v>-3.3625015948794901</v>
      </c>
      <c r="M40" s="65">
        <v>0.76678151048281085</v>
      </c>
      <c r="N40" s="61">
        <v>0.82437462343581491</v>
      </c>
      <c r="O40" s="61">
        <v>2.9969073876668171E-2</v>
      </c>
      <c r="P40" s="62">
        <v>3.2</v>
      </c>
      <c r="R40" s="64">
        <v>2.6759337517073707</v>
      </c>
      <c r="S40" s="65">
        <v>0.39786770560288615</v>
      </c>
      <c r="T40" s="61">
        <v>0.47917974546589603</v>
      </c>
      <c r="U40" s="66">
        <v>7.9273706378717567E-3</v>
      </c>
      <c r="V40" s="62">
        <v>2.4</v>
      </c>
      <c r="X40" s="64">
        <v>-24.59912723941067</v>
      </c>
      <c r="Y40" s="64">
        <v>0.17579182816648201</v>
      </c>
      <c r="Z40" s="61">
        <v>8.8176048984000772</v>
      </c>
      <c r="AA40" s="66">
        <v>5.9966854948383913E-2</v>
      </c>
      <c r="AB40" s="62">
        <v>3</v>
      </c>
    </row>
    <row r="41" spans="1:29" ht="14.5" x14ac:dyDescent="0.35">
      <c r="A41" s="1" t="s">
        <v>35</v>
      </c>
      <c r="B41" s="2" t="s">
        <v>62</v>
      </c>
      <c r="C41" s="1" t="s">
        <v>15</v>
      </c>
      <c r="D41" s="1" t="str">
        <f t="shared" si="0"/>
        <v>MCS2_4-24_SIA</v>
      </c>
      <c r="E41" s="10">
        <v>45390</v>
      </c>
      <c r="F41" s="24">
        <v>45523</v>
      </c>
      <c r="G41" s="10" t="s">
        <v>16</v>
      </c>
      <c r="I41" s="1" t="s">
        <v>16</v>
      </c>
      <c r="J41" s="1" t="s">
        <v>16</v>
      </c>
      <c r="K41" s="1" t="s">
        <v>17</v>
      </c>
      <c r="L41" s="64">
        <v>-17.189304793522567</v>
      </c>
      <c r="M41" s="65">
        <v>1.5029449592876878</v>
      </c>
      <c r="N41" s="61">
        <v>0.35584729034213791</v>
      </c>
      <c r="O41" s="61">
        <v>0.25814872162496338</v>
      </c>
      <c r="P41" s="62">
        <v>3.4</v>
      </c>
      <c r="R41" s="64">
        <v>5.3782616798191309</v>
      </c>
      <c r="S41" s="65">
        <v>0.37495664371809828</v>
      </c>
      <c r="T41" s="61">
        <v>0.30503333404447569</v>
      </c>
      <c r="U41" s="66">
        <v>1.4525870729993725E-2</v>
      </c>
      <c r="V41" s="62">
        <v>2.4</v>
      </c>
      <c r="X41" s="64">
        <v>-22.549500315920426</v>
      </c>
      <c r="Z41" s="61">
        <v>7.8681860922275968</v>
      </c>
      <c r="AA41" s="66">
        <v>3.4801103941841598E-2</v>
      </c>
      <c r="AB41" s="62">
        <v>2.9</v>
      </c>
    </row>
    <row r="42" spans="1:29" ht="14.5" x14ac:dyDescent="0.35">
      <c r="A42" s="1" t="s">
        <v>35</v>
      </c>
      <c r="B42" s="2" t="s">
        <v>14</v>
      </c>
      <c r="C42" s="1" t="s">
        <v>15</v>
      </c>
      <c r="D42" s="1" t="str">
        <f t="shared" si="0"/>
        <v>MCS2_9-23_SIA</v>
      </c>
      <c r="E42" s="10">
        <v>45196</v>
      </c>
      <c r="F42" s="24">
        <v>45502</v>
      </c>
      <c r="G42" s="10" t="s">
        <v>16</v>
      </c>
      <c r="I42" s="1" t="s">
        <v>16</v>
      </c>
      <c r="J42" s="1" t="s">
        <v>16</v>
      </c>
      <c r="K42" s="1" t="s">
        <v>17</v>
      </c>
      <c r="L42" s="64">
        <v>-9.6588610449191474</v>
      </c>
      <c r="M42" s="65">
        <v>0.88784330803046452</v>
      </c>
      <c r="N42" s="61">
        <v>0.40198732320804742</v>
      </c>
      <c r="O42" s="61">
        <v>4.5572137763230595E-2</v>
      </c>
      <c r="P42" s="62">
        <v>3.5</v>
      </c>
      <c r="V42" s="62">
        <v>2.8</v>
      </c>
      <c r="W42" s="63" t="s">
        <v>279</v>
      </c>
      <c r="X42" s="64">
        <v>-22.380273133913725</v>
      </c>
      <c r="Y42" s="64">
        <v>0.17416153643113932</v>
      </c>
      <c r="Z42" s="61">
        <v>9.8635909479626456</v>
      </c>
      <c r="AA42" s="66">
        <v>6.3168717030679833E-2</v>
      </c>
      <c r="AB42" s="62">
        <v>2.1</v>
      </c>
    </row>
    <row r="43" spans="1:29" ht="14.5" x14ac:dyDescent="0.35">
      <c r="A43" s="1" t="s">
        <v>36</v>
      </c>
      <c r="B43" s="2" t="s">
        <v>62</v>
      </c>
      <c r="C43" s="1" t="s">
        <v>15</v>
      </c>
      <c r="D43" s="1" t="str">
        <f t="shared" si="0"/>
        <v>MCS3_4-24_SIA</v>
      </c>
      <c r="E43" s="10">
        <v>45390</v>
      </c>
      <c r="F43" s="24">
        <v>45520</v>
      </c>
      <c r="G43" s="10" t="s">
        <v>16</v>
      </c>
      <c r="I43" s="1" t="s">
        <v>16</v>
      </c>
      <c r="J43" s="1" t="s">
        <v>16</v>
      </c>
      <c r="K43" s="1" t="s">
        <v>17</v>
      </c>
      <c r="L43"/>
      <c r="M43"/>
      <c r="O43" s="61"/>
      <c r="P43" s="62">
        <v>3.4</v>
      </c>
      <c r="Q43" s="63" t="s">
        <v>251</v>
      </c>
      <c r="V43" s="62">
        <v>2.2999999999999998</v>
      </c>
      <c r="W43" s="63" t="s">
        <v>280</v>
      </c>
      <c r="X43" s="64">
        <v>-20.62254415770559</v>
      </c>
      <c r="Y43" s="64">
        <v>0.15024201195856893</v>
      </c>
      <c r="Z43" s="61">
        <v>12.880121954004405</v>
      </c>
      <c r="AA43" s="66">
        <v>4.7065513114055352E-2</v>
      </c>
      <c r="AB43" s="62">
        <v>2.1</v>
      </c>
    </row>
    <row r="44" spans="1:29" ht="14.5" x14ac:dyDescent="0.35">
      <c r="A44" s="1" t="s">
        <v>36</v>
      </c>
      <c r="B44" s="2" t="s">
        <v>14</v>
      </c>
      <c r="C44" s="1" t="s">
        <v>15</v>
      </c>
      <c r="D44" s="1" t="str">
        <f t="shared" si="0"/>
        <v>MCS3_9-23_SIA</v>
      </c>
      <c r="E44" s="10">
        <v>45196</v>
      </c>
      <c r="F44" s="24">
        <v>45502</v>
      </c>
      <c r="G44" s="10" t="s">
        <v>16</v>
      </c>
      <c r="I44" s="1" t="s">
        <v>16</v>
      </c>
      <c r="J44" s="1" t="s">
        <v>16</v>
      </c>
      <c r="K44" s="1" t="s">
        <v>17</v>
      </c>
      <c r="L44" s="64">
        <v>-6.9774456251416819</v>
      </c>
      <c r="M44" s="65">
        <v>1.6615991122110263</v>
      </c>
      <c r="N44" s="61">
        <v>0.37986909581591732</v>
      </c>
      <c r="O44" s="61">
        <v>5.0925577767338588E-2</v>
      </c>
      <c r="P44" s="62">
        <v>3.4</v>
      </c>
      <c r="Q44" s="63" t="s">
        <v>253</v>
      </c>
      <c r="V44" s="62">
        <v>2.9</v>
      </c>
      <c r="W44" s="63" t="s">
        <v>281</v>
      </c>
      <c r="X44" s="64">
        <v>-20.779456016705883</v>
      </c>
      <c r="Y44" s="64">
        <v>0.1730528642450879</v>
      </c>
      <c r="Z44" s="61">
        <v>13.213961410636301</v>
      </c>
      <c r="AA44" s="66">
        <v>0.10533531033474389</v>
      </c>
      <c r="AB44" s="62">
        <v>2.7</v>
      </c>
    </row>
    <row r="45" spans="1:29" ht="14.5" x14ac:dyDescent="0.35">
      <c r="A45" s="1" t="s">
        <v>37</v>
      </c>
      <c r="B45" s="2" t="s">
        <v>62</v>
      </c>
      <c r="C45" s="1" t="s">
        <v>15</v>
      </c>
      <c r="D45" s="1" t="str">
        <f t="shared" si="0"/>
        <v>MCS4_4-24_SIA</v>
      </c>
      <c r="E45" s="10">
        <v>45390</v>
      </c>
      <c r="F45" s="24">
        <v>45516</v>
      </c>
      <c r="G45" s="10" t="s">
        <v>16</v>
      </c>
      <c r="I45" s="1" t="s">
        <v>16</v>
      </c>
      <c r="J45" s="1" t="s">
        <v>16</v>
      </c>
      <c r="K45" s="1" t="s">
        <v>17</v>
      </c>
      <c r="L45" s="64">
        <v>-2.4277353938302935</v>
      </c>
      <c r="M45" s="65">
        <v>1.0135891069527929</v>
      </c>
      <c r="N45" s="61">
        <v>0.29013384728722075</v>
      </c>
      <c r="O45" s="61">
        <v>0.23593573274149418</v>
      </c>
      <c r="P45" s="62">
        <v>3.9</v>
      </c>
      <c r="R45" s="64">
        <v>3.4183008964767705</v>
      </c>
      <c r="S45" s="65">
        <v>0.37468578539860009</v>
      </c>
      <c r="T45" s="61">
        <v>0.45925213068820531</v>
      </c>
      <c r="U45" s="66">
        <v>1.070678573562414E-2</v>
      </c>
      <c r="V45" s="62">
        <v>2.7</v>
      </c>
      <c r="X45" s="64">
        <v>-17.082600906801083</v>
      </c>
      <c r="Y45" s="64">
        <v>0.15043787802498848</v>
      </c>
      <c r="Z45" s="61">
        <v>24.253311466442199</v>
      </c>
      <c r="AA45" s="66">
        <v>0.11540456204098486</v>
      </c>
      <c r="AB45" s="62">
        <v>2.1</v>
      </c>
    </row>
    <row r="46" spans="1:29" ht="14.5" x14ac:dyDescent="0.35">
      <c r="A46" s="1" t="s">
        <v>37</v>
      </c>
      <c r="B46" s="2" t="s">
        <v>14</v>
      </c>
      <c r="C46" s="1" t="s">
        <v>15</v>
      </c>
      <c r="D46" s="1" t="str">
        <f t="shared" si="0"/>
        <v>MCS4_9-23_SIA</v>
      </c>
      <c r="E46" s="10">
        <v>45196</v>
      </c>
      <c r="F46" s="24">
        <v>45502</v>
      </c>
      <c r="G46" s="10" t="s">
        <v>16</v>
      </c>
      <c r="I46" s="1" t="s">
        <v>16</v>
      </c>
      <c r="J46" s="1" t="s">
        <v>16</v>
      </c>
      <c r="K46" s="1" t="s">
        <v>17</v>
      </c>
      <c r="L46" s="64">
        <v>-7.5909422335656114</v>
      </c>
      <c r="M46" s="65">
        <v>0.84320354772336881</v>
      </c>
      <c r="N46" s="61">
        <v>0.45161461533478992</v>
      </c>
      <c r="O46" s="61">
        <v>4.8464804810524349E-2</v>
      </c>
      <c r="P46" s="62">
        <v>3.2</v>
      </c>
      <c r="V46" s="62">
        <v>2.2000000000000002</v>
      </c>
      <c r="W46" s="63" t="s">
        <v>282</v>
      </c>
      <c r="X46" s="64">
        <v>-23.981090251121564</v>
      </c>
      <c r="Y46" s="64">
        <v>0.17532694778931149</v>
      </c>
      <c r="Z46" s="61">
        <v>20.351201631473479</v>
      </c>
      <c r="AA46" s="66">
        <v>0.19876878334943257</v>
      </c>
      <c r="AB46" s="62">
        <v>2.8</v>
      </c>
    </row>
    <row r="47" spans="1:29" ht="14.5" x14ac:dyDescent="0.35">
      <c r="A47" s="1" t="s">
        <v>18</v>
      </c>
      <c r="B47" s="2" t="s">
        <v>61</v>
      </c>
      <c r="C47" s="1" t="s">
        <v>15</v>
      </c>
      <c r="D47" s="1" t="str">
        <f t="shared" si="0"/>
        <v>NCL_3-24_SIA</v>
      </c>
      <c r="E47" s="10">
        <v>45358</v>
      </c>
      <c r="F47" s="24">
        <v>45530</v>
      </c>
      <c r="G47" s="10" t="s">
        <v>16</v>
      </c>
      <c r="I47" s="1" t="s">
        <v>16</v>
      </c>
      <c r="J47" s="1" t="s">
        <v>16</v>
      </c>
      <c r="K47" s="1" t="s">
        <v>17</v>
      </c>
      <c r="L47" s="64">
        <v>4.6700005947121728</v>
      </c>
      <c r="M47" s="65">
        <v>0.79060880533143851</v>
      </c>
      <c r="N47" s="61">
        <v>0.81698198740826444</v>
      </c>
      <c r="O47" s="61">
        <v>0.14732401363722178</v>
      </c>
      <c r="P47" s="62">
        <v>3.3</v>
      </c>
      <c r="R47" s="64">
        <v>3.4854160704851962</v>
      </c>
      <c r="S47" s="65">
        <v>0.40451743927464784</v>
      </c>
      <c r="T47" s="61">
        <v>1.0097590565094188</v>
      </c>
      <c r="U47" s="66">
        <v>1.3292455303798681E-2</v>
      </c>
      <c r="V47" s="62">
        <v>2.8</v>
      </c>
      <c r="X47" s="64">
        <v>-24.222999259052905</v>
      </c>
      <c r="Y47" s="64">
        <v>0.15041140515469212</v>
      </c>
      <c r="Z47" s="61">
        <v>43.364892581669636</v>
      </c>
      <c r="AA47" s="66">
        <v>0.25134401794542199</v>
      </c>
      <c r="AB47" s="62">
        <v>2</v>
      </c>
    </row>
    <row r="48" spans="1:29" ht="14.5" x14ac:dyDescent="0.35">
      <c r="A48" s="1" t="s">
        <v>18</v>
      </c>
      <c r="B48" s="2" t="s">
        <v>14</v>
      </c>
      <c r="C48" s="1" t="s">
        <v>15</v>
      </c>
      <c r="D48" s="1" t="str">
        <f t="shared" si="0"/>
        <v>NCL_9-23_SIA</v>
      </c>
      <c r="E48" s="10">
        <v>45184</v>
      </c>
      <c r="F48" s="24">
        <v>45498</v>
      </c>
      <c r="G48" s="10" t="s">
        <v>16</v>
      </c>
      <c r="I48" s="1" t="s">
        <v>16</v>
      </c>
      <c r="J48" s="1" t="s">
        <v>16</v>
      </c>
      <c r="K48" s="1" t="s">
        <v>17</v>
      </c>
      <c r="L48" s="64">
        <v>5.1907275250573317</v>
      </c>
      <c r="M48" s="65">
        <v>0.69474186725461351</v>
      </c>
      <c r="N48" s="61">
        <v>0.40310910215643275</v>
      </c>
      <c r="O48" s="61">
        <v>3.413129741100298E-2</v>
      </c>
      <c r="P48" s="62">
        <v>4</v>
      </c>
      <c r="R48" s="64">
        <v>3.1048353555505366</v>
      </c>
      <c r="S48" s="65">
        <v>0.39801977959882456</v>
      </c>
      <c r="T48" s="61">
        <v>1.1756199257114548</v>
      </c>
      <c r="U48" s="66">
        <v>5.3166213501833828E-3</v>
      </c>
      <c r="V48" s="62">
        <v>2.9</v>
      </c>
      <c r="X48" s="64">
        <v>-24.848288380295301</v>
      </c>
      <c r="Y48" s="64">
        <v>0.225717986304179</v>
      </c>
      <c r="Z48" s="61">
        <v>33.03104533348251</v>
      </c>
      <c r="AA48" s="66">
        <v>0.1840526874744503</v>
      </c>
      <c r="AB48" s="62">
        <v>2.2999999999999998</v>
      </c>
      <c r="AC48" s="63" t="s">
        <v>286</v>
      </c>
    </row>
    <row r="49" spans="1:29" ht="14.5" x14ac:dyDescent="0.35">
      <c r="A49" s="1" t="s">
        <v>21</v>
      </c>
      <c r="B49" s="2" t="s">
        <v>61</v>
      </c>
      <c r="C49" s="1" t="s">
        <v>15</v>
      </c>
      <c r="D49" s="1" t="str">
        <f t="shared" si="0"/>
        <v>OL_3-24_SIA</v>
      </c>
      <c r="E49" s="10">
        <v>45358</v>
      </c>
      <c r="F49" s="24">
        <v>45530</v>
      </c>
      <c r="G49" s="10" t="s">
        <v>16</v>
      </c>
      <c r="I49" s="1" t="s">
        <v>16</v>
      </c>
      <c r="J49" s="1" t="s">
        <v>16</v>
      </c>
      <c r="K49" s="1" t="s">
        <v>17</v>
      </c>
      <c r="L49"/>
      <c r="M49"/>
      <c r="O49" s="61"/>
      <c r="P49" s="62">
        <v>3.3</v>
      </c>
      <c r="Q49" s="63" t="s">
        <v>250</v>
      </c>
      <c r="R49" s="64">
        <v>4.1588500468497847</v>
      </c>
      <c r="S49" s="65">
        <v>0.40398271851878459</v>
      </c>
      <c r="T49" s="61">
        <v>0.55815239847990994</v>
      </c>
      <c r="U49" s="66">
        <v>1.6893291028665765E-2</v>
      </c>
      <c r="V49" s="62">
        <v>2.5</v>
      </c>
      <c r="X49" s="64">
        <v>-26.411511183401274</v>
      </c>
      <c r="Y49" s="64">
        <v>0.30139119806775611</v>
      </c>
      <c r="Z49" s="61">
        <v>47.77140667777816</v>
      </c>
      <c r="AA49" s="66">
        <v>0.30458973503432513</v>
      </c>
      <c r="AB49" s="62">
        <v>2.8</v>
      </c>
      <c r="AC49" s="63" t="s">
        <v>297</v>
      </c>
    </row>
    <row r="50" spans="1:29" ht="14.5" x14ac:dyDescent="0.35">
      <c r="A50" s="1" t="s">
        <v>21</v>
      </c>
      <c r="B50" s="2" t="s">
        <v>14</v>
      </c>
      <c r="C50" s="1" t="s">
        <v>15</v>
      </c>
      <c r="D50" s="1" t="str">
        <f t="shared" si="0"/>
        <v>OL_9-23_SIA</v>
      </c>
      <c r="E50" s="10">
        <v>45184</v>
      </c>
      <c r="F50" s="24">
        <v>45503</v>
      </c>
      <c r="G50" s="10" t="s">
        <v>16</v>
      </c>
      <c r="I50" s="1" t="s">
        <v>16</v>
      </c>
      <c r="J50" s="1" t="s">
        <v>16</v>
      </c>
      <c r="K50" s="1" t="s">
        <v>17</v>
      </c>
      <c r="L50" s="64">
        <v>4.1164043130648942</v>
      </c>
      <c r="M50" s="65">
        <v>0.69666173654773356</v>
      </c>
      <c r="N50" s="61">
        <v>0.46362752952870562</v>
      </c>
      <c r="O50" s="61">
        <v>4.7095290340057001E-2</v>
      </c>
      <c r="P50" s="62">
        <v>3.2</v>
      </c>
      <c r="R50" s="64">
        <v>1.6894600628680836</v>
      </c>
      <c r="S50" s="65">
        <v>0.39758713761218351</v>
      </c>
      <c r="T50" s="61">
        <v>0.70488976239591128</v>
      </c>
      <c r="U50" s="66">
        <v>8.2502785450043001E-3</v>
      </c>
      <c r="V50" s="62">
        <v>2.1</v>
      </c>
      <c r="X50" s="64">
        <v>-26.828113098813994</v>
      </c>
      <c r="Y50" s="64">
        <v>0.3550725747118903</v>
      </c>
      <c r="Z50" s="61">
        <v>59.070963950572938</v>
      </c>
      <c r="AA50" s="66">
        <v>0.71686933083378568</v>
      </c>
      <c r="AB50" s="62">
        <v>2.9</v>
      </c>
      <c r="AC50" s="63" t="s">
        <v>295</v>
      </c>
    </row>
    <row r="51" spans="1:29" ht="14.5" x14ac:dyDescent="0.35">
      <c r="A51" s="1" t="s">
        <v>13</v>
      </c>
      <c r="B51" s="2" t="s">
        <v>61</v>
      </c>
      <c r="C51" s="1" t="s">
        <v>15</v>
      </c>
      <c r="D51" s="1" t="str">
        <f t="shared" si="0"/>
        <v>P37_3-24_SIA</v>
      </c>
      <c r="E51" s="10">
        <v>45358</v>
      </c>
      <c r="F51" s="24">
        <v>45530</v>
      </c>
      <c r="G51" s="10" t="s">
        <v>16</v>
      </c>
      <c r="I51" s="1" t="s">
        <v>16</v>
      </c>
      <c r="J51" s="1" t="s">
        <v>16</v>
      </c>
      <c r="K51" s="1" t="s">
        <v>17</v>
      </c>
      <c r="L51"/>
      <c r="M51"/>
      <c r="O51" s="61"/>
      <c r="P51" s="62">
        <v>3.2</v>
      </c>
      <c r="Q51" s="63" t="s">
        <v>251</v>
      </c>
      <c r="R51" s="64">
        <v>3.2540567366369109</v>
      </c>
      <c r="S51" s="65">
        <v>0.40486779744495544</v>
      </c>
      <c r="T51" s="61">
        <v>0.74166474412001215</v>
      </c>
      <c r="U51" s="66">
        <v>1.3128439281876656E-2</v>
      </c>
      <c r="V51" s="62">
        <v>2.6</v>
      </c>
      <c r="X51" s="64">
        <v>-26.895605986943778</v>
      </c>
      <c r="Y51" s="64">
        <v>0.2261653300704955</v>
      </c>
      <c r="Z51" s="61">
        <v>41.144568051759038</v>
      </c>
      <c r="AA51" s="66">
        <v>0.24402281547941818</v>
      </c>
      <c r="AB51" s="62">
        <v>2.2999999999999998</v>
      </c>
      <c r="AC51" s="63" t="s">
        <v>286</v>
      </c>
    </row>
    <row r="52" spans="1:29" ht="14.5" x14ac:dyDescent="0.35">
      <c r="A52" s="1" t="s">
        <v>13</v>
      </c>
      <c r="B52" s="2" t="s">
        <v>14</v>
      </c>
      <c r="C52" s="1" t="s">
        <v>15</v>
      </c>
      <c r="D52" s="1" t="str">
        <f t="shared" si="0"/>
        <v>P37_9-23_SIA</v>
      </c>
      <c r="E52" s="10">
        <v>45184</v>
      </c>
      <c r="F52" s="24">
        <v>45503</v>
      </c>
      <c r="G52" s="10" t="s">
        <v>16</v>
      </c>
      <c r="I52" s="1" t="s">
        <v>16</v>
      </c>
      <c r="J52" s="1" t="s">
        <v>16</v>
      </c>
      <c r="K52" s="1" t="s">
        <v>17</v>
      </c>
      <c r="L52" s="64">
        <v>3.0544781124418474</v>
      </c>
      <c r="M52" s="65">
        <v>0.86601772822965772</v>
      </c>
      <c r="N52" s="61">
        <v>0.23321611001006901</v>
      </c>
      <c r="O52" s="61">
        <v>0.25708236206506774</v>
      </c>
      <c r="P52" s="62">
        <v>4</v>
      </c>
      <c r="R52" s="64">
        <v>2.0962826785630817</v>
      </c>
      <c r="S52" s="65">
        <v>0.37453634303249622</v>
      </c>
      <c r="T52" s="61">
        <v>0.99440711766069367</v>
      </c>
      <c r="U52" s="66">
        <v>8.2527337716888517E-3</v>
      </c>
      <c r="V52" s="62">
        <v>2.5</v>
      </c>
      <c r="X52" s="64">
        <v>-28.449193723834586</v>
      </c>
      <c r="Y52" s="64">
        <v>0.35774078742178045</v>
      </c>
      <c r="Z52" s="61">
        <v>48.362295887698046</v>
      </c>
      <c r="AA52" s="66">
        <v>0.54135762434014723</v>
      </c>
      <c r="AB52" s="62">
        <v>2</v>
      </c>
      <c r="AC52" s="63" t="s">
        <v>295</v>
      </c>
    </row>
    <row r="53" spans="1:29" ht="14.5" x14ac:dyDescent="0.35">
      <c r="A53" s="1" t="s">
        <v>22</v>
      </c>
      <c r="B53" s="2" t="s">
        <v>61</v>
      </c>
      <c r="C53" s="1" t="s">
        <v>15</v>
      </c>
      <c r="D53" s="1" t="str">
        <f t="shared" si="0"/>
        <v>R127_3-24_SIA</v>
      </c>
      <c r="E53" s="10">
        <v>45358</v>
      </c>
      <c r="F53" s="24">
        <v>45530</v>
      </c>
      <c r="G53" s="10" t="s">
        <v>16</v>
      </c>
      <c r="I53" s="1" t="s">
        <v>16</v>
      </c>
      <c r="J53" s="1" t="s">
        <v>16</v>
      </c>
      <c r="K53" s="1" t="s">
        <v>17</v>
      </c>
      <c r="L53" s="64">
        <v>2.9506072753237254</v>
      </c>
      <c r="M53" s="65">
        <v>0.82160416163837191</v>
      </c>
      <c r="N53" s="61">
        <v>0.70725479158248394</v>
      </c>
      <c r="O53" s="61">
        <v>8.5102164887281395E-2</v>
      </c>
      <c r="P53" s="62">
        <v>3.9</v>
      </c>
      <c r="R53" s="64">
        <v>1.5234397965784854</v>
      </c>
      <c r="S53" s="65">
        <v>0.37450684052900973</v>
      </c>
      <c r="T53" s="61">
        <v>1.0385925380087133</v>
      </c>
      <c r="U53" s="66">
        <v>7.7664980425883332E-3</v>
      </c>
      <c r="V53" s="62">
        <v>2.7</v>
      </c>
      <c r="Z53" s="61">
        <v>50.542653243101462</v>
      </c>
      <c r="AA53" s="66">
        <v>0.33692501390960533</v>
      </c>
      <c r="AB53" s="62">
        <v>2.4</v>
      </c>
      <c r="AC53" s="63" t="s">
        <v>298</v>
      </c>
    </row>
    <row r="54" spans="1:29" ht="14.5" x14ac:dyDescent="0.35">
      <c r="A54" s="1" t="s">
        <v>22</v>
      </c>
      <c r="B54" s="2" t="s">
        <v>14</v>
      </c>
      <c r="C54" s="1" t="s">
        <v>15</v>
      </c>
      <c r="D54" s="1" t="str">
        <f t="shared" si="0"/>
        <v>R127_9-23_SIA</v>
      </c>
      <c r="E54" s="10">
        <v>45184</v>
      </c>
      <c r="F54" s="24">
        <v>45503</v>
      </c>
      <c r="G54" s="10" t="s">
        <v>16</v>
      </c>
      <c r="I54" s="1" t="s">
        <v>16</v>
      </c>
      <c r="J54" s="1" t="s">
        <v>16</v>
      </c>
      <c r="K54" s="1" t="s">
        <v>17</v>
      </c>
      <c r="L54" s="64">
        <v>4.8029756742827061</v>
      </c>
      <c r="M54" s="65">
        <v>0.69518396399087723</v>
      </c>
      <c r="N54" s="61">
        <v>0.45278688577297177</v>
      </c>
      <c r="O54" s="61">
        <v>4.5305734813856802E-2</v>
      </c>
      <c r="P54" s="62">
        <v>3.3</v>
      </c>
      <c r="R54" s="64">
        <v>1.5715121218112129</v>
      </c>
      <c r="S54" s="65">
        <v>0.39756005507819608</v>
      </c>
      <c r="T54" s="61">
        <v>0.70149349075304979</v>
      </c>
      <c r="U54" s="66">
        <v>7.2685745928818459E-3</v>
      </c>
      <c r="V54" s="62">
        <v>2.2999999999999998</v>
      </c>
      <c r="X54" s="64">
        <v>-28.550511262898375</v>
      </c>
      <c r="Y54" s="64">
        <v>0.3579111428772056</v>
      </c>
      <c r="Z54" s="61">
        <v>53.905557439590183</v>
      </c>
      <c r="AA54" s="66">
        <v>0.61523773319178232</v>
      </c>
      <c r="AB54" s="62">
        <v>2</v>
      </c>
      <c r="AC54" s="63" t="s">
        <v>295</v>
      </c>
    </row>
    <row r="55" spans="1:29" ht="14.5" x14ac:dyDescent="0.35">
      <c r="A55" s="1" t="s">
        <v>43</v>
      </c>
      <c r="B55" s="2" t="s">
        <v>62</v>
      </c>
      <c r="C55" s="1" t="s">
        <v>15</v>
      </c>
      <c r="D55" s="1" t="str">
        <f t="shared" si="0"/>
        <v>RB_4-24_SIA</v>
      </c>
      <c r="E55" s="10">
        <v>45393</v>
      </c>
      <c r="F55" s="24">
        <v>45520</v>
      </c>
      <c r="G55" s="10" t="s">
        <v>16</v>
      </c>
      <c r="I55" s="1" t="s">
        <v>16</v>
      </c>
      <c r="J55" s="1" t="s">
        <v>16</v>
      </c>
      <c r="K55" s="1" t="s">
        <v>17</v>
      </c>
      <c r="L55"/>
      <c r="M55"/>
      <c r="O55" s="61"/>
      <c r="P55" s="62">
        <v>3.4</v>
      </c>
      <c r="Q55" s="63" t="s">
        <v>251</v>
      </c>
      <c r="R55" s="64">
        <v>2.3902761836822881</v>
      </c>
      <c r="S55" s="65">
        <v>0.40593878058461641</v>
      </c>
      <c r="T55" s="61">
        <v>0.41068260544464691</v>
      </c>
      <c r="U55" s="66">
        <v>2.4262910825183486E-2</v>
      </c>
      <c r="V55" s="62">
        <v>2.2000000000000002</v>
      </c>
      <c r="X55" s="64">
        <v>-14.57135911342438</v>
      </c>
      <c r="Y55" s="64">
        <v>0.15079404093624887</v>
      </c>
      <c r="Z55" s="61">
        <v>16.673675159362524</v>
      </c>
      <c r="AA55" s="66">
        <v>7.865876485929571E-2</v>
      </c>
      <c r="AB55" s="62">
        <v>3</v>
      </c>
    </row>
    <row r="56" spans="1:29" ht="14.5" x14ac:dyDescent="0.35">
      <c r="A56" s="1" t="s">
        <v>43</v>
      </c>
      <c r="B56" s="2" t="s">
        <v>14</v>
      </c>
      <c r="C56" s="1" t="s">
        <v>15</v>
      </c>
      <c r="D56" s="1" t="str">
        <f t="shared" si="0"/>
        <v>RB_9-23_SIA</v>
      </c>
      <c r="E56" s="10">
        <v>45196</v>
      </c>
      <c r="F56" s="24">
        <v>45502</v>
      </c>
      <c r="G56" s="10" t="s">
        <v>16</v>
      </c>
      <c r="I56" s="1" t="s">
        <v>16</v>
      </c>
      <c r="J56" s="1" t="s">
        <v>16</v>
      </c>
      <c r="K56" s="1" t="s">
        <v>17</v>
      </c>
      <c r="L56" s="64">
        <v>1.8820171608126186</v>
      </c>
      <c r="M56" s="65">
        <v>0.70753351089211169</v>
      </c>
      <c r="N56" s="61">
        <v>0.37002937108188116</v>
      </c>
      <c r="O56" s="61">
        <v>4.2000165906264486E-2</v>
      </c>
      <c r="P56" s="62">
        <v>3.8</v>
      </c>
      <c r="R56" s="64">
        <v>2.0861940464230146</v>
      </c>
      <c r="S56" s="65">
        <v>0.39768836929999529</v>
      </c>
      <c r="T56" s="61">
        <v>0.50052855689532694</v>
      </c>
      <c r="U56" s="66">
        <v>6.3241858324418806E-3</v>
      </c>
      <c r="V56" s="62">
        <v>2.8</v>
      </c>
      <c r="X56" s="64">
        <v>-15.389362938512392</v>
      </c>
      <c r="Y56" s="64">
        <v>0.169751204240606</v>
      </c>
      <c r="Z56" s="61">
        <v>9.6252896696126466</v>
      </c>
      <c r="AA56" s="66">
        <v>6.1570803663070529E-2</v>
      </c>
      <c r="AB56" s="62">
        <v>2.2000000000000002</v>
      </c>
    </row>
    <row r="57" spans="1:29" ht="14.5" x14ac:dyDescent="0.35">
      <c r="A57" s="1" t="s">
        <v>47</v>
      </c>
      <c r="B57" s="2" t="s">
        <v>62</v>
      </c>
      <c r="C57" s="1" t="s">
        <v>15</v>
      </c>
      <c r="D57" s="1" t="str">
        <f t="shared" si="0"/>
        <v>SBT1_4-24_SIA</v>
      </c>
      <c r="E57" s="10">
        <v>45391</v>
      </c>
      <c r="F57" s="24">
        <v>45523</v>
      </c>
      <c r="G57" s="10" t="s">
        <v>16</v>
      </c>
      <c r="I57" s="1" t="s">
        <v>16</v>
      </c>
      <c r="J57" s="1" t="s">
        <v>16</v>
      </c>
      <c r="K57" s="1" t="s">
        <v>17</v>
      </c>
      <c r="L57" s="64">
        <v>-10.819279092684056</v>
      </c>
      <c r="M57" s="65">
        <v>1.8292604589878889</v>
      </c>
      <c r="N57" s="61">
        <v>2.3779111863027698</v>
      </c>
      <c r="O57" s="61">
        <v>0.24577427652726172</v>
      </c>
      <c r="P57" s="62">
        <v>3.8</v>
      </c>
      <c r="Q57" s="63" t="s">
        <v>255</v>
      </c>
      <c r="R57" s="64">
        <v>3.3919778101636879</v>
      </c>
      <c r="S57" s="65">
        <v>0.37457379690603582</v>
      </c>
      <c r="T57" s="61">
        <v>1.4803563239743214</v>
      </c>
      <c r="U57" s="66">
        <v>1.0631091650677211E-2</v>
      </c>
      <c r="V57" s="62">
        <v>2.1</v>
      </c>
      <c r="Z57" s="61">
        <v>49.983208298138763</v>
      </c>
      <c r="AA57" s="66">
        <v>0.33497775546846947</v>
      </c>
      <c r="AB57" s="62">
        <v>2.5</v>
      </c>
      <c r="AC57" s="63" t="s">
        <v>298</v>
      </c>
    </row>
    <row r="58" spans="1:29" ht="14.5" x14ac:dyDescent="0.35">
      <c r="A58" s="1" t="s">
        <v>47</v>
      </c>
      <c r="B58" s="2" t="s">
        <v>14</v>
      </c>
      <c r="C58" s="1" t="s">
        <v>15</v>
      </c>
      <c r="D58" s="1" t="str">
        <f t="shared" si="0"/>
        <v>SBT1_9-23_SIA</v>
      </c>
      <c r="E58" s="10">
        <v>45199</v>
      </c>
      <c r="F58" s="24">
        <v>45498</v>
      </c>
      <c r="G58" s="10" t="s">
        <v>16</v>
      </c>
      <c r="I58" s="1" t="s">
        <v>16</v>
      </c>
      <c r="J58" s="1" t="s">
        <v>16</v>
      </c>
      <c r="K58" s="1" t="s">
        <v>17</v>
      </c>
      <c r="L58"/>
      <c r="M58"/>
      <c r="O58" s="61"/>
      <c r="P58" s="62">
        <v>3.5</v>
      </c>
      <c r="Q58" s="63" t="s">
        <v>251</v>
      </c>
      <c r="R58" s="64">
        <v>2.9976099545897452</v>
      </c>
      <c r="S58" s="65">
        <v>0.39798005339940828</v>
      </c>
      <c r="T58" s="61">
        <v>2.0768622146892235</v>
      </c>
      <c r="U58" s="66">
        <v>9.5948370231259475E-3</v>
      </c>
      <c r="V58" s="62">
        <v>2.2000000000000002</v>
      </c>
      <c r="X58" s="64">
        <v>-27.964648678100126</v>
      </c>
      <c r="Y58" s="64">
        <v>0.15097994807975312</v>
      </c>
      <c r="Z58" s="61">
        <v>4.9313099514856598</v>
      </c>
      <c r="AA58" s="66">
        <v>3.4461539586011454E-2</v>
      </c>
      <c r="AB58" s="62">
        <v>2.9</v>
      </c>
    </row>
    <row r="59" spans="1:29" ht="14.5" x14ac:dyDescent="0.35">
      <c r="A59" s="1" t="s">
        <v>48</v>
      </c>
      <c r="B59" s="2" t="s">
        <v>62</v>
      </c>
      <c r="C59" s="1" t="s">
        <v>15</v>
      </c>
      <c r="D59" s="1" t="str">
        <f t="shared" si="0"/>
        <v>SBT2_4-24_SIA</v>
      </c>
      <c r="E59" s="10">
        <v>45393</v>
      </c>
      <c r="F59" s="24">
        <v>45523</v>
      </c>
      <c r="G59" s="10" t="s">
        <v>16</v>
      </c>
      <c r="I59" s="1" t="s">
        <v>16</v>
      </c>
      <c r="J59" s="1" t="s">
        <v>16</v>
      </c>
      <c r="K59" s="1" t="s">
        <v>17</v>
      </c>
      <c r="L59"/>
      <c r="M59"/>
      <c r="O59" s="61"/>
      <c r="P59" s="62">
        <v>3.3</v>
      </c>
      <c r="Q59" s="63" t="s">
        <v>256</v>
      </c>
      <c r="R59" s="64">
        <v>0.87172176725636619</v>
      </c>
      <c r="S59" s="65">
        <v>0.81537763981009037</v>
      </c>
      <c r="T59" s="61">
        <v>0.37700600422995789</v>
      </c>
      <c r="U59" s="66">
        <v>2.222743151536374E-2</v>
      </c>
      <c r="V59" s="62">
        <v>2.4</v>
      </c>
      <c r="W59" s="63" t="s">
        <v>264</v>
      </c>
      <c r="X59" s="64">
        <v>-17.250982249826908</v>
      </c>
      <c r="Z59" s="61">
        <v>11.910952827155393</v>
      </c>
      <c r="AA59" s="66">
        <v>4.9800591954131272E-2</v>
      </c>
      <c r="AB59" s="62">
        <v>2.2000000000000002</v>
      </c>
    </row>
    <row r="60" spans="1:29" ht="14.5" x14ac:dyDescent="0.35">
      <c r="A60" s="1" t="s">
        <v>48</v>
      </c>
      <c r="B60" s="2" t="s">
        <v>14</v>
      </c>
      <c r="C60" s="1" t="s">
        <v>15</v>
      </c>
      <c r="D60" s="1" t="str">
        <f t="shared" si="0"/>
        <v>SBT2_9-23_SIA</v>
      </c>
      <c r="E60" s="10">
        <v>45204</v>
      </c>
      <c r="F60" s="24">
        <v>45505</v>
      </c>
      <c r="G60" s="10" t="s">
        <v>16</v>
      </c>
      <c r="I60" s="1" t="s">
        <v>16</v>
      </c>
      <c r="J60" s="1" t="s">
        <v>16</v>
      </c>
      <c r="K60" s="1" t="s">
        <v>17</v>
      </c>
      <c r="L60" s="64">
        <v>-3.3499692782214137</v>
      </c>
      <c r="M60" s="65">
        <v>2.0820680153379949</v>
      </c>
      <c r="N60" s="61">
        <v>2.5724232600208188</v>
      </c>
      <c r="O60" s="61">
        <v>0.93858868422656783</v>
      </c>
      <c r="P60" s="62">
        <v>3</v>
      </c>
      <c r="Q60" s="63" t="s">
        <v>257</v>
      </c>
      <c r="V60" s="62">
        <v>2.2999999999999998</v>
      </c>
      <c r="W60" s="63" t="s">
        <v>283</v>
      </c>
      <c r="X60" s="64">
        <v>-17.375186704162626</v>
      </c>
      <c r="Y60" s="64">
        <v>0.1708887863507835</v>
      </c>
      <c r="Z60" s="61">
        <v>9.0406786808443407</v>
      </c>
      <c r="AA60" s="66">
        <v>5.8171736492755054E-2</v>
      </c>
      <c r="AB60" s="62">
        <v>2.5</v>
      </c>
    </row>
    <row r="61" spans="1:29" ht="14.5" x14ac:dyDescent="0.35">
      <c r="A61" s="1" t="s">
        <v>40</v>
      </c>
      <c r="B61" s="2" t="s">
        <v>62</v>
      </c>
      <c r="C61" s="1" t="s">
        <v>15</v>
      </c>
      <c r="D61" s="1" t="str">
        <f t="shared" si="0"/>
        <v>TB1_4-24_SIA</v>
      </c>
      <c r="E61" s="10">
        <v>45390</v>
      </c>
      <c r="F61" s="24">
        <v>45517</v>
      </c>
      <c r="G61" s="10" t="s">
        <v>16</v>
      </c>
      <c r="I61" s="1" t="s">
        <v>16</v>
      </c>
      <c r="J61" s="1" t="s">
        <v>16</v>
      </c>
      <c r="K61" s="1" t="s">
        <v>17</v>
      </c>
      <c r="L61" s="64">
        <v>-6.7953896466952086</v>
      </c>
      <c r="M61" s="65">
        <v>1.1480998446031971</v>
      </c>
      <c r="N61" s="61">
        <v>0.3991593784510859</v>
      </c>
      <c r="O61" s="61">
        <v>0.24843112003556486</v>
      </c>
      <c r="P61" s="62">
        <v>3.3</v>
      </c>
      <c r="V61" s="62">
        <v>2.2000000000000002</v>
      </c>
      <c r="W61" s="63" t="s">
        <v>284</v>
      </c>
      <c r="X61" s="64">
        <v>-7.5923256956867178</v>
      </c>
      <c r="Y61" s="64">
        <v>0.15271716751994127</v>
      </c>
      <c r="Z61" s="61">
        <v>12.621943300523691</v>
      </c>
      <c r="AA61" s="66">
        <v>4.7463242874046054E-2</v>
      </c>
      <c r="AB61" s="62">
        <v>2.5</v>
      </c>
    </row>
    <row r="62" spans="1:29" ht="14.5" x14ac:dyDescent="0.35">
      <c r="A62" s="1" t="s">
        <v>40</v>
      </c>
      <c r="B62" s="2" t="s">
        <v>259</v>
      </c>
      <c r="C62" s="1" t="s">
        <v>15</v>
      </c>
      <c r="D62" s="1" t="str">
        <f t="shared" si="0"/>
        <v>TB1_4-24_DUP_SIA</v>
      </c>
      <c r="E62" s="10">
        <v>45390</v>
      </c>
      <c r="F62" s="24">
        <v>45517</v>
      </c>
      <c r="G62" s="10" t="s">
        <v>16</v>
      </c>
      <c r="I62" s="1" t="s">
        <v>16</v>
      </c>
      <c r="J62" s="1" t="s">
        <v>16</v>
      </c>
      <c r="K62" s="1" t="s">
        <v>17</v>
      </c>
      <c r="L62" s="64"/>
      <c r="M62" s="65"/>
      <c r="N62" s="61"/>
      <c r="O62" s="61"/>
      <c r="P62" s="62"/>
      <c r="V62" s="62"/>
      <c r="W62" s="63"/>
      <c r="X62" s="64">
        <v>-7.6931787797580711</v>
      </c>
      <c r="Y62" s="64">
        <v>0.15267975632365613</v>
      </c>
      <c r="Z62" s="61">
        <v>13.426520738409781</v>
      </c>
      <c r="AA62" s="66">
        <v>4.9139869680636598E-2</v>
      </c>
      <c r="AB62" s="62">
        <v>2.1</v>
      </c>
    </row>
    <row r="63" spans="1:29" ht="14.5" x14ac:dyDescent="0.35">
      <c r="A63" s="1" t="s">
        <v>40</v>
      </c>
      <c r="B63" s="2" t="s">
        <v>14</v>
      </c>
      <c r="C63" s="1" t="s">
        <v>15</v>
      </c>
      <c r="D63" s="1" t="str">
        <f t="shared" si="0"/>
        <v>TB1_9-23_SIA</v>
      </c>
      <c r="E63" s="10">
        <v>45196</v>
      </c>
      <c r="F63" s="24">
        <v>45502</v>
      </c>
      <c r="G63" s="10" t="s">
        <v>16</v>
      </c>
      <c r="I63" s="1" t="s">
        <v>16</v>
      </c>
      <c r="J63" s="1" t="s">
        <v>16</v>
      </c>
      <c r="K63" s="1" t="s">
        <v>17</v>
      </c>
      <c r="L63" s="64">
        <v>-2.9595215715644327</v>
      </c>
      <c r="M63" s="65">
        <v>0.7607098255271173</v>
      </c>
      <c r="N63" s="61">
        <v>0.39945304282580724</v>
      </c>
      <c r="O63" s="61">
        <v>4.3307659329687012E-2</v>
      </c>
      <c r="P63" s="62">
        <v>3.6</v>
      </c>
      <c r="V63" s="62">
        <v>3</v>
      </c>
      <c r="W63" s="63" t="s">
        <v>285</v>
      </c>
      <c r="X63" s="64">
        <v>-18.686164943535601</v>
      </c>
      <c r="Y63" s="64">
        <v>0.15030466133731069</v>
      </c>
      <c r="Z63" s="61">
        <v>13.399766764725216</v>
      </c>
      <c r="AA63" s="66">
        <v>4.9990125303061447E-2</v>
      </c>
      <c r="AB63" s="62">
        <v>2.2999999999999998</v>
      </c>
    </row>
    <row r="64" spans="1:29" ht="14.5" x14ac:dyDescent="0.35">
      <c r="A64" s="1" t="s">
        <v>41</v>
      </c>
      <c r="B64" s="2" t="s">
        <v>62</v>
      </c>
      <c r="C64" s="1" t="s">
        <v>15</v>
      </c>
      <c r="D64" s="1" t="str">
        <f t="shared" si="0"/>
        <v>TB2_4-24_SIA</v>
      </c>
      <c r="E64" s="10">
        <v>45390</v>
      </c>
      <c r="F64" s="24">
        <v>45517</v>
      </c>
      <c r="G64" s="10" t="s">
        <v>16</v>
      </c>
      <c r="I64" s="1" t="s">
        <v>16</v>
      </c>
      <c r="J64" s="1" t="s">
        <v>16</v>
      </c>
      <c r="K64" s="1" t="s">
        <v>17</v>
      </c>
      <c r="L64"/>
      <c r="M64"/>
      <c r="O64" s="61"/>
      <c r="P64" s="62">
        <v>3.3</v>
      </c>
      <c r="Q64" s="63" t="s">
        <v>251</v>
      </c>
      <c r="V64" s="62">
        <v>2.1</v>
      </c>
      <c r="W64" s="63" t="s">
        <v>272</v>
      </c>
      <c r="X64" s="64">
        <v>-7.0174631164800028</v>
      </c>
      <c r="Y64" s="64">
        <v>0.15293571137959103</v>
      </c>
      <c r="Z64" s="61">
        <v>13.926687287451308</v>
      </c>
      <c r="AA64" s="66">
        <v>5.7822372818641131E-2</v>
      </c>
      <c r="AB64" s="62">
        <v>2.8</v>
      </c>
    </row>
    <row r="65" spans="1:29" ht="14.5" x14ac:dyDescent="0.35">
      <c r="A65" s="1" t="s">
        <v>41</v>
      </c>
      <c r="B65" s="2" t="s">
        <v>14</v>
      </c>
      <c r="C65" s="1" t="s">
        <v>15</v>
      </c>
      <c r="D65" s="1" t="str">
        <f t="shared" si="0"/>
        <v>TB2_9-23_SIA</v>
      </c>
      <c r="E65" s="10">
        <v>45196</v>
      </c>
      <c r="F65" s="25">
        <v>45503</v>
      </c>
      <c r="G65" s="10" t="s">
        <v>16</v>
      </c>
      <c r="I65" s="1" t="s">
        <v>16</v>
      </c>
      <c r="J65" s="1" t="s">
        <v>16</v>
      </c>
      <c r="K65" s="1" t="s">
        <v>17</v>
      </c>
      <c r="L65"/>
      <c r="M65"/>
      <c r="O65" s="61"/>
      <c r="P65" s="62">
        <v>3.3</v>
      </c>
      <c r="Q65" s="63" t="s">
        <v>250</v>
      </c>
      <c r="R65" s="64">
        <v>3.4010777611926688</v>
      </c>
      <c r="S65" s="65">
        <v>0.37470564160620062</v>
      </c>
      <c r="T65" s="61">
        <v>0.31803533948342522</v>
      </c>
      <c r="U65" s="66">
        <v>1.1757171944461792E-2</v>
      </c>
      <c r="V65" s="62">
        <v>2.8</v>
      </c>
      <c r="X65" s="64">
        <v>-14.975855217630265</v>
      </c>
      <c r="Z65" s="61">
        <v>17.618523756001387</v>
      </c>
      <c r="AA65" s="66">
        <v>8.2130316125882313E-2</v>
      </c>
      <c r="AB65" s="62">
        <v>2.2999999999999998</v>
      </c>
      <c r="AC65" s="63" t="s">
        <v>294</v>
      </c>
    </row>
    <row r="66" spans="1:29" ht="14.5" x14ac:dyDescent="0.35">
      <c r="A66" s="1" t="s">
        <v>50</v>
      </c>
      <c r="B66" s="2" t="s">
        <v>62</v>
      </c>
      <c r="C66" s="1" t="s">
        <v>15</v>
      </c>
      <c r="D66" s="1" t="str">
        <f t="shared" ref="D66:D129" si="1">A66&amp;"_"&amp;B66&amp;"_"&amp;C66</f>
        <v>TBC_4-24_SIA</v>
      </c>
      <c r="E66" s="10">
        <v>45390</v>
      </c>
      <c r="F66" s="24">
        <v>45516</v>
      </c>
      <c r="G66" s="10" t="s">
        <v>16</v>
      </c>
      <c r="I66" s="1" t="s">
        <v>16</v>
      </c>
      <c r="J66" s="1" t="s">
        <v>16</v>
      </c>
      <c r="K66" s="1" t="s">
        <v>17</v>
      </c>
      <c r="L66" s="64">
        <v>-5.3959606442114971</v>
      </c>
      <c r="M66" s="65">
        <v>1.6557236618663385</v>
      </c>
      <c r="N66" s="61">
        <v>0.190893201850553</v>
      </c>
      <c r="O66" s="61">
        <v>0.30052261266774766</v>
      </c>
      <c r="P66" s="62">
        <v>3.8</v>
      </c>
      <c r="Q66" s="63" t="s">
        <v>254</v>
      </c>
      <c r="R66" s="64">
        <v>0.88567595131233801</v>
      </c>
      <c r="S66" s="65">
        <v>0.56149486174908914</v>
      </c>
      <c r="T66" s="61">
        <v>2.2605698125705804</v>
      </c>
      <c r="U66" s="66">
        <v>2.1701045616755371E-2</v>
      </c>
      <c r="V66" s="62">
        <v>2.7</v>
      </c>
      <c r="W66" s="63" t="s">
        <v>286</v>
      </c>
      <c r="X66" s="64">
        <v>-14.430164795724485</v>
      </c>
      <c r="Y66" s="64">
        <v>0.15081939364809649</v>
      </c>
      <c r="Z66" s="61">
        <v>16.279237609196674</v>
      </c>
      <c r="AA66" s="66">
        <v>7.3339682610904969E-2</v>
      </c>
      <c r="AB66" s="62">
        <v>2.8</v>
      </c>
    </row>
    <row r="67" spans="1:29" ht="14.5" x14ac:dyDescent="0.35">
      <c r="A67" s="1" t="s">
        <v>39</v>
      </c>
      <c r="B67" s="2" t="s">
        <v>62</v>
      </c>
      <c r="C67" s="1" t="s">
        <v>15</v>
      </c>
      <c r="D67" s="1" t="str">
        <f t="shared" si="1"/>
        <v>TBCM_4-24_SIA</v>
      </c>
      <c r="E67" s="10">
        <v>45390</v>
      </c>
      <c r="F67" s="24">
        <v>45523</v>
      </c>
      <c r="G67" s="10" t="s">
        <v>16</v>
      </c>
      <c r="I67" s="1" t="s">
        <v>16</v>
      </c>
      <c r="J67" s="1" t="s">
        <v>16</v>
      </c>
      <c r="K67" s="1" t="s">
        <v>17</v>
      </c>
      <c r="L67" s="64">
        <v>0.75745762774728886</v>
      </c>
      <c r="M67" s="65">
        <v>1.8489390473473299</v>
      </c>
      <c r="N67" s="61">
        <v>0.19990911144817186</v>
      </c>
      <c r="O67" s="61">
        <v>0.37158817450856219</v>
      </c>
      <c r="P67" s="62">
        <v>3.2</v>
      </c>
      <c r="Q67" s="63" t="s">
        <v>252</v>
      </c>
      <c r="R67" s="64">
        <v>4.2558732487928177</v>
      </c>
      <c r="S67" s="65">
        <v>0.37479790917888517</v>
      </c>
      <c r="T67" s="61">
        <v>0.33733097325172257</v>
      </c>
      <c r="U67" s="66">
        <v>1.492127470644564E-2</v>
      </c>
      <c r="V67" s="62">
        <v>2.2999999999999998</v>
      </c>
      <c r="X67" s="64">
        <v>-21.861906368412107</v>
      </c>
      <c r="Z67" s="61">
        <v>16.113217146368896</v>
      </c>
      <c r="AA67" s="66">
        <v>8.0116183621060835E-2</v>
      </c>
      <c r="AB67" s="62">
        <v>2.9</v>
      </c>
      <c r="AC67" s="63" t="s">
        <v>296</v>
      </c>
    </row>
    <row r="68" spans="1:29" ht="14.5" x14ac:dyDescent="0.35">
      <c r="A68" s="1" t="s">
        <v>39</v>
      </c>
      <c r="B68" s="2" t="s">
        <v>14</v>
      </c>
      <c r="C68" s="1" t="s">
        <v>15</v>
      </c>
      <c r="D68" s="1" t="str">
        <f t="shared" si="1"/>
        <v>TBCM_9-23_SIA</v>
      </c>
      <c r="E68" s="10">
        <v>45196</v>
      </c>
      <c r="F68" s="24">
        <v>45502</v>
      </c>
      <c r="G68" s="10" t="s">
        <v>16</v>
      </c>
      <c r="I68" s="1" t="s">
        <v>16</v>
      </c>
      <c r="J68" s="1" t="s">
        <v>16</v>
      </c>
      <c r="K68" s="1" t="s">
        <v>17</v>
      </c>
      <c r="L68" s="64">
        <v>0.67378482877853774</v>
      </c>
      <c r="M68" s="65">
        <v>0.71716246913058757</v>
      </c>
      <c r="N68" s="61">
        <v>0.93877356063031936</v>
      </c>
      <c r="O68" s="61">
        <v>4.2699840040734099E-2</v>
      </c>
      <c r="P68" s="62">
        <v>3.4</v>
      </c>
      <c r="R68" s="64">
        <v>3.8125230018917633</v>
      </c>
      <c r="S68" s="65">
        <v>0.39831049430137955</v>
      </c>
      <c r="T68" s="61">
        <v>0.98744818057342931</v>
      </c>
      <c r="U68" s="66">
        <v>6.3440949183909481E-3</v>
      </c>
      <c r="V68" s="62">
        <v>2.2999999999999998</v>
      </c>
      <c r="X68" s="64">
        <v>-24.751103548006348</v>
      </c>
      <c r="Y68" s="64">
        <v>0.26386110810027597</v>
      </c>
      <c r="Z68" s="61">
        <v>37.727009865955516</v>
      </c>
      <c r="AA68" s="66">
        <v>0.42026553096942221</v>
      </c>
      <c r="AB68" s="62">
        <v>2.5</v>
      </c>
      <c r="AC68" s="63" t="s">
        <v>294</v>
      </c>
    </row>
    <row r="69" spans="1:29" ht="14.5" x14ac:dyDescent="0.35">
      <c r="A69" s="1" t="s">
        <v>38</v>
      </c>
      <c r="B69" s="2" t="s">
        <v>62</v>
      </c>
      <c r="C69" s="1" t="s">
        <v>15</v>
      </c>
      <c r="D69" s="1" t="str">
        <f t="shared" si="1"/>
        <v>TBHM_4-24_SIA</v>
      </c>
      <c r="E69" s="10">
        <v>45390</v>
      </c>
      <c r="F69" s="24">
        <v>45512</v>
      </c>
      <c r="G69" s="10" t="s">
        <v>16</v>
      </c>
      <c r="I69" s="1" t="s">
        <v>16</v>
      </c>
      <c r="J69" s="1" t="s">
        <v>16</v>
      </c>
      <c r="K69" s="1" t="s">
        <v>17</v>
      </c>
      <c r="L69" s="64">
        <v>3.372954941436924</v>
      </c>
      <c r="M69" s="65">
        <v>0.85852324431276295</v>
      </c>
      <c r="N69" s="61">
        <v>0.23255312826085936</v>
      </c>
      <c r="O69" s="61">
        <v>0.26730476971828937</v>
      </c>
      <c r="P69" s="62">
        <v>3.9</v>
      </c>
      <c r="R69" s="64">
        <v>3.019052301760127</v>
      </c>
      <c r="S69" s="65">
        <v>0.40519233580137271</v>
      </c>
      <c r="T69" s="61">
        <v>0.53669948661298439</v>
      </c>
      <c r="U69" s="66">
        <v>1.7328662594042307E-2</v>
      </c>
      <c r="V69" s="62">
        <v>2.5</v>
      </c>
      <c r="X69" s="64">
        <v>-20.894847484698239</v>
      </c>
      <c r="Y69" s="64">
        <v>0.15024182856416377</v>
      </c>
      <c r="Z69" s="61">
        <v>23.56818419512609</v>
      </c>
      <c r="AA69" s="66">
        <v>0.12510283447902959</v>
      </c>
      <c r="AB69" s="62">
        <v>2.8</v>
      </c>
    </row>
    <row r="70" spans="1:29" ht="14.5" x14ac:dyDescent="0.35">
      <c r="A70" s="1" t="s">
        <v>38</v>
      </c>
      <c r="B70" s="2" t="s">
        <v>259</v>
      </c>
      <c r="C70" s="1" t="s">
        <v>15</v>
      </c>
      <c r="D70" s="1" t="str">
        <f t="shared" si="1"/>
        <v>TBHM_4-24_DUP_SIA</v>
      </c>
      <c r="E70" s="10">
        <v>45390</v>
      </c>
      <c r="F70" s="24">
        <v>45512</v>
      </c>
      <c r="G70" s="10" t="s">
        <v>16</v>
      </c>
      <c r="I70" s="1" t="s">
        <v>16</v>
      </c>
      <c r="J70" s="1" t="s">
        <v>16</v>
      </c>
      <c r="K70" s="1" t="s">
        <v>17</v>
      </c>
      <c r="L70" s="64">
        <v>2.6691974663065308</v>
      </c>
      <c r="M70" s="65">
        <v>0.87548359845151369</v>
      </c>
      <c r="N70" s="61">
        <v>0.49777328702654589</v>
      </c>
      <c r="O70" s="61">
        <v>0.13666278183628588</v>
      </c>
      <c r="P70" s="62">
        <v>3.8</v>
      </c>
    </row>
    <row r="71" spans="1:29" ht="14.5" x14ac:dyDescent="0.35">
      <c r="A71" s="1" t="s">
        <v>38</v>
      </c>
      <c r="B71" s="2" t="s">
        <v>14</v>
      </c>
      <c r="C71" s="1" t="s">
        <v>15</v>
      </c>
      <c r="D71" s="1" t="str">
        <f t="shared" si="1"/>
        <v>TBHM_9-23_SIA</v>
      </c>
      <c r="E71" s="10">
        <v>45196</v>
      </c>
      <c r="F71" s="24">
        <v>45502</v>
      </c>
      <c r="G71" s="10" t="s">
        <v>16</v>
      </c>
      <c r="I71" s="1" t="s">
        <v>16</v>
      </c>
      <c r="J71" s="1" t="s">
        <v>16</v>
      </c>
      <c r="K71" s="1" t="s">
        <v>17</v>
      </c>
      <c r="L71" s="64">
        <v>-4.149808669746311</v>
      </c>
      <c r="M71" s="65">
        <v>0.77929734352076496</v>
      </c>
      <c r="N71" s="61">
        <v>0.76746639611197742</v>
      </c>
      <c r="O71" s="61">
        <v>3.0779218071489495E-2</v>
      </c>
      <c r="P71" s="62">
        <v>3.8</v>
      </c>
      <c r="R71" s="64">
        <v>3.8339680820839228</v>
      </c>
      <c r="S71" s="65">
        <v>0.39832007649221024</v>
      </c>
      <c r="T71" s="61">
        <v>0.83827693984598639</v>
      </c>
      <c r="U71" s="66">
        <v>5.9982909211110675E-3</v>
      </c>
      <c r="V71" s="62">
        <v>2.5</v>
      </c>
      <c r="X71" s="64">
        <v>-26.108758571461095</v>
      </c>
      <c r="Y71" s="64">
        <v>0.26544270242993839</v>
      </c>
      <c r="Z71" s="61">
        <v>32.761446178319872</v>
      </c>
      <c r="AA71" s="66">
        <v>0.35735287861407949</v>
      </c>
      <c r="AB71" s="62">
        <v>2.6</v>
      </c>
      <c r="AC71" s="63" t="s">
        <v>294</v>
      </c>
    </row>
    <row r="72" spans="1:29" ht="14.5" x14ac:dyDescent="0.35">
      <c r="A72" s="1" t="s">
        <v>38</v>
      </c>
      <c r="B72" s="2" t="s">
        <v>258</v>
      </c>
      <c r="C72" s="1" t="s">
        <v>15</v>
      </c>
      <c r="D72" s="1" t="str">
        <f t="shared" si="1"/>
        <v>TBHM_9-23_DUP_SIA</v>
      </c>
      <c r="E72" s="10">
        <v>45196</v>
      </c>
      <c r="F72" s="24">
        <v>45502</v>
      </c>
      <c r="G72" s="10" t="s">
        <v>16</v>
      </c>
      <c r="I72" s="1" t="s">
        <v>16</v>
      </c>
      <c r="J72" s="1" t="s">
        <v>16</v>
      </c>
      <c r="K72" s="1" t="s">
        <v>17</v>
      </c>
      <c r="L72" s="64"/>
      <c r="M72" s="65"/>
      <c r="N72" s="61"/>
      <c r="O72" s="61"/>
      <c r="P72" s="62"/>
      <c r="R72" s="64"/>
      <c r="S72" s="65"/>
      <c r="T72" s="61"/>
      <c r="U72" s="66"/>
      <c r="V72" s="62"/>
      <c r="X72" s="64">
        <v>-25.755966136937481</v>
      </c>
      <c r="Y72" s="64">
        <v>0.15059614534898952</v>
      </c>
      <c r="Z72" s="61">
        <v>25.496126736929465</v>
      </c>
      <c r="AA72" s="66">
        <v>0.12416270223349481</v>
      </c>
      <c r="AB72" s="62">
        <v>2.1</v>
      </c>
    </row>
    <row r="73" spans="1:29" ht="14.5" x14ac:dyDescent="0.35">
      <c r="A73" s="1" t="s">
        <v>53</v>
      </c>
      <c r="B73" s="2" t="s">
        <v>62</v>
      </c>
      <c r="C73" s="1" t="s">
        <v>15</v>
      </c>
      <c r="D73" s="1" t="str">
        <f t="shared" si="1"/>
        <v>TKB_4-24_SIA</v>
      </c>
      <c r="E73" s="10">
        <v>45393</v>
      </c>
      <c r="F73" s="24">
        <v>45519</v>
      </c>
      <c r="G73" s="10" t="s">
        <v>16</v>
      </c>
      <c r="I73" s="1" t="s">
        <v>16</v>
      </c>
      <c r="J73" s="1" t="s">
        <v>16</v>
      </c>
      <c r="K73" s="1" t="s">
        <v>17</v>
      </c>
      <c r="L73" s="64">
        <v>3.2083513096580782</v>
      </c>
      <c r="M73" s="65">
        <v>1.7246779945675625</v>
      </c>
      <c r="N73" s="61">
        <v>0.18354215847991651</v>
      </c>
      <c r="O73" s="61">
        <v>0.41270876791422906</v>
      </c>
      <c r="P73" s="62">
        <v>3</v>
      </c>
      <c r="Q73" s="63" t="s">
        <v>252</v>
      </c>
      <c r="V73" s="62">
        <v>2.2999999999999998</v>
      </c>
      <c r="W73" s="63" t="s">
        <v>287</v>
      </c>
      <c r="X73" s="64">
        <v>-12.826600758989962</v>
      </c>
      <c r="Y73" s="64">
        <v>0.15114693391837533</v>
      </c>
      <c r="Z73" s="61">
        <v>5.341575539407394</v>
      </c>
      <c r="AA73" s="66">
        <v>3.1421191090348369E-2</v>
      </c>
      <c r="AB73" s="62">
        <v>3</v>
      </c>
    </row>
    <row r="74" spans="1:29" ht="14.5" x14ac:dyDescent="0.35">
      <c r="A74" s="1" t="s">
        <v>53</v>
      </c>
      <c r="B74" s="2" t="s">
        <v>14</v>
      </c>
      <c r="C74" s="1" t="s">
        <v>15</v>
      </c>
      <c r="D74" s="1" t="str">
        <f t="shared" si="1"/>
        <v>TKB_9-23_SIA</v>
      </c>
      <c r="E74" s="10">
        <v>45204</v>
      </c>
      <c r="F74" s="24">
        <v>45509</v>
      </c>
      <c r="G74" s="10" t="s">
        <v>16</v>
      </c>
      <c r="I74" s="1" t="s">
        <v>16</v>
      </c>
      <c r="J74" s="1" t="s">
        <v>16</v>
      </c>
      <c r="K74" s="1" t="s">
        <v>17</v>
      </c>
      <c r="L74"/>
      <c r="M74"/>
      <c r="O74" s="61"/>
      <c r="P74" s="62">
        <v>3.9</v>
      </c>
      <c r="Q74" s="63" t="s">
        <v>250</v>
      </c>
      <c r="R74" s="64">
        <v>2.1612518270955694</v>
      </c>
      <c r="S74" s="65">
        <v>0.39770927837964898</v>
      </c>
      <c r="T74" s="61">
        <v>0.83414301295268467</v>
      </c>
      <c r="U74" s="66">
        <v>7.1930637367335105E-3</v>
      </c>
      <c r="V74" s="62">
        <v>2.2000000000000002</v>
      </c>
      <c r="X74" s="64">
        <v>-12.826029200198571</v>
      </c>
      <c r="Y74" s="64">
        <v>0.16842246125585217</v>
      </c>
      <c r="Z74" s="61">
        <v>11.006355880061781</v>
      </c>
      <c r="AA74" s="66">
        <v>7.3393724437457189E-2</v>
      </c>
      <c r="AB74" s="62">
        <v>2.2999999999999998</v>
      </c>
    </row>
    <row r="75" spans="1:29" ht="14.5" x14ac:dyDescent="0.35">
      <c r="A75" s="1" t="s">
        <v>44</v>
      </c>
      <c r="B75" s="2" t="s">
        <v>62</v>
      </c>
      <c r="C75" s="1" t="s">
        <v>15</v>
      </c>
      <c r="D75" s="1" t="str">
        <f t="shared" si="1"/>
        <v>TSM1_4-24_SIA</v>
      </c>
      <c r="E75" s="10">
        <v>45391</v>
      </c>
      <c r="F75" s="24">
        <v>45517</v>
      </c>
      <c r="G75" s="10" t="s">
        <v>16</v>
      </c>
      <c r="I75" s="1" t="s">
        <v>16</v>
      </c>
      <c r="J75" s="1" t="s">
        <v>16</v>
      </c>
      <c r="K75" s="1" t="s">
        <v>17</v>
      </c>
      <c r="L75" s="64">
        <v>4.7760599246596609</v>
      </c>
      <c r="M75" s="65">
        <v>1.6530332289043366</v>
      </c>
      <c r="N75" s="61">
        <v>0.14484886732292404</v>
      </c>
      <c r="O75" s="61">
        <v>0.38732243658176091</v>
      </c>
      <c r="P75" s="62">
        <v>3.3</v>
      </c>
      <c r="Q75" s="63" t="s">
        <v>252</v>
      </c>
      <c r="R75" s="64">
        <v>2.179490919883353</v>
      </c>
      <c r="S75" s="65">
        <v>0.37460245939630626</v>
      </c>
      <c r="T75" s="61">
        <v>0.64305529727747102</v>
      </c>
      <c r="U75" s="66">
        <v>1.2310771158961096E-2</v>
      </c>
      <c r="V75" s="62">
        <v>2.2000000000000002</v>
      </c>
      <c r="X75" s="64">
        <v>-28.408402248014077</v>
      </c>
      <c r="Y75" s="64">
        <v>0.22661060374447592</v>
      </c>
      <c r="Z75" s="61">
        <v>37.191859200016125</v>
      </c>
      <c r="AA75" s="66">
        <v>0.22567403724204443</v>
      </c>
      <c r="AB75" s="62">
        <v>2.8</v>
      </c>
      <c r="AC75" s="63" t="s">
        <v>286</v>
      </c>
    </row>
    <row r="76" spans="1:29" ht="14.5" x14ac:dyDescent="0.35">
      <c r="A76" s="1" t="s">
        <v>44</v>
      </c>
      <c r="B76" s="2" t="s">
        <v>14</v>
      </c>
      <c r="C76" s="1" t="s">
        <v>15</v>
      </c>
      <c r="D76" s="1" t="str">
        <f t="shared" si="1"/>
        <v>TSM1_9-23_SIA</v>
      </c>
      <c r="E76" s="10">
        <v>45199</v>
      </c>
      <c r="F76" s="24">
        <v>45498</v>
      </c>
      <c r="G76" s="10" t="s">
        <v>16</v>
      </c>
      <c r="I76" s="1" t="s">
        <v>16</v>
      </c>
      <c r="J76" s="1" t="s">
        <v>16</v>
      </c>
      <c r="K76" s="1" t="s">
        <v>17</v>
      </c>
      <c r="L76"/>
      <c r="M76"/>
      <c r="O76" s="61"/>
      <c r="P76" s="62">
        <v>3</v>
      </c>
      <c r="Q76" s="63" t="s">
        <v>251</v>
      </c>
      <c r="R76" s="64">
        <v>3.1524654357756354</v>
      </c>
      <c r="S76" s="65">
        <v>0.37466936409140505</v>
      </c>
      <c r="T76" s="61">
        <v>0.58417809284127442</v>
      </c>
      <c r="U76" s="66">
        <v>1.4847368630374946E-2</v>
      </c>
      <c r="V76" s="62">
        <v>2</v>
      </c>
      <c r="X76" s="64">
        <v>-27.669048673043427</v>
      </c>
      <c r="Y76" s="64">
        <v>0.26733236276352024</v>
      </c>
      <c r="Z76" s="61">
        <v>40.370152216062742</v>
      </c>
      <c r="AA76" s="66">
        <v>0.43989041315610244</v>
      </c>
      <c r="AB76" s="62">
        <v>2.1</v>
      </c>
      <c r="AC76" s="63" t="s">
        <v>294</v>
      </c>
    </row>
    <row r="77" spans="1:29" ht="14.5" x14ac:dyDescent="0.35">
      <c r="A77" s="1" t="s">
        <v>44</v>
      </c>
      <c r="B77" s="2" t="s">
        <v>258</v>
      </c>
      <c r="C77" s="1" t="s">
        <v>15</v>
      </c>
      <c r="D77" s="1" t="str">
        <f t="shared" si="1"/>
        <v>TSM1_9-23_DUP_SIA</v>
      </c>
      <c r="E77" s="10">
        <v>45199</v>
      </c>
      <c r="F77" s="24">
        <v>45498</v>
      </c>
      <c r="G77" s="10" t="s">
        <v>16</v>
      </c>
      <c r="I77" s="1" t="s">
        <v>16</v>
      </c>
      <c r="J77" s="1" t="s">
        <v>16</v>
      </c>
      <c r="K77" s="1" t="s">
        <v>17</v>
      </c>
      <c r="L77"/>
      <c r="M77"/>
      <c r="O77" s="61"/>
      <c r="P77" s="62"/>
      <c r="Q77" s="63"/>
      <c r="R77" s="64"/>
      <c r="S77" s="65"/>
      <c r="T77" s="61"/>
      <c r="U77" s="66"/>
      <c r="V77" s="62"/>
      <c r="X77" s="64">
        <v>-27.466413594915849</v>
      </c>
      <c r="Y77" s="64">
        <v>0.17805510285125442</v>
      </c>
      <c r="Z77" s="61">
        <v>27.353053041265341</v>
      </c>
      <c r="AA77" s="66">
        <v>0.27581403564514129</v>
      </c>
      <c r="AB77" s="62">
        <v>2.2999999999999998</v>
      </c>
    </row>
    <row r="78" spans="1:29" ht="14.5" x14ac:dyDescent="0.35">
      <c r="A78" s="1" t="s">
        <v>45</v>
      </c>
      <c r="B78" s="2" t="s">
        <v>62</v>
      </c>
      <c r="C78" s="1" t="s">
        <v>15</v>
      </c>
      <c r="D78" s="1" t="str">
        <f t="shared" si="1"/>
        <v>TSM3_4-24_SIA</v>
      </c>
      <c r="E78" s="10">
        <v>45391</v>
      </c>
      <c r="F78" s="24">
        <v>45512</v>
      </c>
      <c r="G78" s="10" t="s">
        <v>16</v>
      </c>
      <c r="I78" s="1" t="s">
        <v>16</v>
      </c>
      <c r="J78" s="1" t="s">
        <v>16</v>
      </c>
      <c r="K78" s="1" t="s">
        <v>17</v>
      </c>
      <c r="L78" s="64">
        <v>1.7898542267894899</v>
      </c>
      <c r="M78" s="65">
        <v>1.7951576902886446</v>
      </c>
      <c r="N78" s="61">
        <v>0.14773556466423268</v>
      </c>
      <c r="O78" s="61">
        <v>0.35903358456052703</v>
      </c>
      <c r="P78" s="62">
        <v>3.5</v>
      </c>
      <c r="Q78" s="63" t="s">
        <v>252</v>
      </c>
      <c r="R78" s="64">
        <v>3.2450973685476869</v>
      </c>
      <c r="S78" s="65">
        <v>0.37468452855796813</v>
      </c>
      <c r="T78" s="61">
        <v>0.41311518802532243</v>
      </c>
      <c r="U78" s="66">
        <v>1.2494541012875296E-2</v>
      </c>
      <c r="V78" s="62">
        <v>2.5</v>
      </c>
      <c r="X78" s="64">
        <v>-24.88862961392384</v>
      </c>
      <c r="Y78" s="64">
        <v>0.3009667599808426</v>
      </c>
      <c r="Z78" s="61">
        <v>45.119920789202325</v>
      </c>
      <c r="AA78" s="66">
        <v>0.28478226524338679</v>
      </c>
      <c r="AB78" s="62">
        <v>2.8</v>
      </c>
      <c r="AC78" s="63" t="s">
        <v>297</v>
      </c>
    </row>
    <row r="79" spans="1:29" ht="14.5" x14ac:dyDescent="0.35">
      <c r="A79" s="1" t="s">
        <v>45</v>
      </c>
      <c r="B79" s="2" t="s">
        <v>14</v>
      </c>
      <c r="C79" s="1" t="s">
        <v>15</v>
      </c>
      <c r="D79" s="1" t="str">
        <f t="shared" si="1"/>
        <v>TSM3_9-23_SIA</v>
      </c>
      <c r="E79" s="10">
        <v>45199</v>
      </c>
      <c r="F79" s="24">
        <v>45498</v>
      </c>
      <c r="G79" s="10" t="s">
        <v>16</v>
      </c>
      <c r="I79" s="1" t="s">
        <v>16</v>
      </c>
      <c r="J79" s="1" t="s">
        <v>16</v>
      </c>
      <c r="K79" s="1" t="s">
        <v>17</v>
      </c>
      <c r="L79" s="64">
        <v>-3.8637963109326949</v>
      </c>
      <c r="M79" s="65">
        <v>1.0566192009388071</v>
      </c>
      <c r="N79" s="61">
        <v>0.32535910433975507</v>
      </c>
      <c r="O79" s="61">
        <v>0.23810229332592606</v>
      </c>
      <c r="P79" s="62">
        <v>3.7</v>
      </c>
      <c r="R79" s="64">
        <v>2.1688372225349091</v>
      </c>
      <c r="S79" s="65">
        <v>0.37442971427318589</v>
      </c>
      <c r="T79" s="61">
        <v>1.578254648578532</v>
      </c>
      <c r="U79" s="66">
        <v>1.2656492887943712E-2</v>
      </c>
      <c r="V79" s="62">
        <v>2.8</v>
      </c>
      <c r="X79" s="64">
        <v>-24.212913950645778</v>
      </c>
      <c r="Y79" s="64">
        <v>0.22561561803290983</v>
      </c>
      <c r="Z79" s="61">
        <v>44.240420623531527</v>
      </c>
      <c r="AA79" s="66">
        <v>0.26115946581581101</v>
      </c>
      <c r="AB79" s="62">
        <v>2.1</v>
      </c>
      <c r="AC79" s="63" t="s">
        <v>286</v>
      </c>
    </row>
    <row r="80" spans="1:29" ht="14.5" x14ac:dyDescent="0.35">
      <c r="A80" s="1" t="s">
        <v>46</v>
      </c>
      <c r="B80" s="2" t="s">
        <v>62</v>
      </c>
      <c r="C80" s="1" t="s">
        <v>15</v>
      </c>
      <c r="D80" s="1" t="str">
        <f t="shared" si="1"/>
        <v>TSM4_4-24_SIA</v>
      </c>
      <c r="E80" s="10">
        <v>45391</v>
      </c>
      <c r="F80" s="24">
        <v>45517</v>
      </c>
      <c r="G80" s="10" t="s">
        <v>16</v>
      </c>
      <c r="I80" s="1" t="s">
        <v>16</v>
      </c>
      <c r="J80" s="1" t="s">
        <v>16</v>
      </c>
      <c r="K80" s="1" t="s">
        <v>17</v>
      </c>
      <c r="L80" s="64">
        <v>4.0744067128951951</v>
      </c>
      <c r="M80" s="65">
        <v>0.80084770160279173</v>
      </c>
      <c r="N80" s="61">
        <v>0.81316650363401255</v>
      </c>
      <c r="O80" s="61">
        <v>0.14820576747692349</v>
      </c>
      <c r="P80" s="62">
        <v>3.6</v>
      </c>
      <c r="R80" s="64">
        <v>2.2952369017175052</v>
      </c>
      <c r="S80" s="65">
        <v>0.40550833119262708</v>
      </c>
      <c r="T80" s="61">
        <v>2.6799110690543482</v>
      </c>
      <c r="U80" s="66">
        <v>5.3945780468640403E-2</v>
      </c>
      <c r="V80" s="62">
        <v>2.2000000000000002</v>
      </c>
      <c r="X80" s="64">
        <v>-28.065501762171472</v>
      </c>
      <c r="Y80" s="64">
        <v>0.30200154988677269</v>
      </c>
      <c r="Z80" s="61">
        <v>51.818951237610776</v>
      </c>
      <c r="AA80" s="66">
        <v>0.33837674313506938</v>
      </c>
      <c r="AB80" s="62">
        <v>3</v>
      </c>
      <c r="AC80" s="63" t="s">
        <v>297</v>
      </c>
    </row>
    <row r="81" spans="1:29" ht="14.5" x14ac:dyDescent="0.35">
      <c r="A81" s="1" t="s">
        <v>46</v>
      </c>
      <c r="B81" s="2" t="s">
        <v>14</v>
      </c>
      <c r="C81" s="1" t="s">
        <v>15</v>
      </c>
      <c r="D81" s="1" t="str">
        <f t="shared" si="1"/>
        <v>TSM4_9-23_SIA</v>
      </c>
      <c r="E81" s="10">
        <v>45199</v>
      </c>
      <c r="F81" s="24">
        <v>45503</v>
      </c>
      <c r="G81" s="10" t="s">
        <v>16</v>
      </c>
      <c r="I81" s="1" t="s">
        <v>16</v>
      </c>
      <c r="J81" s="1" t="s">
        <v>16</v>
      </c>
      <c r="K81" s="1" t="s">
        <v>17</v>
      </c>
      <c r="L81" s="64">
        <v>2.2686666000536482</v>
      </c>
      <c r="M81" s="65">
        <v>0.88530451155529588</v>
      </c>
      <c r="N81" s="61">
        <v>1.9609133014682354</v>
      </c>
      <c r="O81" s="61">
        <v>0.59731729811819101</v>
      </c>
      <c r="P81" s="62">
        <v>3</v>
      </c>
      <c r="R81" s="64">
        <v>3.8006649761451285</v>
      </c>
      <c r="S81" s="65">
        <v>0.37470968734719801</v>
      </c>
      <c r="T81" s="61">
        <v>0.59186764294142202</v>
      </c>
      <c r="U81" s="66">
        <v>1.1260848576550755E-2</v>
      </c>
      <c r="V81" s="62">
        <v>2.4</v>
      </c>
      <c r="X81" s="64">
        <v>-28.236426891800633</v>
      </c>
      <c r="Y81" s="64">
        <v>0.35738440754544126</v>
      </c>
      <c r="Z81" s="61">
        <v>42.162860125582533</v>
      </c>
      <c r="AA81" s="66">
        <v>0.47219332434008354</v>
      </c>
      <c r="AB81" s="62">
        <v>2.2999999999999998</v>
      </c>
      <c r="AC81" s="63" t="s">
        <v>295</v>
      </c>
    </row>
    <row r="82" spans="1:29" ht="14.5" x14ac:dyDescent="0.35">
      <c r="A82" s="1" t="s">
        <v>46</v>
      </c>
      <c r="B82" s="2" t="s">
        <v>258</v>
      </c>
      <c r="C82" s="1" t="s">
        <v>15</v>
      </c>
      <c r="D82" s="1" t="str">
        <f t="shared" si="1"/>
        <v>TSM4_9-23_DUP_SIA</v>
      </c>
      <c r="E82" s="10">
        <v>45199</v>
      </c>
      <c r="F82" s="24">
        <v>45503</v>
      </c>
      <c r="G82" s="10" t="s">
        <v>16</v>
      </c>
      <c r="I82" s="1" t="s">
        <v>16</v>
      </c>
      <c r="J82" s="1" t="s">
        <v>16</v>
      </c>
      <c r="K82" s="1" t="s">
        <v>17</v>
      </c>
      <c r="L82" s="64"/>
      <c r="M82" s="65"/>
      <c r="N82" s="61"/>
      <c r="O82" s="61"/>
      <c r="P82" s="62"/>
      <c r="R82" s="64">
        <v>0.97477520738597767</v>
      </c>
      <c r="S82" s="65">
        <v>0.74858946827281925</v>
      </c>
      <c r="T82" s="61">
        <v>2.6015759634191742</v>
      </c>
      <c r="U82" s="66">
        <v>2.6245669582082055E-2</v>
      </c>
      <c r="V82" s="62">
        <v>2.6</v>
      </c>
      <c r="W82" s="63" t="s">
        <v>288</v>
      </c>
      <c r="X82" s="64"/>
      <c r="Y82" s="64"/>
      <c r="Z82" s="61"/>
      <c r="AA82" s="66"/>
      <c r="AB82" s="62"/>
      <c r="AC82" s="63"/>
    </row>
    <row r="83" spans="1:29" ht="14.5" x14ac:dyDescent="0.35">
      <c r="A83" s="1" t="s">
        <v>51</v>
      </c>
      <c r="B83" s="2" t="s">
        <v>62</v>
      </c>
      <c r="C83" s="1" t="s">
        <v>15</v>
      </c>
      <c r="D83" s="1" t="str">
        <f t="shared" si="1"/>
        <v>WB1_4-24_SIA</v>
      </c>
      <c r="E83" s="10">
        <v>45393</v>
      </c>
      <c r="F83" s="24">
        <v>45516</v>
      </c>
      <c r="G83" s="10" t="s">
        <v>16</v>
      </c>
      <c r="I83" s="1" t="s">
        <v>16</v>
      </c>
      <c r="J83" s="1" t="s">
        <v>16</v>
      </c>
      <c r="K83" s="1" t="s">
        <v>17</v>
      </c>
      <c r="L83" s="64">
        <v>-4.1053798222562046</v>
      </c>
      <c r="M83" s="65">
        <v>1.0639563371112599</v>
      </c>
      <c r="N83" s="61">
        <v>0.23146365175503825</v>
      </c>
      <c r="O83" s="61">
        <v>0.3542471400744322</v>
      </c>
      <c r="P83" s="62">
        <v>3.2</v>
      </c>
      <c r="R83" s="64">
        <v>2.8335119490834781</v>
      </c>
      <c r="S83" s="65">
        <v>0.37465189869117338</v>
      </c>
      <c r="T83" s="61">
        <v>0.42573416762569283</v>
      </c>
      <c r="U83" s="66">
        <v>1.1686652764875669E-2</v>
      </c>
      <c r="V83" s="62">
        <v>2.6</v>
      </c>
      <c r="X83" s="64">
        <v>-13.964687647765091</v>
      </c>
      <c r="Z83" s="61">
        <v>20.035713350957231</v>
      </c>
      <c r="AA83" s="66">
        <v>0.10606697345562797</v>
      </c>
      <c r="AB83" s="62">
        <v>2.7</v>
      </c>
    </row>
    <row r="84" spans="1:29" ht="14.5" x14ac:dyDescent="0.35">
      <c r="A84" s="1" t="s">
        <v>51</v>
      </c>
      <c r="B84" s="2" t="s">
        <v>14</v>
      </c>
      <c r="C84" s="1" t="s">
        <v>15</v>
      </c>
      <c r="D84" s="1" t="str">
        <f t="shared" si="1"/>
        <v>WB1_9-23_SIA</v>
      </c>
      <c r="E84" s="10">
        <v>45204</v>
      </c>
      <c r="F84" s="24">
        <v>45523</v>
      </c>
      <c r="G84" s="10" t="s">
        <v>16</v>
      </c>
      <c r="I84" s="1" t="s">
        <v>16</v>
      </c>
      <c r="J84" s="1" t="s">
        <v>16</v>
      </c>
      <c r="K84" s="1" t="s">
        <v>17</v>
      </c>
      <c r="L84" s="64">
        <v>1.3739427200722023</v>
      </c>
      <c r="M84" s="65">
        <v>1.4225401752132207</v>
      </c>
      <c r="N84" s="61">
        <v>0.38338961170508185</v>
      </c>
      <c r="O84" s="61">
        <v>5.0503568770938805E-2</v>
      </c>
      <c r="P84" s="62">
        <v>3.4</v>
      </c>
      <c r="Q84" s="63" t="s">
        <v>253</v>
      </c>
      <c r="V84" s="62">
        <v>2</v>
      </c>
      <c r="W84" s="63" t="s">
        <v>289</v>
      </c>
      <c r="X84" s="64">
        <v>-12.443359039518819</v>
      </c>
      <c r="Y84" s="64">
        <v>0.15123596144698756</v>
      </c>
      <c r="Z84" s="61">
        <v>23.135967992470206</v>
      </c>
      <c r="AA84" s="66">
        <v>0.11451607115363677</v>
      </c>
      <c r="AB84" s="62">
        <v>2.4</v>
      </c>
    </row>
    <row r="85" spans="1:29" ht="14.5" x14ac:dyDescent="0.35">
      <c r="A85" s="1" t="s">
        <v>52</v>
      </c>
      <c r="B85" s="2" t="s">
        <v>62</v>
      </c>
      <c r="C85" s="1" t="s">
        <v>15</v>
      </c>
      <c r="D85" s="1" t="str">
        <f t="shared" si="1"/>
        <v>WB2_4-24_SIA</v>
      </c>
      <c r="E85" s="10">
        <v>45393</v>
      </c>
      <c r="F85" s="24">
        <v>45517</v>
      </c>
      <c r="G85" s="10" t="s">
        <v>16</v>
      </c>
      <c r="I85" s="1" t="s">
        <v>16</v>
      </c>
      <c r="J85" s="1" t="s">
        <v>16</v>
      </c>
      <c r="K85" s="1" t="s">
        <v>17</v>
      </c>
      <c r="L85"/>
      <c r="M85"/>
      <c r="O85" s="61"/>
      <c r="P85" s="62">
        <v>3.8</v>
      </c>
      <c r="Q85" s="63" t="s">
        <v>251</v>
      </c>
      <c r="R85" s="64">
        <v>2.5831278552065036</v>
      </c>
      <c r="S85" s="65">
        <v>0.37463787261891257</v>
      </c>
      <c r="T85" s="61">
        <v>0.37018575740816206</v>
      </c>
      <c r="U85" s="66">
        <v>1.0114634998355135E-2</v>
      </c>
      <c r="V85" s="62">
        <v>3</v>
      </c>
      <c r="X85" s="64">
        <v>-5.2928753788598568</v>
      </c>
      <c r="Y85" s="64">
        <v>0.15364512012166009</v>
      </c>
      <c r="Z85" s="61">
        <v>15.138399687154269</v>
      </c>
      <c r="AA85" s="66">
        <v>6.6893793540165961E-2</v>
      </c>
      <c r="AB85" s="62">
        <v>2.9</v>
      </c>
    </row>
    <row r="86" spans="1:29" ht="14.5" x14ac:dyDescent="0.35">
      <c r="A86" s="1" t="s">
        <v>52</v>
      </c>
      <c r="B86" s="2" t="s">
        <v>14</v>
      </c>
      <c r="C86" s="1" t="s">
        <v>15</v>
      </c>
      <c r="D86" s="1" t="str">
        <f t="shared" si="1"/>
        <v>WB2_9-23_SIA</v>
      </c>
      <c r="E86" s="10">
        <v>45204</v>
      </c>
      <c r="F86" s="24">
        <v>45509</v>
      </c>
      <c r="G86" s="10" t="s">
        <v>16</v>
      </c>
      <c r="I86" s="1" t="s">
        <v>16</v>
      </c>
      <c r="J86" s="1" t="s">
        <v>16</v>
      </c>
      <c r="K86" s="1" t="s">
        <v>17</v>
      </c>
      <c r="L86" s="64">
        <v>-2.0607256838856367</v>
      </c>
      <c r="M86" s="65">
        <v>2.0059580554192338</v>
      </c>
      <c r="N86" s="61">
        <v>0.16051126382667719</v>
      </c>
      <c r="O86" s="61">
        <v>0.29694929955788968</v>
      </c>
      <c r="P86" s="62">
        <v>4</v>
      </c>
      <c r="Q86" s="63" t="s">
        <v>252</v>
      </c>
      <c r="R86" s="64">
        <v>2.7329279113360836</v>
      </c>
      <c r="S86" s="65">
        <v>0.37465946773694042</v>
      </c>
      <c r="T86" s="61">
        <v>0.36968106670521006</v>
      </c>
      <c r="U86" s="66">
        <v>1.3733091667831199E-2</v>
      </c>
      <c r="V86" s="62">
        <v>2.4</v>
      </c>
      <c r="X86" s="64">
        <v>-14.224211239278839</v>
      </c>
      <c r="Y86" s="64">
        <v>0.16912752231718298</v>
      </c>
      <c r="Z86" s="61">
        <v>21.124293040743421</v>
      </c>
      <c r="AA86" s="66">
        <v>0.20889832473428893</v>
      </c>
      <c r="AB86" s="62">
        <v>2.8</v>
      </c>
    </row>
    <row r="87" spans="1:29" ht="14.5" x14ac:dyDescent="0.35">
      <c r="A87" s="1" t="s">
        <v>23</v>
      </c>
      <c r="B87" s="2" t="s">
        <v>60</v>
      </c>
      <c r="C87" s="1" t="s">
        <v>15</v>
      </c>
      <c r="D87" s="1" t="str">
        <f t="shared" si="1"/>
        <v>ACS1_1-24_SIA</v>
      </c>
      <c r="E87" s="10">
        <v>45302</v>
      </c>
      <c r="F87" s="1"/>
      <c r="G87" s="10" t="s">
        <v>16</v>
      </c>
    </row>
    <row r="88" spans="1:29" ht="14.5" x14ac:dyDescent="0.35">
      <c r="A88" s="1" t="s">
        <v>23</v>
      </c>
      <c r="B88" s="2" t="s">
        <v>63</v>
      </c>
      <c r="C88" s="1" t="s">
        <v>15</v>
      </c>
      <c r="D88" s="1" t="str">
        <f t="shared" si="1"/>
        <v>ACS1_8-24_SIA</v>
      </c>
      <c r="E88" s="10">
        <v>45524</v>
      </c>
      <c r="G88" s="1" t="s">
        <v>16</v>
      </c>
    </row>
    <row r="89" spans="1:29" ht="14.5" x14ac:dyDescent="0.35">
      <c r="A89" s="1" t="s">
        <v>24</v>
      </c>
      <c r="B89" s="2" t="s">
        <v>60</v>
      </c>
      <c r="C89" s="1" t="s">
        <v>15</v>
      </c>
      <c r="D89" s="1" t="str">
        <f t="shared" si="1"/>
        <v>ACS2_1-24_SIA</v>
      </c>
      <c r="E89" s="10">
        <v>45302</v>
      </c>
      <c r="F89" s="1"/>
      <c r="G89" s="10" t="s">
        <v>16</v>
      </c>
    </row>
    <row r="90" spans="1:29" ht="14.5" x14ac:dyDescent="0.35">
      <c r="A90" s="1" t="s">
        <v>24</v>
      </c>
      <c r="B90" s="2" t="s">
        <v>63</v>
      </c>
      <c r="C90" s="1" t="s">
        <v>15</v>
      </c>
      <c r="D90" s="1" t="str">
        <f t="shared" si="1"/>
        <v>ACS2_8-24_SIA</v>
      </c>
      <c r="E90" s="10">
        <v>45524</v>
      </c>
      <c r="G90" s="1" t="s">
        <v>16</v>
      </c>
    </row>
    <row r="91" spans="1:29" ht="14.5" x14ac:dyDescent="0.35">
      <c r="A91" s="1" t="s">
        <v>25</v>
      </c>
      <c r="B91" s="2" t="s">
        <v>60</v>
      </c>
      <c r="C91" s="1" t="s">
        <v>15</v>
      </c>
      <c r="D91" s="1" t="str">
        <f t="shared" si="1"/>
        <v>ACS3_1-24_SIA</v>
      </c>
      <c r="E91" s="10">
        <v>45302</v>
      </c>
      <c r="F91" s="1"/>
      <c r="G91" s="10" t="s">
        <v>16</v>
      </c>
    </row>
    <row r="92" spans="1:29" ht="14.5" x14ac:dyDescent="0.35">
      <c r="A92" s="1" t="s">
        <v>25</v>
      </c>
      <c r="B92" s="2" t="s">
        <v>63</v>
      </c>
      <c r="C92" s="1" t="s">
        <v>15</v>
      </c>
      <c r="D92" s="1" t="str">
        <f t="shared" si="1"/>
        <v>ACS3_8-24_SIA</v>
      </c>
      <c r="E92" s="10">
        <v>45524</v>
      </c>
      <c r="G92" s="1" t="s">
        <v>16</v>
      </c>
    </row>
    <row r="93" spans="1:29" ht="14.5" x14ac:dyDescent="0.35">
      <c r="A93" s="1" t="s">
        <v>26</v>
      </c>
      <c r="B93" s="2" t="s">
        <v>60</v>
      </c>
      <c r="C93" s="1" t="s">
        <v>15</v>
      </c>
      <c r="D93" s="1" t="str">
        <f t="shared" si="1"/>
        <v>ACS4_1-24_SIA</v>
      </c>
      <c r="E93" s="10">
        <v>45302</v>
      </c>
      <c r="F93" s="1"/>
      <c r="G93" s="10" t="s">
        <v>16</v>
      </c>
    </row>
    <row r="94" spans="1:29" ht="14.5" x14ac:dyDescent="0.35">
      <c r="A94" s="1" t="s">
        <v>26</v>
      </c>
      <c r="B94" s="2" t="s">
        <v>63</v>
      </c>
      <c r="C94" s="1" t="s">
        <v>15</v>
      </c>
      <c r="D94" s="1" t="str">
        <f t="shared" si="1"/>
        <v>ACS4_8-24_SIA</v>
      </c>
      <c r="E94" s="10">
        <v>45524</v>
      </c>
      <c r="G94" s="1" t="s">
        <v>16</v>
      </c>
    </row>
    <row r="95" spans="1:29" ht="14.5" x14ac:dyDescent="0.35">
      <c r="A95" s="1" t="s">
        <v>27</v>
      </c>
      <c r="B95" s="2" t="s">
        <v>60</v>
      </c>
      <c r="C95" s="1" t="s">
        <v>15</v>
      </c>
      <c r="D95" s="1" t="str">
        <f t="shared" si="1"/>
        <v>ACS5_1-24_SIA</v>
      </c>
      <c r="E95" s="10">
        <v>45302</v>
      </c>
      <c r="F95" s="1"/>
      <c r="G95" s="10" t="s">
        <v>16</v>
      </c>
    </row>
    <row r="96" spans="1:29" ht="14.5" x14ac:dyDescent="0.35">
      <c r="A96" s="1" t="s">
        <v>27</v>
      </c>
      <c r="B96" s="2" t="s">
        <v>63</v>
      </c>
      <c r="C96" s="1" t="s">
        <v>15</v>
      </c>
      <c r="D96" s="1" t="str">
        <f t="shared" si="1"/>
        <v>ACS5_8-24_SIA</v>
      </c>
      <c r="E96" s="10">
        <v>45524</v>
      </c>
      <c r="G96" s="1" t="s">
        <v>16</v>
      </c>
    </row>
    <row r="97" spans="1:7" ht="14.5" x14ac:dyDescent="0.35">
      <c r="A97" s="1" t="s">
        <v>55</v>
      </c>
      <c r="B97" s="2" t="s">
        <v>60</v>
      </c>
      <c r="C97" s="1" t="s">
        <v>15</v>
      </c>
      <c r="D97" s="1" t="str">
        <f t="shared" si="1"/>
        <v>CC_1-24_SIA</v>
      </c>
      <c r="E97" s="10">
        <v>45297</v>
      </c>
      <c r="F97" s="10"/>
      <c r="G97" s="10" t="s">
        <v>16</v>
      </c>
    </row>
    <row r="98" spans="1:7" ht="14.5" x14ac:dyDescent="0.35">
      <c r="A98" s="1" t="s">
        <v>55</v>
      </c>
      <c r="B98" s="2" t="s">
        <v>63</v>
      </c>
      <c r="C98" s="1" t="s">
        <v>15</v>
      </c>
      <c r="D98" s="1" t="str">
        <f t="shared" si="1"/>
        <v>CC_8-24_SIA</v>
      </c>
      <c r="E98" s="10">
        <v>45524</v>
      </c>
      <c r="G98" s="10" t="s">
        <v>16</v>
      </c>
    </row>
    <row r="99" spans="1:7" ht="14.5" x14ac:dyDescent="0.35">
      <c r="A99" s="1" t="s">
        <v>19</v>
      </c>
      <c r="B99" s="2" t="s">
        <v>56</v>
      </c>
      <c r="C99" s="1" t="s">
        <v>15</v>
      </c>
      <c r="D99" s="1" t="str">
        <f t="shared" si="1"/>
        <v>CP_11_23_SIA</v>
      </c>
      <c r="E99" s="10">
        <v>45259</v>
      </c>
      <c r="F99" s="1"/>
      <c r="G99" s="10" t="s">
        <v>16</v>
      </c>
    </row>
    <row r="100" spans="1:7" ht="14.5" x14ac:dyDescent="0.35">
      <c r="A100" s="1" t="s">
        <v>19</v>
      </c>
      <c r="B100" s="2" t="s">
        <v>58</v>
      </c>
      <c r="C100" s="1" t="s">
        <v>15</v>
      </c>
      <c r="D100" s="1" t="str">
        <f t="shared" si="1"/>
        <v>CP_7-24_SIA</v>
      </c>
      <c r="E100" s="10">
        <v>45476</v>
      </c>
      <c r="F100" s="1"/>
      <c r="G100" s="10" t="s">
        <v>16</v>
      </c>
    </row>
    <row r="101" spans="1:7" ht="14.5" x14ac:dyDescent="0.35">
      <c r="A101" s="1" t="s">
        <v>29</v>
      </c>
      <c r="B101" s="2" t="s">
        <v>60</v>
      </c>
      <c r="C101" s="1" t="s">
        <v>15</v>
      </c>
      <c r="D101" s="1" t="str">
        <f t="shared" si="1"/>
        <v>DC1_1-24_SIA</v>
      </c>
      <c r="E101" s="10">
        <v>45302</v>
      </c>
      <c r="F101" s="1"/>
      <c r="G101" s="10" t="s">
        <v>16</v>
      </c>
    </row>
    <row r="102" spans="1:7" ht="14.5" x14ac:dyDescent="0.35">
      <c r="A102" s="1" t="s">
        <v>29</v>
      </c>
      <c r="B102" s="2" t="s">
        <v>63</v>
      </c>
      <c r="C102" s="1" t="s">
        <v>15</v>
      </c>
      <c r="D102" s="1" t="str">
        <f t="shared" si="1"/>
        <v>DC1_8-24_SIA</v>
      </c>
      <c r="E102" s="10">
        <v>45524</v>
      </c>
      <c r="G102" s="1" t="s">
        <v>16</v>
      </c>
    </row>
    <row r="103" spans="1:7" ht="14.5" x14ac:dyDescent="0.35">
      <c r="A103" s="1" t="s">
        <v>44</v>
      </c>
      <c r="B103" s="2" t="s">
        <v>14</v>
      </c>
      <c r="C103" s="1" t="s">
        <v>49</v>
      </c>
      <c r="D103" s="1" t="str">
        <f t="shared" si="1"/>
        <v>TSM1_9-23_D</v>
      </c>
      <c r="E103" s="10">
        <v>45199</v>
      </c>
      <c r="F103" s="1"/>
    </row>
    <row r="104" spans="1:7" ht="14.5" x14ac:dyDescent="0.35">
      <c r="A104" s="1" t="s">
        <v>45</v>
      </c>
      <c r="B104" s="2" t="s">
        <v>14</v>
      </c>
      <c r="C104" s="1" t="s">
        <v>49</v>
      </c>
      <c r="D104" s="1" t="str">
        <f t="shared" si="1"/>
        <v>TSM3_9-23_D</v>
      </c>
      <c r="E104" s="10">
        <v>45199</v>
      </c>
      <c r="F104" s="1"/>
    </row>
    <row r="105" spans="1:7" ht="14.5" x14ac:dyDescent="0.35">
      <c r="A105" s="1" t="s">
        <v>46</v>
      </c>
      <c r="B105" s="2" t="s">
        <v>14</v>
      </c>
      <c r="C105" s="1" t="s">
        <v>49</v>
      </c>
      <c r="D105" s="1" t="str">
        <f t="shared" si="1"/>
        <v>TSM4_9-23_D</v>
      </c>
      <c r="E105" s="10">
        <v>45199</v>
      </c>
      <c r="F105" s="1"/>
    </row>
    <row r="106" spans="1:7" ht="14.5" x14ac:dyDescent="0.35">
      <c r="A106" s="1" t="s">
        <v>47</v>
      </c>
      <c r="B106" s="2" t="s">
        <v>14</v>
      </c>
      <c r="C106" s="1" t="s">
        <v>49</v>
      </c>
      <c r="D106" s="1" t="str">
        <f t="shared" si="1"/>
        <v>SBT1_9-23_D</v>
      </c>
      <c r="E106" s="10">
        <v>45199</v>
      </c>
      <c r="F106" s="1"/>
    </row>
    <row r="107" spans="1:7" ht="14.5" x14ac:dyDescent="0.35">
      <c r="A107" s="1" t="s">
        <v>48</v>
      </c>
      <c r="B107" s="2" t="s">
        <v>14</v>
      </c>
      <c r="C107" s="1" t="s">
        <v>49</v>
      </c>
      <c r="D107" s="1" t="str">
        <f t="shared" si="1"/>
        <v>SBT2_9-23_D</v>
      </c>
      <c r="E107" s="10">
        <v>45204</v>
      </c>
      <c r="F107" s="1"/>
    </row>
    <row r="108" spans="1:7" ht="14.5" x14ac:dyDescent="0.35">
      <c r="A108" s="1" t="s">
        <v>23</v>
      </c>
      <c r="B108" s="2" t="s">
        <v>14</v>
      </c>
      <c r="C108" s="1" t="s">
        <v>49</v>
      </c>
      <c r="D108" s="1" t="str">
        <f t="shared" si="1"/>
        <v>ACS1_9-23_D</v>
      </c>
      <c r="E108" s="10">
        <v>45195</v>
      </c>
      <c r="F108" s="1"/>
    </row>
    <row r="109" spans="1:7" ht="14.5" x14ac:dyDescent="0.35">
      <c r="A109" s="1" t="s">
        <v>24</v>
      </c>
      <c r="B109" s="2" t="s">
        <v>14</v>
      </c>
      <c r="C109" s="1" t="s">
        <v>49</v>
      </c>
      <c r="D109" s="1" t="str">
        <f t="shared" si="1"/>
        <v>ACS2_9-23_D</v>
      </c>
      <c r="E109" s="10">
        <v>45195</v>
      </c>
      <c r="F109" s="1"/>
    </row>
    <row r="110" spans="1:7" ht="14.5" x14ac:dyDescent="0.35">
      <c r="A110" s="1" t="s">
        <v>25</v>
      </c>
      <c r="B110" s="2" t="s">
        <v>14</v>
      </c>
      <c r="C110" s="1" t="s">
        <v>49</v>
      </c>
      <c r="D110" s="1" t="str">
        <f t="shared" si="1"/>
        <v>ACS3_9-23_D</v>
      </c>
      <c r="E110" s="10">
        <v>45195</v>
      </c>
      <c r="F110" s="1"/>
    </row>
    <row r="111" spans="1:7" ht="14.5" x14ac:dyDescent="0.35">
      <c r="A111" s="1" t="s">
        <v>26</v>
      </c>
      <c r="B111" s="2" t="s">
        <v>14</v>
      </c>
      <c r="C111" s="1" t="s">
        <v>49</v>
      </c>
      <c r="D111" s="1" t="str">
        <f t="shared" si="1"/>
        <v>ACS4_9-23_D</v>
      </c>
      <c r="E111" s="10">
        <v>45195</v>
      </c>
      <c r="F111" s="1"/>
    </row>
    <row r="112" spans="1:7" ht="14.5" x14ac:dyDescent="0.35">
      <c r="A112" s="1" t="s">
        <v>27</v>
      </c>
      <c r="B112" s="2" t="s">
        <v>14</v>
      </c>
      <c r="C112" s="1" t="s">
        <v>49</v>
      </c>
      <c r="D112" s="1" t="str">
        <f t="shared" si="1"/>
        <v>ACS5_9-23_D</v>
      </c>
      <c r="E112" s="10">
        <v>45195</v>
      </c>
      <c r="F112" s="1"/>
    </row>
    <row r="113" spans="1:7" ht="14.5" x14ac:dyDescent="0.35">
      <c r="A113" s="1" t="s">
        <v>28</v>
      </c>
      <c r="B113" s="2" t="s">
        <v>14</v>
      </c>
      <c r="C113" s="1" t="s">
        <v>49</v>
      </c>
      <c r="D113" s="1" t="str">
        <f t="shared" si="1"/>
        <v>GBHM_9-23_D</v>
      </c>
      <c r="E113" s="10">
        <v>45195</v>
      </c>
      <c r="F113" s="1"/>
    </row>
    <row r="114" spans="1:7" ht="14.5" x14ac:dyDescent="0.35">
      <c r="A114" s="1" t="s">
        <v>29</v>
      </c>
      <c r="B114" s="2" t="s">
        <v>14</v>
      </c>
      <c r="C114" s="1" t="s">
        <v>49</v>
      </c>
      <c r="D114" s="1" t="str">
        <f t="shared" si="1"/>
        <v>DC1_9-23_D</v>
      </c>
      <c r="E114" s="10">
        <v>45195</v>
      </c>
      <c r="F114" s="1"/>
    </row>
    <row r="115" spans="1:7" ht="14.5" x14ac:dyDescent="0.35">
      <c r="A115" s="1" t="s">
        <v>30</v>
      </c>
      <c r="B115" s="2" t="s">
        <v>14</v>
      </c>
      <c r="C115" s="1" t="s">
        <v>49</v>
      </c>
      <c r="D115" s="1" t="str">
        <f t="shared" si="1"/>
        <v>DCM1_9-23_D</v>
      </c>
      <c r="E115" s="10">
        <v>45195</v>
      </c>
      <c r="F115" s="1"/>
    </row>
    <row r="116" spans="1:7" ht="14.5" x14ac:dyDescent="0.35">
      <c r="A116" s="1" t="s">
        <v>31</v>
      </c>
      <c r="B116" s="2" t="s">
        <v>14</v>
      </c>
      <c r="C116" s="1" t="s">
        <v>49</v>
      </c>
      <c r="D116" s="1" t="str">
        <f t="shared" si="1"/>
        <v>DC2_9-23_D</v>
      </c>
      <c r="E116" s="10">
        <v>45195</v>
      </c>
      <c r="F116" s="1"/>
    </row>
    <row r="117" spans="1:7" ht="14.5" x14ac:dyDescent="0.35">
      <c r="A117" s="1" t="s">
        <v>32</v>
      </c>
      <c r="B117" s="2" t="s">
        <v>14</v>
      </c>
      <c r="C117" s="1" t="s">
        <v>49</v>
      </c>
      <c r="D117" s="1" t="str">
        <f t="shared" si="1"/>
        <v>DCM2_9-23_D</v>
      </c>
      <c r="E117" s="10">
        <v>45195</v>
      </c>
      <c r="F117" s="1"/>
    </row>
    <row r="118" spans="1:7" ht="14.5" x14ac:dyDescent="0.35">
      <c r="A118" s="1" t="s">
        <v>34</v>
      </c>
      <c r="B118" s="2" t="s">
        <v>14</v>
      </c>
      <c r="C118" s="1" t="s">
        <v>49</v>
      </c>
      <c r="D118" s="1" t="str">
        <f t="shared" si="1"/>
        <v>MCS1_9-23_D</v>
      </c>
      <c r="E118" s="10">
        <v>45196</v>
      </c>
      <c r="F118" s="10"/>
      <c r="G118" s="10"/>
    </row>
    <row r="119" spans="1:7" ht="14.5" x14ac:dyDescent="0.35">
      <c r="A119" s="1" t="s">
        <v>35</v>
      </c>
      <c r="B119" s="2" t="s">
        <v>14</v>
      </c>
      <c r="C119" s="1" t="s">
        <v>49</v>
      </c>
      <c r="D119" s="1" t="str">
        <f t="shared" si="1"/>
        <v>MCS2_9-23_D</v>
      </c>
      <c r="E119" s="10">
        <v>45196</v>
      </c>
      <c r="F119" s="10"/>
      <c r="G119" s="10"/>
    </row>
    <row r="120" spans="1:7" ht="14.5" x14ac:dyDescent="0.35">
      <c r="A120" s="1" t="s">
        <v>36</v>
      </c>
      <c r="B120" s="2" t="s">
        <v>14</v>
      </c>
      <c r="C120" s="1" t="s">
        <v>49</v>
      </c>
      <c r="D120" s="1" t="str">
        <f t="shared" si="1"/>
        <v>MCS3_9-23_D</v>
      </c>
      <c r="E120" s="10">
        <v>45196</v>
      </c>
      <c r="F120" s="10"/>
      <c r="G120" s="10"/>
    </row>
    <row r="121" spans="1:7" ht="14.5" x14ac:dyDescent="0.35">
      <c r="A121" s="1" t="s">
        <v>37</v>
      </c>
      <c r="B121" s="2" t="s">
        <v>14</v>
      </c>
      <c r="C121" s="1" t="s">
        <v>49</v>
      </c>
      <c r="D121" s="1" t="str">
        <f t="shared" si="1"/>
        <v>MCS4_9-23_D</v>
      </c>
      <c r="E121" s="10">
        <v>45196</v>
      </c>
      <c r="F121" s="10"/>
      <c r="G121" s="10"/>
    </row>
    <row r="122" spans="1:7" ht="14.5" x14ac:dyDescent="0.35">
      <c r="A122" s="1" t="s">
        <v>38</v>
      </c>
      <c r="B122" s="2" t="s">
        <v>14</v>
      </c>
      <c r="C122" s="1" t="s">
        <v>49</v>
      </c>
      <c r="D122" s="1" t="str">
        <f t="shared" si="1"/>
        <v>TBHM_9-23_D</v>
      </c>
      <c r="E122" s="10">
        <v>45196</v>
      </c>
      <c r="F122" s="10"/>
      <c r="G122" s="10"/>
    </row>
    <row r="123" spans="1:7" ht="14.5" x14ac:dyDescent="0.35">
      <c r="A123" s="1" t="s">
        <v>50</v>
      </c>
      <c r="B123" s="2" t="s">
        <v>14</v>
      </c>
      <c r="C123" s="1" t="s">
        <v>49</v>
      </c>
      <c r="D123" s="1" t="str">
        <f t="shared" si="1"/>
        <v>TBC_9-23_D</v>
      </c>
      <c r="E123" s="10">
        <v>45196</v>
      </c>
      <c r="F123" s="1"/>
    </row>
    <row r="124" spans="1:7" ht="14.5" x14ac:dyDescent="0.35">
      <c r="A124" s="1" t="s">
        <v>39</v>
      </c>
      <c r="B124" s="2" t="s">
        <v>14</v>
      </c>
      <c r="C124" s="1" t="s">
        <v>49</v>
      </c>
      <c r="D124" s="1" t="str">
        <f t="shared" si="1"/>
        <v>TBCM_9-23_D</v>
      </c>
      <c r="E124" s="10">
        <v>45196</v>
      </c>
      <c r="F124" s="10"/>
      <c r="G124" s="10"/>
    </row>
    <row r="125" spans="1:7" ht="14.5" x14ac:dyDescent="0.35">
      <c r="A125" s="1" t="s">
        <v>40</v>
      </c>
      <c r="B125" s="2" t="s">
        <v>14</v>
      </c>
      <c r="C125" s="1" t="s">
        <v>49</v>
      </c>
      <c r="D125" s="1" t="str">
        <f t="shared" si="1"/>
        <v>TB1_9-23_D</v>
      </c>
      <c r="E125" s="10">
        <v>45196</v>
      </c>
      <c r="F125" s="1"/>
    </row>
    <row r="126" spans="1:7" ht="14.5" x14ac:dyDescent="0.35">
      <c r="A126" s="1" t="s">
        <v>41</v>
      </c>
      <c r="B126" s="2" t="s">
        <v>14</v>
      </c>
      <c r="C126" s="1" t="s">
        <v>49</v>
      </c>
      <c r="D126" s="1" t="str">
        <f t="shared" si="1"/>
        <v>TB2_9-23_D</v>
      </c>
      <c r="E126" s="10">
        <v>45196</v>
      </c>
      <c r="F126" s="1"/>
    </row>
    <row r="127" spans="1:7" ht="14.5" x14ac:dyDescent="0.35">
      <c r="A127" s="1" t="s">
        <v>33</v>
      </c>
      <c r="B127" s="2" t="s">
        <v>14</v>
      </c>
      <c r="C127" s="1" t="s">
        <v>49</v>
      </c>
      <c r="D127" s="1" t="str">
        <f t="shared" si="1"/>
        <v>GB1_9-23_D</v>
      </c>
      <c r="E127" s="10">
        <v>45195</v>
      </c>
      <c r="F127" s="1"/>
    </row>
    <row r="128" spans="1:7" ht="14.5" x14ac:dyDescent="0.35">
      <c r="A128" s="1" t="s">
        <v>42</v>
      </c>
      <c r="B128" s="2" t="s">
        <v>14</v>
      </c>
      <c r="C128" s="1" t="s">
        <v>49</v>
      </c>
      <c r="D128" s="1" t="str">
        <f t="shared" si="1"/>
        <v>GB2_9-23_D</v>
      </c>
      <c r="E128" s="10">
        <v>45196</v>
      </c>
      <c r="F128" s="1"/>
    </row>
    <row r="129" spans="1:7" ht="14.5" x14ac:dyDescent="0.35">
      <c r="A129" s="1" t="s">
        <v>43</v>
      </c>
      <c r="B129" s="2" t="s">
        <v>14</v>
      </c>
      <c r="C129" s="1" t="s">
        <v>49</v>
      </c>
      <c r="D129" s="1" t="str">
        <f t="shared" si="1"/>
        <v>RB_9-23_D</v>
      </c>
      <c r="E129" s="10">
        <v>45196</v>
      </c>
      <c r="F129" s="1"/>
    </row>
    <row r="130" spans="1:7" ht="14.5" x14ac:dyDescent="0.35">
      <c r="A130" s="1" t="s">
        <v>51</v>
      </c>
      <c r="B130" s="2" t="s">
        <v>14</v>
      </c>
      <c r="C130" s="1" t="s">
        <v>49</v>
      </c>
      <c r="D130" s="1" t="str">
        <f t="shared" ref="D130:D193" si="2">A130&amp;"_"&amp;B130&amp;"_"&amp;C130</f>
        <v>WB1_9-23_D</v>
      </c>
      <c r="E130" s="10">
        <v>45204</v>
      </c>
      <c r="F130" s="1"/>
    </row>
    <row r="131" spans="1:7" ht="14.5" x14ac:dyDescent="0.35">
      <c r="A131" s="1" t="s">
        <v>52</v>
      </c>
      <c r="B131" s="2" t="s">
        <v>14</v>
      </c>
      <c r="C131" s="1" t="s">
        <v>49</v>
      </c>
      <c r="D131" s="1" t="str">
        <f t="shared" si="2"/>
        <v>WB2_9-23_D</v>
      </c>
      <c r="E131" s="10">
        <v>45204</v>
      </c>
      <c r="F131" s="1"/>
    </row>
    <row r="132" spans="1:7" ht="14.5" x14ac:dyDescent="0.35">
      <c r="A132" s="1" t="s">
        <v>53</v>
      </c>
      <c r="B132" s="2" t="s">
        <v>14</v>
      </c>
      <c r="C132" s="1" t="s">
        <v>49</v>
      </c>
      <c r="D132" s="1" t="str">
        <f t="shared" si="2"/>
        <v>TKB_9-23_D</v>
      </c>
      <c r="E132" s="10">
        <v>45204</v>
      </c>
      <c r="F132" s="1"/>
    </row>
    <row r="133" spans="1:7" ht="14.5" x14ac:dyDescent="0.35">
      <c r="A133" s="1" t="s">
        <v>54</v>
      </c>
      <c r="B133" s="2" t="s">
        <v>14</v>
      </c>
      <c r="C133" s="1" t="s">
        <v>49</v>
      </c>
      <c r="D133" s="1" t="str">
        <f t="shared" si="2"/>
        <v>JB_9-23_D</v>
      </c>
      <c r="E133" s="10">
        <v>45204</v>
      </c>
      <c r="F133" s="1"/>
    </row>
    <row r="134" spans="1:7" ht="14.5" x14ac:dyDescent="0.35">
      <c r="A134" s="1" t="s">
        <v>55</v>
      </c>
      <c r="B134" s="2" t="s">
        <v>14</v>
      </c>
      <c r="C134" s="1" t="s">
        <v>49</v>
      </c>
      <c r="D134" s="1" t="str">
        <f t="shared" si="2"/>
        <v>CC_9-23_D</v>
      </c>
      <c r="E134" s="10">
        <v>45204</v>
      </c>
      <c r="F134" s="1"/>
    </row>
    <row r="135" spans="1:7" ht="14.5" x14ac:dyDescent="0.35">
      <c r="A135" s="1" t="s">
        <v>31</v>
      </c>
      <c r="B135" s="2" t="s">
        <v>60</v>
      </c>
      <c r="C135" s="1" t="s">
        <v>15</v>
      </c>
      <c r="D135" s="1" t="str">
        <f t="shared" si="2"/>
        <v>DC2_1-24_SIA</v>
      </c>
      <c r="E135" s="10">
        <v>45302</v>
      </c>
      <c r="F135" s="1"/>
      <c r="G135" s="10" t="s">
        <v>16</v>
      </c>
    </row>
    <row r="136" spans="1:7" ht="14.5" x14ac:dyDescent="0.35">
      <c r="A136" s="1" t="s">
        <v>13</v>
      </c>
      <c r="B136" s="2" t="s">
        <v>14</v>
      </c>
      <c r="C136" s="1" t="s">
        <v>49</v>
      </c>
      <c r="D136" s="1" t="str">
        <f t="shared" si="2"/>
        <v>P37_9-23_D</v>
      </c>
      <c r="E136" s="10">
        <v>45184</v>
      </c>
      <c r="F136" s="1"/>
    </row>
    <row r="137" spans="1:7" ht="14.5" x14ac:dyDescent="0.35">
      <c r="A137" s="1" t="s">
        <v>18</v>
      </c>
      <c r="B137" s="2" t="s">
        <v>14</v>
      </c>
      <c r="C137" s="1" t="s">
        <v>49</v>
      </c>
      <c r="D137" s="1" t="str">
        <f t="shared" si="2"/>
        <v>NCL_9-23_D</v>
      </c>
      <c r="E137" s="10">
        <v>45184</v>
      </c>
      <c r="F137" s="1"/>
    </row>
    <row r="138" spans="1:7" ht="14.5" x14ac:dyDescent="0.35">
      <c r="A138" s="1" t="s">
        <v>31</v>
      </c>
      <c r="B138" s="2" t="s">
        <v>63</v>
      </c>
      <c r="C138" s="1" t="s">
        <v>15</v>
      </c>
      <c r="D138" s="1" t="str">
        <f t="shared" si="2"/>
        <v>DC2_8-24_SIA</v>
      </c>
      <c r="E138" s="10">
        <v>45524</v>
      </c>
      <c r="G138" s="1" t="s">
        <v>16</v>
      </c>
    </row>
    <row r="139" spans="1:7" ht="14.5" x14ac:dyDescent="0.35">
      <c r="A139" s="1" t="s">
        <v>19</v>
      </c>
      <c r="B139" s="2" t="s">
        <v>14</v>
      </c>
      <c r="C139" s="1" t="s">
        <v>49</v>
      </c>
      <c r="D139" s="1" t="str">
        <f t="shared" si="2"/>
        <v>CP_9-23_D</v>
      </c>
      <c r="E139" s="10">
        <v>45184</v>
      </c>
      <c r="F139" s="1"/>
    </row>
    <row r="140" spans="1:7" ht="14.5" x14ac:dyDescent="0.35">
      <c r="A140" s="1" t="s">
        <v>20</v>
      </c>
      <c r="B140" s="2" t="s">
        <v>14</v>
      </c>
      <c r="C140" s="1" t="s">
        <v>49</v>
      </c>
      <c r="D140" s="1" t="str">
        <f t="shared" si="2"/>
        <v>EP146_9-23_D</v>
      </c>
      <c r="E140" s="10">
        <v>45184</v>
      </c>
      <c r="F140" s="1"/>
    </row>
    <row r="141" spans="1:7" ht="15" customHeight="1" x14ac:dyDescent="0.35">
      <c r="A141" s="1" t="s">
        <v>30</v>
      </c>
      <c r="B141" s="2" t="s">
        <v>60</v>
      </c>
      <c r="C141" s="1" t="s">
        <v>15</v>
      </c>
      <c r="D141" s="1" t="str">
        <f t="shared" si="2"/>
        <v>DCM1_1-24_SIA</v>
      </c>
      <c r="E141" s="10">
        <v>45302</v>
      </c>
      <c r="F141" s="1"/>
      <c r="G141" s="10" t="s">
        <v>16</v>
      </c>
    </row>
    <row r="142" spans="1:7" ht="15" customHeight="1" x14ac:dyDescent="0.35">
      <c r="A142" s="1" t="s">
        <v>21</v>
      </c>
      <c r="B142" s="2" t="s">
        <v>14</v>
      </c>
      <c r="C142" s="1" t="s">
        <v>49</v>
      </c>
      <c r="D142" s="1" t="str">
        <f t="shared" si="2"/>
        <v>OL_9-23_D</v>
      </c>
      <c r="E142" s="10">
        <v>45184</v>
      </c>
      <c r="F142" s="1"/>
    </row>
    <row r="143" spans="1:7" ht="15" customHeight="1" x14ac:dyDescent="0.35">
      <c r="A143" s="1" t="s">
        <v>57</v>
      </c>
      <c r="B143" s="2" t="s">
        <v>14</v>
      </c>
      <c r="C143" s="1" t="s">
        <v>49</v>
      </c>
      <c r="D143" s="1" t="str">
        <f t="shared" si="2"/>
        <v>TSH_9-23_D</v>
      </c>
      <c r="E143" s="10">
        <v>45184</v>
      </c>
      <c r="F143" s="1"/>
    </row>
    <row r="144" spans="1:7" ht="15" customHeight="1" x14ac:dyDescent="0.35">
      <c r="A144" s="1" t="s">
        <v>30</v>
      </c>
      <c r="B144" s="2" t="s">
        <v>63</v>
      </c>
      <c r="C144" s="1" t="s">
        <v>15</v>
      </c>
      <c r="D144" s="1" t="str">
        <f t="shared" si="2"/>
        <v>DCM1_8-24_SIA</v>
      </c>
      <c r="E144" s="10">
        <v>45524</v>
      </c>
      <c r="G144" s="1" t="s">
        <v>16</v>
      </c>
    </row>
    <row r="145" spans="1:17" ht="15" customHeight="1" x14ac:dyDescent="0.35">
      <c r="A145" s="1" t="s">
        <v>22</v>
      </c>
      <c r="B145" s="2" t="s">
        <v>14</v>
      </c>
      <c r="C145" s="1" t="s">
        <v>49</v>
      </c>
      <c r="D145" s="1" t="str">
        <f t="shared" si="2"/>
        <v>R127_9-23_D</v>
      </c>
      <c r="E145" s="10">
        <v>45184</v>
      </c>
      <c r="F145" s="1"/>
    </row>
    <row r="146" spans="1:17" ht="15" customHeight="1" x14ac:dyDescent="0.35">
      <c r="A146" s="1" t="s">
        <v>32</v>
      </c>
      <c r="B146" s="2" t="s">
        <v>60</v>
      </c>
      <c r="C146" s="1" t="s">
        <v>15</v>
      </c>
      <c r="D146" s="1" t="str">
        <f t="shared" si="2"/>
        <v>DCM2_1-24_SIA</v>
      </c>
      <c r="E146" s="10">
        <v>45302</v>
      </c>
      <c r="F146" s="1"/>
      <c r="G146" s="10" t="s">
        <v>16</v>
      </c>
    </row>
    <row r="147" spans="1:17" ht="15" customHeight="1" x14ac:dyDescent="0.35">
      <c r="A147" s="1" t="s">
        <v>13</v>
      </c>
      <c r="B147" s="2" t="s">
        <v>58</v>
      </c>
      <c r="C147" s="1" t="s">
        <v>49</v>
      </c>
      <c r="D147" s="1" t="str">
        <f t="shared" si="2"/>
        <v>P37_7-24_D</v>
      </c>
      <c r="E147" s="10">
        <v>45476</v>
      </c>
      <c r="F147" s="1"/>
    </row>
    <row r="148" spans="1:17" ht="15" customHeight="1" x14ac:dyDescent="0.35">
      <c r="A148" s="1" t="s">
        <v>32</v>
      </c>
      <c r="B148" s="2" t="s">
        <v>63</v>
      </c>
      <c r="C148" s="1" t="s">
        <v>15</v>
      </c>
      <c r="D148" s="1" t="str">
        <f t="shared" si="2"/>
        <v>DCM2_8-24_SIA</v>
      </c>
      <c r="E148" s="10">
        <v>45524</v>
      </c>
      <c r="G148" s="1" t="s">
        <v>16</v>
      </c>
    </row>
    <row r="149" spans="1:17" ht="15" customHeight="1" x14ac:dyDescent="0.35">
      <c r="A149" s="1" t="s">
        <v>18</v>
      </c>
      <c r="B149" s="2" t="s">
        <v>58</v>
      </c>
      <c r="C149" s="1" t="s">
        <v>49</v>
      </c>
      <c r="D149" s="1" t="str">
        <f t="shared" si="2"/>
        <v>NCL_7-24_D</v>
      </c>
      <c r="E149" s="10">
        <v>45476</v>
      </c>
      <c r="F149" s="1"/>
    </row>
    <row r="150" spans="1:17" ht="15" customHeight="1" x14ac:dyDescent="0.35">
      <c r="A150" s="1" t="s">
        <v>19</v>
      </c>
      <c r="B150" s="2" t="s">
        <v>58</v>
      </c>
      <c r="C150" s="1" t="s">
        <v>49</v>
      </c>
      <c r="D150" s="1" t="str">
        <f t="shared" si="2"/>
        <v>CP_7-24_D</v>
      </c>
      <c r="E150" s="10">
        <v>45476</v>
      </c>
      <c r="F150" s="1"/>
    </row>
    <row r="151" spans="1:17" s="30" customFormat="1" ht="15" customHeight="1" x14ac:dyDescent="0.35">
      <c r="A151" s="1" t="s">
        <v>20</v>
      </c>
      <c r="B151" s="2" t="s">
        <v>56</v>
      </c>
      <c r="C151" s="1" t="s">
        <v>15</v>
      </c>
      <c r="D151" s="1" t="str">
        <f t="shared" si="2"/>
        <v>EP146_11_23_SIA</v>
      </c>
      <c r="E151" s="10">
        <v>45259</v>
      </c>
      <c r="F151" s="1"/>
      <c r="G151" s="10" t="s">
        <v>16</v>
      </c>
      <c r="H151" s="1"/>
      <c r="I151" s="1"/>
      <c r="J151" s="1"/>
      <c r="K151" s="1"/>
      <c r="L151" s="1"/>
      <c r="M151" s="1"/>
      <c r="N151"/>
      <c r="O151"/>
      <c r="P151"/>
      <c r="Q151"/>
    </row>
    <row r="152" spans="1:17" ht="15" customHeight="1" x14ac:dyDescent="0.35">
      <c r="A152" s="1" t="s">
        <v>20</v>
      </c>
      <c r="B152" s="2" t="s">
        <v>58</v>
      </c>
      <c r="C152" s="1" t="s">
        <v>49</v>
      </c>
      <c r="D152" s="1" t="str">
        <f t="shared" si="2"/>
        <v>EP146_7-24_D</v>
      </c>
      <c r="E152" s="10">
        <v>45476</v>
      </c>
      <c r="F152" s="1"/>
    </row>
    <row r="153" spans="1:17" s="40" customFormat="1" ht="15" customHeight="1" thickBot="1" x14ac:dyDescent="0.4">
      <c r="A153" s="37" t="s">
        <v>21</v>
      </c>
      <c r="B153" s="38" t="s">
        <v>58</v>
      </c>
      <c r="C153" s="37" t="s">
        <v>49</v>
      </c>
      <c r="D153" s="37" t="str">
        <f t="shared" si="2"/>
        <v>OL_7-24_D</v>
      </c>
      <c r="E153" s="39">
        <v>45476</v>
      </c>
      <c r="F153" s="37"/>
      <c r="G153" s="37"/>
      <c r="H153" s="37"/>
      <c r="I153" s="37"/>
      <c r="J153" s="37"/>
      <c r="K153" s="1"/>
      <c r="L153" s="37"/>
      <c r="M153" s="37"/>
    </row>
    <row r="154" spans="1:17" ht="15" customHeight="1" x14ac:dyDescent="0.35">
      <c r="A154" s="1" t="s">
        <v>20</v>
      </c>
      <c r="B154" s="2" t="s">
        <v>58</v>
      </c>
      <c r="C154" s="1" t="s">
        <v>15</v>
      </c>
      <c r="D154" s="1" t="str">
        <f t="shared" si="2"/>
        <v>EP146_7-24_SIA</v>
      </c>
      <c r="E154" s="10">
        <v>45476</v>
      </c>
      <c r="F154" s="1"/>
      <c r="G154" s="10" t="s">
        <v>16</v>
      </c>
    </row>
    <row r="155" spans="1:17" ht="15" customHeight="1" x14ac:dyDescent="0.35">
      <c r="A155" s="1" t="s">
        <v>57</v>
      </c>
      <c r="B155" s="2" t="s">
        <v>58</v>
      </c>
      <c r="C155" s="1" t="s">
        <v>49</v>
      </c>
      <c r="D155" s="1" t="str">
        <f t="shared" si="2"/>
        <v>TSH_7-24_D</v>
      </c>
      <c r="E155" s="10">
        <v>45476</v>
      </c>
      <c r="F155" s="1"/>
    </row>
    <row r="156" spans="1:17" ht="15" customHeight="1" x14ac:dyDescent="0.35">
      <c r="A156" s="1" t="s">
        <v>22</v>
      </c>
      <c r="B156" s="2" t="s">
        <v>58</v>
      </c>
      <c r="C156" s="1" t="s">
        <v>49</v>
      </c>
      <c r="D156" s="1" t="str">
        <f t="shared" si="2"/>
        <v>R127_7-24_D</v>
      </c>
      <c r="E156" s="10">
        <v>45476</v>
      </c>
      <c r="F156" s="1"/>
    </row>
    <row r="157" spans="1:17" ht="15" customHeight="1" x14ac:dyDescent="0.35">
      <c r="A157" s="1" t="s">
        <v>33</v>
      </c>
      <c r="B157" s="2" t="s">
        <v>60</v>
      </c>
      <c r="C157" s="1" t="s">
        <v>15</v>
      </c>
      <c r="D157" s="1" t="str">
        <f t="shared" si="2"/>
        <v>GB1_1-24_SIA</v>
      </c>
      <c r="E157" s="10">
        <v>45302</v>
      </c>
      <c r="F157" s="1"/>
      <c r="G157" s="10" t="s">
        <v>16</v>
      </c>
    </row>
    <row r="158" spans="1:17" ht="15" customHeight="1" x14ac:dyDescent="0.35">
      <c r="A158" s="1" t="s">
        <v>33</v>
      </c>
      <c r="B158" s="2" t="s">
        <v>63</v>
      </c>
      <c r="C158" s="1" t="s">
        <v>15</v>
      </c>
      <c r="D158" s="1" t="str">
        <f t="shared" si="2"/>
        <v>GB1_8-24_SIA</v>
      </c>
      <c r="E158" s="10">
        <v>45524</v>
      </c>
      <c r="G158" s="1" t="s">
        <v>16</v>
      </c>
    </row>
    <row r="159" spans="1:17" ht="15" customHeight="1" x14ac:dyDescent="0.35">
      <c r="A159" s="1" t="s">
        <v>42</v>
      </c>
      <c r="B159" s="2" t="s">
        <v>60</v>
      </c>
      <c r="C159" s="1" t="s">
        <v>15</v>
      </c>
      <c r="D159" s="1" t="str">
        <f t="shared" si="2"/>
        <v>GB2_1-24_SIA</v>
      </c>
      <c r="E159" s="10">
        <v>45297</v>
      </c>
      <c r="F159" s="1"/>
      <c r="G159" s="10" t="s">
        <v>16</v>
      </c>
    </row>
    <row r="160" spans="1:17" ht="15" customHeight="1" x14ac:dyDescent="0.35">
      <c r="A160" s="1" t="s">
        <v>42</v>
      </c>
      <c r="B160" s="2" t="s">
        <v>63</v>
      </c>
      <c r="C160" s="1" t="s">
        <v>15</v>
      </c>
      <c r="D160" s="1" t="str">
        <f t="shared" si="2"/>
        <v>GB2_8-24_SIA</v>
      </c>
      <c r="E160" s="10">
        <v>45524</v>
      </c>
    </row>
    <row r="161" spans="1:7" ht="15" customHeight="1" x14ac:dyDescent="0.35">
      <c r="A161" s="1" t="s">
        <v>28</v>
      </c>
      <c r="B161" s="2" t="s">
        <v>60</v>
      </c>
      <c r="C161" s="1" t="s">
        <v>15</v>
      </c>
      <c r="D161" s="1" t="str">
        <f t="shared" si="2"/>
        <v>GBHM_1-24_SIA</v>
      </c>
      <c r="E161" s="10">
        <v>45302</v>
      </c>
      <c r="F161" s="1"/>
      <c r="G161" s="10" t="s">
        <v>16</v>
      </c>
    </row>
    <row r="162" spans="1:7" ht="15" customHeight="1" x14ac:dyDescent="0.35">
      <c r="A162" s="1" t="s">
        <v>28</v>
      </c>
      <c r="B162" s="2" t="s">
        <v>63</v>
      </c>
      <c r="C162" s="1" t="s">
        <v>15</v>
      </c>
      <c r="D162" s="1" t="str">
        <f t="shared" si="2"/>
        <v>GBHM_8-24_SIA</v>
      </c>
      <c r="E162" s="10">
        <v>45524</v>
      </c>
      <c r="G162" s="10"/>
    </row>
    <row r="163" spans="1:7" ht="15" customHeight="1" x14ac:dyDescent="0.35">
      <c r="A163" s="1" t="s">
        <v>54</v>
      </c>
      <c r="B163" s="2" t="s">
        <v>60</v>
      </c>
      <c r="C163" s="1" t="s">
        <v>15</v>
      </c>
      <c r="D163" s="1" t="str">
        <f t="shared" si="2"/>
        <v>JB_1-24_SIA</v>
      </c>
      <c r="E163" s="10">
        <v>45297</v>
      </c>
      <c r="F163" s="1"/>
      <c r="G163" s="10" t="s">
        <v>16</v>
      </c>
    </row>
    <row r="164" spans="1:7" ht="15" customHeight="1" x14ac:dyDescent="0.35">
      <c r="A164" s="1" t="s">
        <v>54</v>
      </c>
      <c r="B164" s="2" t="s">
        <v>63</v>
      </c>
      <c r="C164" s="1" t="s">
        <v>15</v>
      </c>
      <c r="D164" s="1" t="str">
        <f t="shared" si="2"/>
        <v>JB_8-24_SIA</v>
      </c>
      <c r="E164" s="10">
        <v>45524</v>
      </c>
      <c r="G164" s="1" t="s">
        <v>59</v>
      </c>
    </row>
    <row r="165" spans="1:7" ht="15" customHeight="1" x14ac:dyDescent="0.35">
      <c r="A165" s="1" t="s">
        <v>34</v>
      </c>
      <c r="B165" s="2" t="s">
        <v>60</v>
      </c>
      <c r="C165" s="1" t="s">
        <v>15</v>
      </c>
      <c r="D165" s="1" t="str">
        <f t="shared" si="2"/>
        <v>MCS1_1-24_SIA</v>
      </c>
      <c r="E165" s="10">
        <v>45298</v>
      </c>
      <c r="F165" s="1"/>
      <c r="G165" s="10" t="s">
        <v>16</v>
      </c>
    </row>
    <row r="166" spans="1:7" ht="15" customHeight="1" x14ac:dyDescent="0.35">
      <c r="A166" s="1" t="s">
        <v>34</v>
      </c>
      <c r="B166" s="2" t="s">
        <v>63</v>
      </c>
      <c r="C166" s="1" t="s">
        <v>15</v>
      </c>
      <c r="D166" s="1" t="str">
        <f t="shared" si="2"/>
        <v>MCS1_8-24_SIA</v>
      </c>
      <c r="E166" s="10">
        <v>45524</v>
      </c>
      <c r="G166" s="1" t="s">
        <v>16</v>
      </c>
    </row>
    <row r="167" spans="1:7" ht="15" customHeight="1" x14ac:dyDescent="0.35">
      <c r="A167" s="1" t="s">
        <v>35</v>
      </c>
      <c r="B167" s="2" t="s">
        <v>60</v>
      </c>
      <c r="C167" s="1" t="s">
        <v>15</v>
      </c>
      <c r="D167" s="1" t="str">
        <f t="shared" si="2"/>
        <v>MCS2_1-24_SIA</v>
      </c>
      <c r="E167" s="10">
        <v>45298</v>
      </c>
      <c r="F167" s="1"/>
      <c r="G167" s="10" t="s">
        <v>16</v>
      </c>
    </row>
    <row r="168" spans="1:7" ht="15" customHeight="1" x14ac:dyDescent="0.35">
      <c r="A168" s="1" t="s">
        <v>35</v>
      </c>
      <c r="B168" s="2" t="s">
        <v>63</v>
      </c>
      <c r="C168" s="1" t="s">
        <v>15</v>
      </c>
      <c r="D168" s="1" t="str">
        <f t="shared" si="2"/>
        <v>MCS2_8-24_SIA</v>
      </c>
      <c r="E168" s="10">
        <v>45524</v>
      </c>
      <c r="G168" s="1" t="s">
        <v>16</v>
      </c>
    </row>
    <row r="169" spans="1:7" ht="15" customHeight="1" x14ac:dyDescent="0.35">
      <c r="A169" s="1" t="s">
        <v>36</v>
      </c>
      <c r="B169" s="2" t="s">
        <v>60</v>
      </c>
      <c r="C169" s="1" t="s">
        <v>15</v>
      </c>
      <c r="D169" s="1" t="str">
        <f t="shared" si="2"/>
        <v>MCS3_1-24_SIA</v>
      </c>
      <c r="E169" s="10">
        <v>45298</v>
      </c>
      <c r="F169" s="1"/>
      <c r="G169" s="10" t="s">
        <v>16</v>
      </c>
    </row>
    <row r="170" spans="1:7" ht="15" customHeight="1" x14ac:dyDescent="0.35">
      <c r="A170" s="1" t="s">
        <v>36</v>
      </c>
      <c r="B170" s="2" t="s">
        <v>63</v>
      </c>
      <c r="C170" s="1" t="s">
        <v>15</v>
      </c>
      <c r="D170" s="1" t="str">
        <f t="shared" si="2"/>
        <v>MCS3_8-24_SIA</v>
      </c>
      <c r="E170" s="10">
        <v>45524</v>
      </c>
      <c r="G170" s="1" t="s">
        <v>16</v>
      </c>
    </row>
    <row r="171" spans="1:7" ht="15" customHeight="1" x14ac:dyDescent="0.35">
      <c r="A171" s="1" t="s">
        <v>37</v>
      </c>
      <c r="B171" s="2" t="s">
        <v>60</v>
      </c>
      <c r="C171" s="1" t="s">
        <v>15</v>
      </c>
      <c r="D171" s="1" t="str">
        <f t="shared" si="2"/>
        <v>MCS4_1-24_SIA</v>
      </c>
      <c r="E171" s="10">
        <v>45298</v>
      </c>
      <c r="F171" s="1"/>
      <c r="G171" s="10" t="s">
        <v>16</v>
      </c>
    </row>
    <row r="172" spans="1:7" ht="15" customHeight="1" x14ac:dyDescent="0.35">
      <c r="A172" s="1" t="s">
        <v>37</v>
      </c>
      <c r="B172" s="2" t="s">
        <v>63</v>
      </c>
      <c r="C172" s="1" t="s">
        <v>15</v>
      </c>
      <c r="D172" s="1" t="str">
        <f t="shared" si="2"/>
        <v>MCS4_8-24_SIA</v>
      </c>
      <c r="E172" s="10">
        <v>45524</v>
      </c>
    </row>
    <row r="173" spans="1:7" ht="15" customHeight="1" x14ac:dyDescent="0.35">
      <c r="A173" s="1" t="s">
        <v>18</v>
      </c>
      <c r="B173" s="2" t="s">
        <v>56</v>
      </c>
      <c r="C173" s="1" t="s">
        <v>15</v>
      </c>
      <c r="D173" s="1" t="str">
        <f t="shared" si="2"/>
        <v>NCL_11_23_SIA</v>
      </c>
      <c r="E173" s="10">
        <v>45259</v>
      </c>
      <c r="F173" s="1"/>
      <c r="G173" s="10" t="s">
        <v>16</v>
      </c>
    </row>
    <row r="174" spans="1:7" ht="15" customHeight="1" x14ac:dyDescent="0.35">
      <c r="A174" s="1" t="s">
        <v>44</v>
      </c>
      <c r="B174" s="2" t="s">
        <v>62</v>
      </c>
      <c r="C174" s="1" t="s">
        <v>49</v>
      </c>
      <c r="D174" s="1" t="str">
        <f t="shared" si="2"/>
        <v>TSM1_4-24_D</v>
      </c>
      <c r="E174" s="10">
        <v>45391</v>
      </c>
      <c r="F174" s="1"/>
    </row>
    <row r="175" spans="1:7" ht="15" customHeight="1" x14ac:dyDescent="0.35">
      <c r="A175" s="1" t="s">
        <v>46</v>
      </c>
      <c r="B175" s="2" t="s">
        <v>62</v>
      </c>
      <c r="C175" s="1" t="s">
        <v>49</v>
      </c>
      <c r="D175" s="1" t="str">
        <f t="shared" si="2"/>
        <v>TSM4_4-24_D</v>
      </c>
      <c r="E175" s="10">
        <v>45391</v>
      </c>
      <c r="F175" s="10"/>
      <c r="G175" s="10"/>
    </row>
    <row r="176" spans="1:7" ht="15" customHeight="1" x14ac:dyDescent="0.35">
      <c r="A176" s="1" t="s">
        <v>47</v>
      </c>
      <c r="B176" s="2" t="s">
        <v>62</v>
      </c>
      <c r="C176" s="1" t="s">
        <v>49</v>
      </c>
      <c r="D176" s="1" t="str">
        <f t="shared" si="2"/>
        <v>SBT1_4-24_D</v>
      </c>
      <c r="E176" s="10">
        <v>45391</v>
      </c>
      <c r="F176" s="1"/>
    </row>
    <row r="177" spans="1:17" ht="15" customHeight="1" x14ac:dyDescent="0.35">
      <c r="A177" s="1" t="s">
        <v>48</v>
      </c>
      <c r="B177" s="2" t="s">
        <v>62</v>
      </c>
      <c r="C177" s="1" t="s">
        <v>49</v>
      </c>
      <c r="D177" s="1" t="str">
        <f t="shared" si="2"/>
        <v>SBT2_4-24_D</v>
      </c>
      <c r="E177" s="10">
        <v>45393</v>
      </c>
      <c r="F177" s="1"/>
    </row>
    <row r="178" spans="1:17" ht="15" customHeight="1" x14ac:dyDescent="0.35">
      <c r="A178" s="1" t="s">
        <v>23</v>
      </c>
      <c r="B178" s="2" t="s">
        <v>62</v>
      </c>
      <c r="C178" s="1" t="s">
        <v>49</v>
      </c>
      <c r="D178" s="1" t="str">
        <f t="shared" si="2"/>
        <v>ACS1_4-24_D</v>
      </c>
      <c r="E178" s="10">
        <v>45392</v>
      </c>
      <c r="F178" s="1"/>
    </row>
    <row r="179" spans="1:17" s="30" customFormat="1" ht="15" customHeight="1" x14ac:dyDescent="0.35">
      <c r="A179" s="1" t="s">
        <v>24</v>
      </c>
      <c r="B179" s="2" t="s">
        <v>62</v>
      </c>
      <c r="C179" s="1" t="s">
        <v>49</v>
      </c>
      <c r="D179" s="1" t="str">
        <f t="shared" si="2"/>
        <v>ACS2_4-24_D</v>
      </c>
      <c r="E179" s="10">
        <v>45392</v>
      </c>
      <c r="F179" s="1"/>
      <c r="G179" s="1"/>
      <c r="H179" s="1"/>
      <c r="I179" s="1"/>
      <c r="J179" s="1"/>
      <c r="K179" s="1"/>
      <c r="L179" s="1"/>
      <c r="M179" s="1"/>
      <c r="N179"/>
      <c r="O179"/>
      <c r="P179"/>
      <c r="Q179"/>
    </row>
    <row r="180" spans="1:17" ht="15" customHeight="1" x14ac:dyDescent="0.35">
      <c r="A180" s="1" t="s">
        <v>25</v>
      </c>
      <c r="B180" s="2" t="s">
        <v>62</v>
      </c>
      <c r="C180" s="1" t="s">
        <v>49</v>
      </c>
      <c r="D180" s="1" t="str">
        <f t="shared" si="2"/>
        <v>ACS3_4-24_D</v>
      </c>
      <c r="E180" s="10">
        <v>45392</v>
      </c>
      <c r="F180" s="1"/>
    </row>
    <row r="181" spans="1:17" ht="15" customHeight="1" x14ac:dyDescent="0.35">
      <c r="A181" s="1" t="s">
        <v>26</v>
      </c>
      <c r="B181" s="2" t="s">
        <v>62</v>
      </c>
      <c r="C181" s="1" t="s">
        <v>49</v>
      </c>
      <c r="D181" s="1" t="str">
        <f t="shared" si="2"/>
        <v>ACS4_4-24_D</v>
      </c>
      <c r="E181" s="10">
        <v>45392</v>
      </c>
      <c r="F181" s="33"/>
      <c r="G181" s="33"/>
    </row>
    <row r="182" spans="1:17" ht="15" customHeight="1" x14ac:dyDescent="0.35">
      <c r="A182" s="1" t="s">
        <v>27</v>
      </c>
      <c r="B182" s="2" t="s">
        <v>62</v>
      </c>
      <c r="C182" s="1" t="s">
        <v>49</v>
      </c>
      <c r="D182" s="1" t="str">
        <f t="shared" si="2"/>
        <v>ACS5_4-24_D</v>
      </c>
      <c r="E182" s="10">
        <v>45392</v>
      </c>
      <c r="F182" s="1"/>
    </row>
    <row r="183" spans="1:17" s="30" customFormat="1" ht="15" customHeight="1" x14ac:dyDescent="0.35">
      <c r="A183" s="1" t="s">
        <v>28</v>
      </c>
      <c r="B183" s="2" t="s">
        <v>62</v>
      </c>
      <c r="C183" s="1" t="s">
        <v>49</v>
      </c>
      <c r="D183" s="1" t="str">
        <f t="shared" si="2"/>
        <v>GBHM_4-24_D</v>
      </c>
      <c r="E183" s="10">
        <v>45392</v>
      </c>
      <c r="F183" s="1"/>
      <c r="G183" s="1"/>
      <c r="H183" s="1"/>
      <c r="I183" s="1"/>
      <c r="J183" s="1"/>
      <c r="K183" s="1"/>
      <c r="L183" s="1"/>
      <c r="M183" s="1"/>
      <c r="N183"/>
      <c r="O183"/>
      <c r="P183"/>
      <c r="Q183"/>
    </row>
    <row r="184" spans="1:17" ht="15" customHeight="1" x14ac:dyDescent="0.35">
      <c r="A184" s="1" t="s">
        <v>29</v>
      </c>
      <c r="B184" s="2" t="s">
        <v>62</v>
      </c>
      <c r="C184" s="1" t="s">
        <v>49</v>
      </c>
      <c r="D184" s="1" t="str">
        <f t="shared" si="2"/>
        <v>DC1_4-24_D</v>
      </c>
      <c r="E184" s="10">
        <v>45392</v>
      </c>
      <c r="F184" s="1"/>
    </row>
    <row r="185" spans="1:17" ht="15" customHeight="1" x14ac:dyDescent="0.35">
      <c r="A185" s="1" t="s">
        <v>30</v>
      </c>
      <c r="B185" s="2" t="s">
        <v>62</v>
      </c>
      <c r="C185" s="1" t="s">
        <v>49</v>
      </c>
      <c r="D185" s="1" t="str">
        <f t="shared" si="2"/>
        <v>DCM1_4-24_D</v>
      </c>
      <c r="E185" s="10">
        <v>45392</v>
      </c>
      <c r="F185" s="1"/>
    </row>
    <row r="186" spans="1:17" ht="15" customHeight="1" x14ac:dyDescent="0.35">
      <c r="A186" s="1" t="s">
        <v>31</v>
      </c>
      <c r="B186" s="2" t="s">
        <v>62</v>
      </c>
      <c r="C186" s="1" t="s">
        <v>49</v>
      </c>
      <c r="D186" s="1" t="str">
        <f t="shared" si="2"/>
        <v>DC2_4-24_D</v>
      </c>
      <c r="E186" s="10">
        <v>45392</v>
      </c>
      <c r="F186" s="1"/>
      <c r="O186" s="30"/>
      <c r="P186" s="30"/>
      <c r="Q186" s="30"/>
    </row>
    <row r="187" spans="1:17" ht="15" customHeight="1" x14ac:dyDescent="0.35">
      <c r="A187" s="1" t="s">
        <v>32</v>
      </c>
      <c r="B187" s="2" t="s">
        <v>62</v>
      </c>
      <c r="C187" s="1" t="s">
        <v>49</v>
      </c>
      <c r="D187" s="1" t="str">
        <f t="shared" si="2"/>
        <v>DCM2_4-24_D</v>
      </c>
      <c r="E187" s="10">
        <v>45392</v>
      </c>
      <c r="F187" s="1"/>
    </row>
    <row r="188" spans="1:17" ht="15" customHeight="1" x14ac:dyDescent="0.35">
      <c r="A188" s="1" t="s">
        <v>34</v>
      </c>
      <c r="B188" s="2" t="s">
        <v>62</v>
      </c>
      <c r="C188" s="1" t="s">
        <v>49</v>
      </c>
      <c r="D188" s="1" t="str">
        <f t="shared" si="2"/>
        <v>MCS1_4-24_D</v>
      </c>
      <c r="E188" s="10">
        <v>45390</v>
      </c>
      <c r="F188" s="1"/>
    </row>
    <row r="189" spans="1:17" ht="15" customHeight="1" x14ac:dyDescent="0.35">
      <c r="A189" s="1" t="s">
        <v>35</v>
      </c>
      <c r="B189" s="2" t="s">
        <v>62</v>
      </c>
      <c r="C189" s="1" t="s">
        <v>49</v>
      </c>
      <c r="D189" s="1" t="str">
        <f t="shared" si="2"/>
        <v>MCS2_4-24_D</v>
      </c>
      <c r="E189" s="10">
        <v>45390</v>
      </c>
      <c r="F189" s="1"/>
    </row>
    <row r="190" spans="1:17" ht="15" customHeight="1" x14ac:dyDescent="0.35">
      <c r="A190" s="1" t="s">
        <v>36</v>
      </c>
      <c r="B190" s="2" t="s">
        <v>62</v>
      </c>
      <c r="C190" s="1" t="s">
        <v>49</v>
      </c>
      <c r="D190" s="1" t="str">
        <f t="shared" si="2"/>
        <v>MCS3_4-24_D</v>
      </c>
      <c r="E190" s="10">
        <v>45390</v>
      </c>
      <c r="F190" s="1"/>
    </row>
    <row r="191" spans="1:17" ht="15" customHeight="1" x14ac:dyDescent="0.35">
      <c r="A191" s="1" t="s">
        <v>37</v>
      </c>
      <c r="B191" s="2" t="s">
        <v>62</v>
      </c>
      <c r="C191" s="1" t="s">
        <v>49</v>
      </c>
      <c r="D191" s="1" t="str">
        <f t="shared" si="2"/>
        <v>MCS4_4-24_D</v>
      </c>
      <c r="E191" s="10">
        <v>45390</v>
      </c>
      <c r="F191" s="1"/>
    </row>
    <row r="192" spans="1:17" ht="15" customHeight="1" x14ac:dyDescent="0.35">
      <c r="A192" s="1" t="s">
        <v>38</v>
      </c>
      <c r="B192" s="2" t="s">
        <v>62</v>
      </c>
      <c r="C192" s="1" t="s">
        <v>49</v>
      </c>
      <c r="D192" s="1" t="str">
        <f t="shared" si="2"/>
        <v>TBHM_4-24_D</v>
      </c>
      <c r="E192" s="10">
        <v>45390</v>
      </c>
      <c r="F192" s="1"/>
    </row>
    <row r="193" spans="1:7" ht="15" customHeight="1" x14ac:dyDescent="0.35">
      <c r="A193" s="1" t="s">
        <v>50</v>
      </c>
      <c r="B193" s="2" t="s">
        <v>62</v>
      </c>
      <c r="C193" s="1" t="s">
        <v>49</v>
      </c>
      <c r="D193" s="1" t="str">
        <f t="shared" si="2"/>
        <v>TBC_4-24_D</v>
      </c>
      <c r="E193" s="10">
        <v>45390</v>
      </c>
      <c r="F193" s="1"/>
      <c r="G193" s="1" t="s">
        <v>16</v>
      </c>
    </row>
    <row r="194" spans="1:7" ht="15" customHeight="1" x14ac:dyDescent="0.35">
      <c r="A194" s="1" t="s">
        <v>39</v>
      </c>
      <c r="B194" s="2" t="s">
        <v>62</v>
      </c>
      <c r="C194" s="1" t="s">
        <v>49</v>
      </c>
      <c r="D194" s="1" t="str">
        <f t="shared" ref="D194:D257" si="3">A194&amp;"_"&amp;B194&amp;"_"&amp;C194</f>
        <v>TBCM_4-24_D</v>
      </c>
      <c r="E194" s="10">
        <v>45390</v>
      </c>
      <c r="F194" s="1"/>
    </row>
    <row r="195" spans="1:7" ht="15" customHeight="1" x14ac:dyDescent="0.35">
      <c r="A195" s="1" t="s">
        <v>40</v>
      </c>
      <c r="B195" s="2" t="s">
        <v>62</v>
      </c>
      <c r="C195" s="1" t="s">
        <v>49</v>
      </c>
      <c r="D195" s="1" t="str">
        <f t="shared" si="3"/>
        <v>TB1_4-24_D</v>
      </c>
      <c r="E195" s="10">
        <v>45390</v>
      </c>
      <c r="F195" s="1"/>
    </row>
    <row r="196" spans="1:7" ht="15" customHeight="1" x14ac:dyDescent="0.35">
      <c r="A196" s="1" t="s">
        <v>41</v>
      </c>
      <c r="B196" s="2" t="s">
        <v>62</v>
      </c>
      <c r="C196" s="1" t="s">
        <v>49</v>
      </c>
      <c r="D196" s="1" t="str">
        <f t="shared" si="3"/>
        <v>TB2_4-24_D</v>
      </c>
      <c r="E196" s="10">
        <v>45390</v>
      </c>
      <c r="F196" s="10"/>
      <c r="G196" s="10"/>
    </row>
    <row r="197" spans="1:7" ht="15" customHeight="1" x14ac:dyDescent="0.35">
      <c r="A197" s="1" t="s">
        <v>33</v>
      </c>
      <c r="B197" s="2" t="s">
        <v>62</v>
      </c>
      <c r="C197" s="1" t="s">
        <v>49</v>
      </c>
      <c r="D197" s="1" t="str">
        <f t="shared" si="3"/>
        <v>GB1_4-24_D</v>
      </c>
      <c r="E197" s="10">
        <v>45392</v>
      </c>
      <c r="F197" s="1"/>
    </row>
    <row r="198" spans="1:7" ht="15" customHeight="1" x14ac:dyDescent="0.35">
      <c r="A198" s="1" t="s">
        <v>42</v>
      </c>
      <c r="B198" s="2" t="s">
        <v>62</v>
      </c>
      <c r="C198" s="1" t="s">
        <v>49</v>
      </c>
      <c r="D198" s="1" t="str">
        <f t="shared" si="3"/>
        <v>GB2_4-24_D</v>
      </c>
      <c r="E198" s="10">
        <v>45393</v>
      </c>
      <c r="F198" s="1"/>
    </row>
    <row r="199" spans="1:7" ht="15" customHeight="1" x14ac:dyDescent="0.35">
      <c r="A199" s="1" t="s">
        <v>43</v>
      </c>
      <c r="B199" s="2" t="s">
        <v>62</v>
      </c>
      <c r="C199" s="1" t="s">
        <v>49</v>
      </c>
      <c r="D199" s="1" t="str">
        <f t="shared" si="3"/>
        <v>RB_4-24_D</v>
      </c>
      <c r="E199" s="10">
        <v>45393</v>
      </c>
      <c r="F199" s="10"/>
      <c r="G199" s="10"/>
    </row>
    <row r="200" spans="1:7" ht="15" customHeight="1" x14ac:dyDescent="0.35">
      <c r="A200" s="1" t="s">
        <v>51</v>
      </c>
      <c r="B200" s="2" t="s">
        <v>62</v>
      </c>
      <c r="C200" s="1" t="s">
        <v>49</v>
      </c>
      <c r="D200" s="1" t="str">
        <f t="shared" si="3"/>
        <v>WB1_4-24_D</v>
      </c>
      <c r="E200" s="10">
        <v>45393</v>
      </c>
      <c r="F200" s="1"/>
    </row>
    <row r="201" spans="1:7" ht="15" customHeight="1" x14ac:dyDescent="0.35">
      <c r="A201" s="1" t="s">
        <v>52</v>
      </c>
      <c r="B201" s="2" t="s">
        <v>62</v>
      </c>
      <c r="C201" s="1" t="s">
        <v>49</v>
      </c>
      <c r="D201" s="1" t="str">
        <f t="shared" si="3"/>
        <v>WB2_4-24_D</v>
      </c>
      <c r="E201" s="10">
        <v>45393</v>
      </c>
      <c r="F201" s="1"/>
    </row>
    <row r="202" spans="1:7" ht="15" customHeight="1" x14ac:dyDescent="0.35">
      <c r="A202" s="1" t="s">
        <v>53</v>
      </c>
      <c r="B202" s="2" t="s">
        <v>62</v>
      </c>
      <c r="C202" s="1" t="s">
        <v>49</v>
      </c>
      <c r="D202" s="1" t="str">
        <f t="shared" si="3"/>
        <v>TKB_4-24_D</v>
      </c>
      <c r="E202" s="10">
        <v>45393</v>
      </c>
      <c r="F202" s="10"/>
      <c r="G202" s="10"/>
    </row>
    <row r="203" spans="1:7" ht="15" customHeight="1" x14ac:dyDescent="0.35">
      <c r="A203" s="1" t="s">
        <v>54</v>
      </c>
      <c r="B203" s="2" t="s">
        <v>62</v>
      </c>
      <c r="C203" s="1" t="s">
        <v>49</v>
      </c>
      <c r="D203" s="1" t="str">
        <f t="shared" si="3"/>
        <v>JB_4-24_D</v>
      </c>
      <c r="E203" s="10">
        <v>45393</v>
      </c>
      <c r="F203" s="1"/>
    </row>
    <row r="204" spans="1:7" ht="15" customHeight="1" x14ac:dyDescent="0.35">
      <c r="A204" s="1" t="s">
        <v>55</v>
      </c>
      <c r="B204" s="2" t="s">
        <v>62</v>
      </c>
      <c r="C204" s="1" t="s">
        <v>49</v>
      </c>
      <c r="D204" s="1" t="str">
        <f t="shared" si="3"/>
        <v>CC_4-24_D</v>
      </c>
      <c r="E204" s="10">
        <v>45393</v>
      </c>
      <c r="F204" s="1"/>
    </row>
    <row r="205" spans="1:7" ht="15" customHeight="1" x14ac:dyDescent="0.35">
      <c r="A205" s="1" t="s">
        <v>13</v>
      </c>
      <c r="B205" s="2" t="s">
        <v>61</v>
      </c>
      <c r="C205" s="1" t="s">
        <v>49</v>
      </c>
      <c r="D205" s="1" t="str">
        <f t="shared" si="3"/>
        <v>P37_3-24_D</v>
      </c>
      <c r="E205" s="10">
        <v>45358</v>
      </c>
      <c r="F205" s="1"/>
    </row>
    <row r="206" spans="1:7" ht="15" customHeight="1" x14ac:dyDescent="0.35">
      <c r="A206" s="1" t="s">
        <v>18</v>
      </c>
      <c r="B206" s="2" t="s">
        <v>58</v>
      </c>
      <c r="C206" s="1" t="s">
        <v>15</v>
      </c>
      <c r="D206" s="1" t="str">
        <f t="shared" si="3"/>
        <v>NCL_7-24_SIA</v>
      </c>
      <c r="E206" s="10">
        <v>45476</v>
      </c>
      <c r="F206" s="1"/>
      <c r="G206" s="1" t="s">
        <v>16</v>
      </c>
    </row>
    <row r="207" spans="1:7" ht="15" customHeight="1" x14ac:dyDescent="0.35">
      <c r="A207" s="1" t="s">
        <v>18</v>
      </c>
      <c r="B207" s="2" t="s">
        <v>61</v>
      </c>
      <c r="C207" s="1" t="s">
        <v>49</v>
      </c>
      <c r="D207" s="1" t="str">
        <f t="shared" si="3"/>
        <v>NCL_3-24_D</v>
      </c>
      <c r="E207" s="10">
        <v>45358</v>
      </c>
      <c r="F207" s="1"/>
    </row>
    <row r="208" spans="1:7" ht="15" customHeight="1" x14ac:dyDescent="0.35">
      <c r="A208" s="1" t="s">
        <v>19</v>
      </c>
      <c r="B208" s="2" t="s">
        <v>61</v>
      </c>
      <c r="C208" s="1" t="s">
        <v>49</v>
      </c>
      <c r="D208" s="1" t="str">
        <f t="shared" si="3"/>
        <v>CP_3-24_D</v>
      </c>
      <c r="E208" s="10">
        <v>45358</v>
      </c>
      <c r="F208" s="1"/>
    </row>
    <row r="209" spans="1:17" ht="15" customHeight="1" x14ac:dyDescent="0.35">
      <c r="A209" s="1" t="s">
        <v>21</v>
      </c>
      <c r="B209" s="2" t="s">
        <v>56</v>
      </c>
      <c r="C209" s="1" t="s">
        <v>15</v>
      </c>
      <c r="D209" s="1" t="str">
        <f t="shared" si="3"/>
        <v>OL_11_23_SIA</v>
      </c>
      <c r="E209" s="10">
        <v>45259</v>
      </c>
      <c r="F209" s="1"/>
      <c r="G209" s="10" t="s">
        <v>16</v>
      </c>
    </row>
    <row r="210" spans="1:17" ht="15" customHeight="1" x14ac:dyDescent="0.35">
      <c r="A210" s="1" t="s">
        <v>20</v>
      </c>
      <c r="B210" s="2" t="s">
        <v>61</v>
      </c>
      <c r="C210" s="1" t="s">
        <v>49</v>
      </c>
      <c r="D210" s="1" t="str">
        <f t="shared" si="3"/>
        <v>EP146_3-24_D</v>
      </c>
      <c r="E210" s="10">
        <v>45358</v>
      </c>
      <c r="F210" s="1"/>
    </row>
    <row r="211" spans="1:17" ht="15" customHeight="1" x14ac:dyDescent="0.35">
      <c r="A211" s="1" t="s">
        <v>21</v>
      </c>
      <c r="B211" s="2" t="s">
        <v>61</v>
      </c>
      <c r="C211" s="1" t="s">
        <v>49</v>
      </c>
      <c r="D211" s="1" t="str">
        <f t="shared" si="3"/>
        <v>OL_3-24_D</v>
      </c>
      <c r="E211" s="10">
        <v>45358</v>
      </c>
      <c r="F211" s="1"/>
      <c r="O211" s="30"/>
      <c r="P211" s="30"/>
      <c r="Q211" s="30"/>
    </row>
    <row r="212" spans="1:17" ht="15" customHeight="1" x14ac:dyDescent="0.35">
      <c r="A212" s="1" t="s">
        <v>21</v>
      </c>
      <c r="B212" s="2" t="s">
        <v>58</v>
      </c>
      <c r="C212" s="1" t="s">
        <v>15</v>
      </c>
      <c r="D212" s="1" t="str">
        <f t="shared" si="3"/>
        <v>OL_7-24_SIA</v>
      </c>
      <c r="E212" s="10">
        <v>45476</v>
      </c>
      <c r="F212" s="1"/>
      <c r="G212" s="1" t="s">
        <v>16</v>
      </c>
    </row>
    <row r="213" spans="1:17" ht="15" customHeight="1" x14ac:dyDescent="0.35">
      <c r="A213" s="1" t="s">
        <v>57</v>
      </c>
      <c r="B213" s="2" t="s">
        <v>61</v>
      </c>
      <c r="C213" s="1" t="s">
        <v>49</v>
      </c>
      <c r="D213" s="1" t="str">
        <f t="shared" si="3"/>
        <v>TSH_3-24_D</v>
      </c>
      <c r="E213" s="10">
        <v>45358</v>
      </c>
      <c r="F213" s="1"/>
    </row>
    <row r="214" spans="1:17" ht="15" customHeight="1" x14ac:dyDescent="0.35">
      <c r="A214" s="1" t="s">
        <v>22</v>
      </c>
      <c r="B214" s="2" t="s">
        <v>61</v>
      </c>
      <c r="C214" s="1" t="s">
        <v>49</v>
      </c>
      <c r="D214" s="1" t="str">
        <f t="shared" si="3"/>
        <v>R127_3-24_D</v>
      </c>
      <c r="E214" s="10">
        <v>45358</v>
      </c>
      <c r="F214" s="1"/>
      <c r="O214" s="30"/>
      <c r="P214" s="30"/>
      <c r="Q214" s="30"/>
    </row>
    <row r="215" spans="1:17" ht="15" customHeight="1" x14ac:dyDescent="0.35">
      <c r="A215" s="1" t="s">
        <v>13</v>
      </c>
      <c r="B215" s="2" t="s">
        <v>56</v>
      </c>
      <c r="C215" s="1" t="s">
        <v>15</v>
      </c>
      <c r="D215" s="1" t="str">
        <f t="shared" si="3"/>
        <v>P37_11_23_SIA</v>
      </c>
      <c r="E215" s="10">
        <v>45259</v>
      </c>
      <c r="F215" s="1"/>
      <c r="G215" s="10" t="s">
        <v>16</v>
      </c>
    </row>
    <row r="216" spans="1:17" ht="15" customHeight="1" x14ac:dyDescent="0.35">
      <c r="A216" s="1" t="s">
        <v>13</v>
      </c>
      <c r="B216" s="2" t="s">
        <v>58</v>
      </c>
      <c r="C216" s="1" t="s">
        <v>15</v>
      </c>
      <c r="D216" s="1" t="str">
        <f t="shared" si="3"/>
        <v>P37_7-24_SIA</v>
      </c>
      <c r="E216" s="10">
        <v>45476</v>
      </c>
      <c r="F216" s="1"/>
      <c r="G216" s="10" t="s">
        <v>16</v>
      </c>
    </row>
    <row r="217" spans="1:17" ht="15" customHeight="1" x14ac:dyDescent="0.35">
      <c r="A217" s="1" t="s">
        <v>22</v>
      </c>
      <c r="B217" s="2" t="s">
        <v>56</v>
      </c>
      <c r="C217" s="1" t="s">
        <v>15</v>
      </c>
      <c r="D217" s="1" t="str">
        <f t="shared" si="3"/>
        <v>R127_11_23_SIA</v>
      </c>
      <c r="E217" s="10">
        <v>45259</v>
      </c>
      <c r="F217" s="1"/>
      <c r="G217" s="10" t="s">
        <v>16</v>
      </c>
    </row>
    <row r="218" spans="1:17" ht="15" customHeight="1" x14ac:dyDescent="0.35">
      <c r="A218" s="1" t="s">
        <v>22</v>
      </c>
      <c r="B218" s="2" t="s">
        <v>58</v>
      </c>
      <c r="C218" s="1" t="s">
        <v>15</v>
      </c>
      <c r="D218" s="1" t="str">
        <f t="shared" si="3"/>
        <v>R127_7-24_SIA</v>
      </c>
      <c r="E218" s="10">
        <v>45476</v>
      </c>
      <c r="F218" s="1"/>
      <c r="G218" s="10" t="s">
        <v>16</v>
      </c>
    </row>
    <row r="219" spans="1:17" ht="15" customHeight="1" x14ac:dyDescent="0.35">
      <c r="A219" s="1" t="s">
        <v>43</v>
      </c>
      <c r="B219" s="2" t="s">
        <v>60</v>
      </c>
      <c r="C219" s="1" t="s">
        <v>15</v>
      </c>
      <c r="D219" s="1" t="str">
        <f t="shared" si="3"/>
        <v>RB_1-24_SIA</v>
      </c>
      <c r="E219" s="10">
        <v>45297</v>
      </c>
      <c r="F219" s="1"/>
      <c r="G219" s="10" t="s">
        <v>16</v>
      </c>
    </row>
    <row r="220" spans="1:17" ht="15" customHeight="1" x14ac:dyDescent="0.35">
      <c r="A220" s="1" t="s">
        <v>43</v>
      </c>
      <c r="B220" s="2" t="s">
        <v>63</v>
      </c>
      <c r="C220" s="1" t="s">
        <v>15</v>
      </c>
      <c r="D220" s="1" t="str">
        <f t="shared" si="3"/>
        <v>RB_8-24_SIA</v>
      </c>
      <c r="E220" s="10">
        <v>45524</v>
      </c>
      <c r="G220" s="1" t="s">
        <v>16</v>
      </c>
    </row>
    <row r="221" spans="1:17" ht="15" customHeight="1" x14ac:dyDescent="0.35">
      <c r="A221" s="1" t="s">
        <v>47</v>
      </c>
      <c r="B221" s="2" t="s">
        <v>60</v>
      </c>
      <c r="C221" s="1" t="s">
        <v>15</v>
      </c>
      <c r="D221" s="1" t="str">
        <f t="shared" si="3"/>
        <v>SBT1_1-24_SIA</v>
      </c>
      <c r="E221" s="10">
        <v>45324</v>
      </c>
      <c r="F221" s="1"/>
      <c r="G221" s="10" t="s">
        <v>16</v>
      </c>
    </row>
    <row r="222" spans="1:17" ht="15" customHeight="1" x14ac:dyDescent="0.35">
      <c r="A222" s="1" t="s">
        <v>47</v>
      </c>
      <c r="B222" s="2" t="s">
        <v>63</v>
      </c>
      <c r="C222" s="1" t="s">
        <v>15</v>
      </c>
      <c r="D222" s="1" t="str">
        <f t="shared" si="3"/>
        <v>SBT1_8-24_SIA</v>
      </c>
      <c r="E222" s="10">
        <v>45524</v>
      </c>
      <c r="G222" s="1" t="s">
        <v>16</v>
      </c>
    </row>
    <row r="223" spans="1:17" ht="15" customHeight="1" x14ac:dyDescent="0.35">
      <c r="A223" s="1" t="s">
        <v>48</v>
      </c>
      <c r="B223" s="2" t="s">
        <v>60</v>
      </c>
      <c r="C223" s="1" t="s">
        <v>15</v>
      </c>
      <c r="D223" s="1" t="str">
        <f t="shared" si="3"/>
        <v>SBT2_1-24_SIA</v>
      </c>
      <c r="E223" s="10">
        <v>45297</v>
      </c>
      <c r="F223" s="1"/>
      <c r="G223" s="10" t="s">
        <v>16</v>
      </c>
    </row>
    <row r="224" spans="1:17" ht="15" customHeight="1" x14ac:dyDescent="0.35">
      <c r="A224" s="1" t="s">
        <v>48</v>
      </c>
      <c r="B224" s="2" t="s">
        <v>63</v>
      </c>
      <c r="C224" s="1" t="s">
        <v>15</v>
      </c>
      <c r="D224" s="1" t="str">
        <f t="shared" si="3"/>
        <v>SBT2_8-24_SIA</v>
      </c>
      <c r="E224" s="10">
        <v>45524</v>
      </c>
      <c r="G224" s="1" t="s">
        <v>16</v>
      </c>
    </row>
    <row r="225" spans="1:7" ht="15" customHeight="1" x14ac:dyDescent="0.35">
      <c r="A225" s="1" t="s">
        <v>40</v>
      </c>
      <c r="B225" s="2" t="s">
        <v>60</v>
      </c>
      <c r="C225" s="1" t="s">
        <v>15</v>
      </c>
      <c r="D225" s="1" t="str">
        <f t="shared" si="3"/>
        <v>TB1_1-24_SIA</v>
      </c>
      <c r="E225" s="10">
        <v>45298</v>
      </c>
      <c r="F225" s="1"/>
      <c r="G225" s="10" t="s">
        <v>16</v>
      </c>
    </row>
    <row r="226" spans="1:7" ht="15" customHeight="1" x14ac:dyDescent="0.35">
      <c r="A226" s="1" t="s">
        <v>40</v>
      </c>
      <c r="B226" s="2" t="s">
        <v>63</v>
      </c>
      <c r="C226" s="1" t="s">
        <v>15</v>
      </c>
      <c r="D226" s="1" t="str">
        <f t="shared" si="3"/>
        <v>TB1_8-24_SIA</v>
      </c>
      <c r="E226" s="10">
        <v>45524</v>
      </c>
      <c r="G226" s="1" t="s">
        <v>16</v>
      </c>
    </row>
    <row r="227" spans="1:7" ht="15" customHeight="1" x14ac:dyDescent="0.35">
      <c r="A227" s="1" t="s">
        <v>41</v>
      </c>
      <c r="B227" s="2" t="s">
        <v>60</v>
      </c>
      <c r="C227" s="1" t="s">
        <v>15</v>
      </c>
      <c r="D227" s="1" t="str">
        <f t="shared" si="3"/>
        <v>TB2_1-24_SIA</v>
      </c>
      <c r="E227" s="10">
        <v>45298</v>
      </c>
      <c r="F227" s="1"/>
      <c r="G227" s="10" t="s">
        <v>16</v>
      </c>
    </row>
    <row r="228" spans="1:7" ht="15" customHeight="1" x14ac:dyDescent="0.35">
      <c r="A228" s="1" t="s">
        <v>41</v>
      </c>
      <c r="B228" s="2" t="s">
        <v>63</v>
      </c>
      <c r="C228" s="1" t="s">
        <v>15</v>
      </c>
      <c r="D228" s="1" t="str">
        <f t="shared" si="3"/>
        <v>TB2_8-24_SIA</v>
      </c>
      <c r="E228" s="10">
        <v>45524</v>
      </c>
    </row>
    <row r="229" spans="1:7" ht="15" customHeight="1" x14ac:dyDescent="0.35">
      <c r="A229" s="1" t="s">
        <v>50</v>
      </c>
      <c r="B229" s="2" t="s">
        <v>60</v>
      </c>
      <c r="C229" s="1" t="s">
        <v>15</v>
      </c>
      <c r="D229" s="1" t="str">
        <f t="shared" si="3"/>
        <v>TBC_1-24_SIA</v>
      </c>
      <c r="E229" s="10">
        <v>45298</v>
      </c>
      <c r="F229" s="1"/>
      <c r="G229" s="10" t="s">
        <v>16</v>
      </c>
    </row>
    <row r="230" spans="1:7" ht="15" customHeight="1" x14ac:dyDescent="0.35">
      <c r="A230" s="1" t="s">
        <v>50</v>
      </c>
      <c r="B230" s="2" t="s">
        <v>63</v>
      </c>
      <c r="C230" s="1" t="s">
        <v>15</v>
      </c>
      <c r="D230" s="1" t="str">
        <f t="shared" si="3"/>
        <v>TBC_8-24_SIA</v>
      </c>
      <c r="E230" s="10">
        <v>45524</v>
      </c>
      <c r="G230" s="1" t="s">
        <v>16</v>
      </c>
    </row>
    <row r="231" spans="1:7" ht="15" customHeight="1" x14ac:dyDescent="0.35">
      <c r="A231" s="1" t="s">
        <v>39</v>
      </c>
      <c r="B231" s="2" t="s">
        <v>60</v>
      </c>
      <c r="C231" s="1" t="s">
        <v>15</v>
      </c>
      <c r="D231" s="1" t="str">
        <f t="shared" si="3"/>
        <v>TBCM_1-24_SIA</v>
      </c>
      <c r="E231" s="10">
        <v>45298</v>
      </c>
      <c r="F231" s="1"/>
      <c r="G231" s="10" t="s">
        <v>16</v>
      </c>
    </row>
    <row r="232" spans="1:7" ht="15" customHeight="1" x14ac:dyDescent="0.35">
      <c r="A232" s="1" t="s">
        <v>44</v>
      </c>
      <c r="B232" s="2" t="s">
        <v>60</v>
      </c>
      <c r="C232" s="1" t="s">
        <v>49</v>
      </c>
      <c r="D232" s="1" t="str">
        <f t="shared" si="3"/>
        <v>TSM1_1-24_D</v>
      </c>
      <c r="E232" s="10">
        <v>45324</v>
      </c>
      <c r="F232" s="1"/>
    </row>
    <row r="233" spans="1:7" ht="15" customHeight="1" x14ac:dyDescent="0.35">
      <c r="A233" s="1" t="s">
        <v>45</v>
      </c>
      <c r="B233" s="2" t="s">
        <v>60</v>
      </c>
      <c r="C233" s="1" t="s">
        <v>49</v>
      </c>
      <c r="D233" s="1" t="str">
        <f t="shared" si="3"/>
        <v>TSM3_1-24_D</v>
      </c>
      <c r="E233" s="10">
        <v>45324</v>
      </c>
      <c r="F233" s="1"/>
    </row>
    <row r="234" spans="1:7" ht="15" customHeight="1" x14ac:dyDescent="0.35">
      <c r="A234" s="1" t="s">
        <v>46</v>
      </c>
      <c r="B234" s="2" t="s">
        <v>60</v>
      </c>
      <c r="C234" s="1" t="s">
        <v>49</v>
      </c>
      <c r="D234" s="1" t="str">
        <f t="shared" si="3"/>
        <v>TSM4_1-24_D</v>
      </c>
      <c r="E234" s="10">
        <v>45324</v>
      </c>
      <c r="F234" s="1"/>
    </row>
    <row r="235" spans="1:7" ht="15" customHeight="1" x14ac:dyDescent="0.35">
      <c r="A235" s="1" t="s">
        <v>47</v>
      </c>
      <c r="B235" s="2" t="s">
        <v>60</v>
      </c>
      <c r="C235" s="1" t="s">
        <v>49</v>
      </c>
      <c r="D235" s="1" t="str">
        <f t="shared" si="3"/>
        <v>SBT1_1-24_D</v>
      </c>
      <c r="E235" s="10">
        <v>45324</v>
      </c>
      <c r="F235" s="1"/>
    </row>
    <row r="236" spans="1:7" ht="15" customHeight="1" x14ac:dyDescent="0.35">
      <c r="A236" s="1" t="s">
        <v>48</v>
      </c>
      <c r="B236" s="2" t="s">
        <v>60</v>
      </c>
      <c r="C236" s="1" t="s">
        <v>49</v>
      </c>
      <c r="D236" s="1" t="str">
        <f t="shared" si="3"/>
        <v>SBT2_1-24_D</v>
      </c>
      <c r="E236" s="10">
        <v>45297</v>
      </c>
      <c r="F236" s="1"/>
    </row>
    <row r="237" spans="1:7" ht="15" customHeight="1" x14ac:dyDescent="0.35">
      <c r="A237" s="1" t="s">
        <v>23</v>
      </c>
      <c r="B237" s="2" t="s">
        <v>60</v>
      </c>
      <c r="C237" s="1" t="s">
        <v>49</v>
      </c>
      <c r="D237" s="1" t="str">
        <f t="shared" si="3"/>
        <v>ACS1_1-24_D</v>
      </c>
      <c r="E237" s="10">
        <v>45302</v>
      </c>
      <c r="F237" s="1"/>
    </row>
    <row r="238" spans="1:7" ht="15" customHeight="1" x14ac:dyDescent="0.35">
      <c r="A238" s="1" t="s">
        <v>24</v>
      </c>
      <c r="B238" s="2" t="s">
        <v>60</v>
      </c>
      <c r="C238" s="1" t="s">
        <v>49</v>
      </c>
      <c r="D238" s="1" t="str">
        <f t="shared" si="3"/>
        <v>ACS2_1-24_D</v>
      </c>
      <c r="E238" s="10">
        <v>45302</v>
      </c>
      <c r="F238" s="1"/>
    </row>
    <row r="239" spans="1:7" ht="15" customHeight="1" x14ac:dyDescent="0.35">
      <c r="A239" s="1" t="s">
        <v>25</v>
      </c>
      <c r="B239" s="2" t="s">
        <v>60</v>
      </c>
      <c r="C239" s="1" t="s">
        <v>49</v>
      </c>
      <c r="D239" s="1" t="str">
        <f t="shared" si="3"/>
        <v>ACS3_1-24_D</v>
      </c>
      <c r="E239" s="10">
        <v>45302</v>
      </c>
      <c r="F239" s="1"/>
    </row>
    <row r="240" spans="1:7" ht="15" customHeight="1" x14ac:dyDescent="0.35">
      <c r="A240" s="1" t="s">
        <v>26</v>
      </c>
      <c r="B240" s="2" t="s">
        <v>60</v>
      </c>
      <c r="C240" s="1" t="s">
        <v>49</v>
      </c>
      <c r="D240" s="1" t="str">
        <f t="shared" si="3"/>
        <v>ACS4_1-24_D</v>
      </c>
      <c r="E240" s="10">
        <v>45302</v>
      </c>
      <c r="F240" s="1"/>
    </row>
    <row r="241" spans="1:17" ht="15" customHeight="1" x14ac:dyDescent="0.35">
      <c r="A241" s="1" t="s">
        <v>27</v>
      </c>
      <c r="B241" s="2" t="s">
        <v>60</v>
      </c>
      <c r="C241" s="1" t="s">
        <v>49</v>
      </c>
      <c r="D241" s="1" t="str">
        <f t="shared" si="3"/>
        <v>ACS5_1-24_D</v>
      </c>
      <c r="E241" s="10">
        <v>45302</v>
      </c>
      <c r="F241" s="1"/>
    </row>
    <row r="242" spans="1:17" ht="15" customHeight="1" x14ac:dyDescent="0.35">
      <c r="A242" s="1" t="s">
        <v>28</v>
      </c>
      <c r="B242" s="2" t="s">
        <v>60</v>
      </c>
      <c r="C242" s="1" t="s">
        <v>49</v>
      </c>
      <c r="D242" s="1" t="str">
        <f t="shared" si="3"/>
        <v>GBHM_1-24_D</v>
      </c>
      <c r="E242" s="10">
        <v>45302</v>
      </c>
      <c r="F242" s="1"/>
    </row>
    <row r="243" spans="1:17" s="30" customFormat="1" ht="15" customHeight="1" x14ac:dyDescent="0.35">
      <c r="A243" s="1" t="s">
        <v>29</v>
      </c>
      <c r="B243" s="2" t="s">
        <v>60</v>
      </c>
      <c r="C243" s="1" t="s">
        <v>49</v>
      </c>
      <c r="D243" s="1" t="str">
        <f t="shared" si="3"/>
        <v>DC1_1-24_D</v>
      </c>
      <c r="E243" s="10">
        <v>45302</v>
      </c>
      <c r="F243" s="1"/>
      <c r="G243" s="1"/>
      <c r="H243" s="1"/>
      <c r="I243" s="1"/>
      <c r="J243" s="1"/>
      <c r="K243" s="1"/>
      <c r="L243" s="1"/>
      <c r="M243" s="1"/>
      <c r="N243"/>
      <c r="O243"/>
      <c r="P243"/>
      <c r="Q243"/>
    </row>
    <row r="244" spans="1:17" ht="15" customHeight="1" x14ac:dyDescent="0.35">
      <c r="A244" s="1" t="s">
        <v>30</v>
      </c>
      <c r="B244" s="2" t="s">
        <v>60</v>
      </c>
      <c r="C244" s="1" t="s">
        <v>49</v>
      </c>
      <c r="D244" s="1" t="str">
        <f t="shared" si="3"/>
        <v>DCM1_1-24_D</v>
      </c>
      <c r="E244" s="10">
        <v>45302</v>
      </c>
      <c r="F244" s="1"/>
    </row>
    <row r="245" spans="1:17" ht="15" customHeight="1" x14ac:dyDescent="0.35">
      <c r="A245" s="1" t="s">
        <v>31</v>
      </c>
      <c r="B245" s="2" t="s">
        <v>60</v>
      </c>
      <c r="C245" s="1" t="s">
        <v>49</v>
      </c>
      <c r="D245" s="1" t="str">
        <f t="shared" si="3"/>
        <v>DC2_1-24_D</v>
      </c>
      <c r="E245" s="10">
        <v>45302</v>
      </c>
      <c r="F245" s="1"/>
    </row>
    <row r="246" spans="1:17" ht="15" customHeight="1" x14ac:dyDescent="0.35">
      <c r="A246" s="1" t="s">
        <v>32</v>
      </c>
      <c r="B246" s="2" t="s">
        <v>60</v>
      </c>
      <c r="C246" s="1" t="s">
        <v>49</v>
      </c>
      <c r="D246" s="1" t="str">
        <f t="shared" si="3"/>
        <v>DCM2_1-24_D</v>
      </c>
      <c r="E246" s="10">
        <v>45302</v>
      </c>
      <c r="F246" s="1"/>
    </row>
    <row r="247" spans="1:17" ht="15" customHeight="1" x14ac:dyDescent="0.35">
      <c r="A247" s="1" t="s">
        <v>34</v>
      </c>
      <c r="B247" s="2" t="s">
        <v>60</v>
      </c>
      <c r="C247" s="1" t="s">
        <v>49</v>
      </c>
      <c r="D247" s="1" t="str">
        <f t="shared" si="3"/>
        <v>MCS1_1-24_D</v>
      </c>
      <c r="E247" s="10">
        <v>45298</v>
      </c>
      <c r="F247" s="1"/>
    </row>
    <row r="248" spans="1:17" ht="15" customHeight="1" x14ac:dyDescent="0.35">
      <c r="A248" s="1" t="s">
        <v>35</v>
      </c>
      <c r="B248" s="2" t="s">
        <v>60</v>
      </c>
      <c r="C248" s="1" t="s">
        <v>49</v>
      </c>
      <c r="D248" s="1" t="str">
        <f t="shared" si="3"/>
        <v>MCS2_1-24_D</v>
      </c>
      <c r="E248" s="10">
        <v>45298</v>
      </c>
      <c r="F248" s="1"/>
    </row>
    <row r="249" spans="1:17" ht="15" customHeight="1" x14ac:dyDescent="0.35">
      <c r="A249" s="1" t="s">
        <v>36</v>
      </c>
      <c r="B249" s="2" t="s">
        <v>60</v>
      </c>
      <c r="C249" s="1" t="s">
        <v>49</v>
      </c>
      <c r="D249" s="1" t="str">
        <f t="shared" si="3"/>
        <v>MCS3_1-24_D</v>
      </c>
      <c r="E249" s="10">
        <v>45298</v>
      </c>
      <c r="F249" s="1"/>
    </row>
    <row r="250" spans="1:17" ht="15" customHeight="1" x14ac:dyDescent="0.35">
      <c r="A250" s="1" t="s">
        <v>37</v>
      </c>
      <c r="B250" s="2" t="s">
        <v>60</v>
      </c>
      <c r="C250" s="1" t="s">
        <v>49</v>
      </c>
      <c r="D250" s="1" t="str">
        <f t="shared" si="3"/>
        <v>MCS4_1-24_D</v>
      </c>
      <c r="E250" s="10">
        <v>45298</v>
      </c>
      <c r="F250" s="1"/>
    </row>
    <row r="251" spans="1:17" ht="15" customHeight="1" x14ac:dyDescent="0.35">
      <c r="A251" s="1" t="s">
        <v>38</v>
      </c>
      <c r="B251" s="2" t="s">
        <v>60</v>
      </c>
      <c r="C251" s="1" t="s">
        <v>49</v>
      </c>
      <c r="D251" s="1" t="str">
        <f t="shared" si="3"/>
        <v>TBHM_1-24_D</v>
      </c>
      <c r="E251" s="10">
        <v>45298</v>
      </c>
      <c r="F251" s="1"/>
    </row>
    <row r="252" spans="1:17" ht="15" customHeight="1" x14ac:dyDescent="0.35">
      <c r="A252" s="1" t="s">
        <v>50</v>
      </c>
      <c r="B252" s="2" t="s">
        <v>60</v>
      </c>
      <c r="C252" s="1" t="s">
        <v>49</v>
      </c>
      <c r="D252" s="1" t="str">
        <f t="shared" si="3"/>
        <v>TBC_1-24_D</v>
      </c>
      <c r="E252" s="10">
        <v>45298</v>
      </c>
      <c r="F252" s="1"/>
    </row>
    <row r="253" spans="1:17" ht="15" customHeight="1" x14ac:dyDescent="0.35">
      <c r="A253" s="1" t="s">
        <v>39</v>
      </c>
      <c r="B253" s="2" t="s">
        <v>60</v>
      </c>
      <c r="C253" s="1" t="s">
        <v>49</v>
      </c>
      <c r="D253" s="1" t="str">
        <f t="shared" si="3"/>
        <v>TBCM_1-24_D</v>
      </c>
      <c r="E253" s="10">
        <v>45298</v>
      </c>
      <c r="F253" s="1"/>
    </row>
    <row r="254" spans="1:17" ht="15" customHeight="1" x14ac:dyDescent="0.35">
      <c r="A254" s="1" t="s">
        <v>40</v>
      </c>
      <c r="B254" s="2" t="s">
        <v>60</v>
      </c>
      <c r="C254" s="1" t="s">
        <v>49</v>
      </c>
      <c r="D254" s="1" t="str">
        <f t="shared" si="3"/>
        <v>TB1_1-24_D</v>
      </c>
      <c r="E254" s="10">
        <v>45298</v>
      </c>
      <c r="F254" s="1"/>
    </row>
    <row r="255" spans="1:17" ht="15" customHeight="1" x14ac:dyDescent="0.35">
      <c r="A255" s="1" t="s">
        <v>41</v>
      </c>
      <c r="B255" s="2" t="s">
        <v>60</v>
      </c>
      <c r="C255" s="1" t="s">
        <v>49</v>
      </c>
      <c r="D255" s="1" t="str">
        <f t="shared" si="3"/>
        <v>TB2_1-24_D</v>
      </c>
      <c r="E255" s="10">
        <v>45298</v>
      </c>
      <c r="F255" s="1"/>
    </row>
    <row r="256" spans="1:17" ht="15" customHeight="1" x14ac:dyDescent="0.35">
      <c r="A256" s="1" t="s">
        <v>33</v>
      </c>
      <c r="B256" s="2" t="s">
        <v>60</v>
      </c>
      <c r="C256" s="1" t="s">
        <v>49</v>
      </c>
      <c r="D256" s="1" t="str">
        <f t="shared" si="3"/>
        <v>GB1_1-24_D</v>
      </c>
      <c r="E256" s="10">
        <v>45302</v>
      </c>
      <c r="F256" s="1"/>
    </row>
    <row r="257" spans="1:17" ht="15" customHeight="1" x14ac:dyDescent="0.35">
      <c r="A257" s="1" t="s">
        <v>42</v>
      </c>
      <c r="B257" s="2" t="s">
        <v>60</v>
      </c>
      <c r="C257" s="1" t="s">
        <v>49</v>
      </c>
      <c r="D257" s="1" t="str">
        <f t="shared" si="3"/>
        <v>GB2_1-24_D</v>
      </c>
      <c r="E257" s="10">
        <v>45297</v>
      </c>
      <c r="F257" s="1"/>
    </row>
    <row r="258" spans="1:17" ht="15" customHeight="1" x14ac:dyDescent="0.35">
      <c r="A258" s="1" t="s">
        <v>43</v>
      </c>
      <c r="B258" s="2" t="s">
        <v>60</v>
      </c>
      <c r="C258" s="1" t="s">
        <v>49</v>
      </c>
      <c r="D258" s="1" t="str">
        <f t="shared" ref="D258:D321" si="4">A258&amp;"_"&amp;B258&amp;"_"&amp;C258</f>
        <v>RB_1-24_D</v>
      </c>
      <c r="E258" s="10">
        <v>45297</v>
      </c>
      <c r="F258" s="1"/>
    </row>
    <row r="259" spans="1:17" ht="15" customHeight="1" x14ac:dyDescent="0.35">
      <c r="A259" s="1" t="s">
        <v>51</v>
      </c>
      <c r="B259" s="2" t="s">
        <v>60</v>
      </c>
      <c r="C259" s="1" t="s">
        <v>49</v>
      </c>
      <c r="D259" s="1" t="str">
        <f t="shared" si="4"/>
        <v>WB1_1-24_D</v>
      </c>
      <c r="E259" s="10">
        <v>45298</v>
      </c>
      <c r="F259" s="1"/>
      <c r="O259" s="30"/>
      <c r="P259" s="30"/>
      <c r="Q259" s="30"/>
    </row>
    <row r="260" spans="1:17" ht="15" customHeight="1" x14ac:dyDescent="0.35">
      <c r="A260" s="1" t="s">
        <v>52</v>
      </c>
      <c r="B260" s="2" t="s">
        <v>60</v>
      </c>
      <c r="C260" s="1" t="s">
        <v>49</v>
      </c>
      <c r="D260" s="1" t="str">
        <f t="shared" si="4"/>
        <v>WB2_1-24_D</v>
      </c>
      <c r="E260" s="10">
        <v>45298</v>
      </c>
      <c r="F260" s="1"/>
    </row>
    <row r="261" spans="1:17" ht="15" customHeight="1" x14ac:dyDescent="0.35">
      <c r="A261" s="1" t="s">
        <v>53</v>
      </c>
      <c r="B261" s="2" t="s">
        <v>60</v>
      </c>
      <c r="C261" s="1" t="s">
        <v>49</v>
      </c>
      <c r="D261" s="1" t="str">
        <f t="shared" si="4"/>
        <v>TKB_1-24_D</v>
      </c>
      <c r="E261" s="10">
        <v>45297</v>
      </c>
      <c r="F261" s="1"/>
    </row>
    <row r="262" spans="1:17" ht="15" customHeight="1" x14ac:dyDescent="0.35">
      <c r="A262" s="1" t="s">
        <v>54</v>
      </c>
      <c r="B262" s="2" t="s">
        <v>60</v>
      </c>
      <c r="C262" s="1" t="s">
        <v>49</v>
      </c>
      <c r="D262" s="1" t="str">
        <f t="shared" si="4"/>
        <v>JB_1-24_D</v>
      </c>
      <c r="E262" s="10">
        <v>45297</v>
      </c>
      <c r="F262" s="1"/>
    </row>
    <row r="263" spans="1:17" ht="15" customHeight="1" x14ac:dyDescent="0.35">
      <c r="A263" s="1" t="s">
        <v>55</v>
      </c>
      <c r="B263" s="2" t="s">
        <v>60</v>
      </c>
      <c r="C263" s="1" t="s">
        <v>49</v>
      </c>
      <c r="D263" s="1" t="str">
        <f t="shared" si="4"/>
        <v>CC_1-24_D</v>
      </c>
      <c r="E263" s="10">
        <v>45297</v>
      </c>
      <c r="F263" s="1"/>
    </row>
    <row r="264" spans="1:17" ht="15" customHeight="1" x14ac:dyDescent="0.35">
      <c r="A264" s="1" t="s">
        <v>13</v>
      </c>
      <c r="B264" s="2" t="s">
        <v>56</v>
      </c>
      <c r="C264" s="1" t="s">
        <v>49</v>
      </c>
      <c r="D264" s="1" t="str">
        <f t="shared" si="4"/>
        <v>P37_11_23_D</v>
      </c>
      <c r="E264" s="10">
        <v>45259</v>
      </c>
      <c r="F264" s="1"/>
    </row>
    <row r="265" spans="1:17" ht="15" customHeight="1" x14ac:dyDescent="0.35">
      <c r="A265" s="26" t="s">
        <v>50</v>
      </c>
      <c r="B265" s="27" t="s">
        <v>14</v>
      </c>
      <c r="C265" s="26" t="s">
        <v>15</v>
      </c>
      <c r="D265" s="26" t="str">
        <f t="shared" si="4"/>
        <v>TBC_9-23_SIA</v>
      </c>
      <c r="E265" s="28"/>
      <c r="F265" s="29"/>
      <c r="G265" s="26"/>
      <c r="H265" s="26"/>
      <c r="I265" s="26"/>
      <c r="J265" s="26"/>
      <c r="K265" s="26"/>
      <c r="L265" s="26"/>
      <c r="M265" s="26"/>
      <c r="N265" s="30"/>
    </row>
    <row r="266" spans="1:17" ht="15" customHeight="1" x14ac:dyDescent="0.35">
      <c r="A266" s="1" t="s">
        <v>18</v>
      </c>
      <c r="B266" s="2" t="s">
        <v>56</v>
      </c>
      <c r="C266" s="1" t="s">
        <v>49</v>
      </c>
      <c r="D266" s="1" t="str">
        <f t="shared" si="4"/>
        <v>NCL_11_23_D</v>
      </c>
      <c r="E266" s="10">
        <v>45259</v>
      </c>
      <c r="F266" s="1"/>
    </row>
    <row r="267" spans="1:17" ht="15" customHeight="1" x14ac:dyDescent="0.35">
      <c r="A267" s="26" t="s">
        <v>57</v>
      </c>
      <c r="B267" s="27" t="s">
        <v>14</v>
      </c>
      <c r="C267" s="26" t="s">
        <v>15</v>
      </c>
      <c r="D267" s="26" t="str">
        <f t="shared" si="4"/>
        <v>TSH_9-23_SIA</v>
      </c>
      <c r="E267" s="28"/>
      <c r="F267" s="29"/>
      <c r="G267" s="26"/>
      <c r="H267" s="26"/>
      <c r="I267" s="26"/>
      <c r="J267" s="26"/>
      <c r="K267" s="26"/>
      <c r="L267" s="26"/>
      <c r="M267" s="26"/>
      <c r="N267" s="30"/>
    </row>
    <row r="268" spans="1:17" ht="15" customHeight="1" x14ac:dyDescent="0.35">
      <c r="A268" s="1" t="s">
        <v>19</v>
      </c>
      <c r="B268" s="2" t="s">
        <v>56</v>
      </c>
      <c r="C268" s="1" t="s">
        <v>49</v>
      </c>
      <c r="D268" s="1" t="str">
        <f t="shared" si="4"/>
        <v>CP_11_23_D</v>
      </c>
      <c r="E268" s="10">
        <v>45259</v>
      </c>
      <c r="F268" s="1"/>
    </row>
    <row r="269" spans="1:17" ht="15" customHeight="1" x14ac:dyDescent="0.35">
      <c r="B269" s="2" t="s">
        <v>63</v>
      </c>
      <c r="C269" s="1" t="s">
        <v>15</v>
      </c>
    </row>
    <row r="270" spans="1:17" ht="15" customHeight="1" x14ac:dyDescent="0.35">
      <c r="A270" s="1" t="s">
        <v>20</v>
      </c>
      <c r="B270" s="2" t="s">
        <v>56</v>
      </c>
      <c r="C270" s="1" t="s">
        <v>49</v>
      </c>
      <c r="D270" s="1" t="str">
        <f t="shared" ref="D270:D293" si="5">A270&amp;"_"&amp;B270&amp;"_"&amp;C270</f>
        <v>EP146_11_23_D</v>
      </c>
      <c r="E270" s="10">
        <v>45259</v>
      </c>
      <c r="F270" s="1"/>
    </row>
    <row r="271" spans="1:17" ht="15" customHeight="1" x14ac:dyDescent="0.35">
      <c r="A271" s="26" t="s">
        <v>28</v>
      </c>
      <c r="B271" s="27" t="s">
        <v>62</v>
      </c>
      <c r="C271" s="26" t="s">
        <v>15</v>
      </c>
      <c r="D271" s="26" t="str">
        <f t="shared" si="5"/>
        <v>GBHM_4-24_SIA</v>
      </c>
      <c r="E271" s="28"/>
      <c r="F271" s="34"/>
      <c r="G271" s="28"/>
      <c r="H271" s="26"/>
      <c r="I271" s="26"/>
      <c r="J271" s="26"/>
      <c r="K271" s="26"/>
      <c r="L271" s="26"/>
      <c r="M271" s="26"/>
      <c r="N271" s="30"/>
    </row>
    <row r="272" spans="1:17" ht="15" customHeight="1" x14ac:dyDescent="0.35">
      <c r="A272" s="1" t="s">
        <v>21</v>
      </c>
      <c r="B272" s="2" t="s">
        <v>56</v>
      </c>
      <c r="C272" s="1" t="s">
        <v>49</v>
      </c>
      <c r="D272" s="1" t="str">
        <f t="shared" si="5"/>
        <v>OL_11_23_D</v>
      </c>
      <c r="E272" s="10">
        <v>45259</v>
      </c>
      <c r="F272" s="1"/>
    </row>
    <row r="273" spans="1:14" ht="15" customHeight="1" x14ac:dyDescent="0.35">
      <c r="A273" s="26" t="s">
        <v>32</v>
      </c>
      <c r="B273" s="27" t="s">
        <v>62</v>
      </c>
      <c r="C273" s="26" t="s">
        <v>15</v>
      </c>
      <c r="D273" s="26" t="str">
        <f t="shared" si="5"/>
        <v>DCM2_4-24_SIA</v>
      </c>
      <c r="E273" s="28"/>
      <c r="F273" s="34"/>
      <c r="G273" s="28"/>
      <c r="H273" s="26"/>
      <c r="I273" s="26"/>
      <c r="J273" s="26"/>
      <c r="K273" s="26"/>
      <c r="L273" s="26"/>
      <c r="M273" s="26"/>
      <c r="N273" s="30"/>
    </row>
    <row r="274" spans="1:14" ht="15" customHeight="1" x14ac:dyDescent="0.35">
      <c r="A274" s="1" t="s">
        <v>57</v>
      </c>
      <c r="B274" s="2" t="s">
        <v>56</v>
      </c>
      <c r="C274" s="1" t="s">
        <v>49</v>
      </c>
      <c r="D274" s="1" t="str">
        <f t="shared" si="5"/>
        <v>TSH_11_23_D</v>
      </c>
      <c r="E274" s="10">
        <v>45259</v>
      </c>
      <c r="F274" s="1"/>
    </row>
    <row r="275" spans="1:14" ht="15" customHeight="1" x14ac:dyDescent="0.35">
      <c r="A275" s="26" t="s">
        <v>57</v>
      </c>
      <c r="B275" s="27" t="s">
        <v>61</v>
      </c>
      <c r="C275" s="26" t="s">
        <v>15</v>
      </c>
      <c r="D275" s="26" t="str">
        <f t="shared" si="5"/>
        <v>TSH_3-24_SIA</v>
      </c>
      <c r="E275" s="28"/>
      <c r="F275" s="26"/>
      <c r="G275" s="26"/>
      <c r="H275" s="26"/>
      <c r="I275" s="26"/>
      <c r="J275" s="26"/>
      <c r="K275" s="26"/>
      <c r="L275" s="26"/>
      <c r="M275" s="26"/>
      <c r="N275" s="30"/>
    </row>
    <row r="276" spans="1:14" ht="15" customHeight="1" x14ac:dyDescent="0.35">
      <c r="A276" s="1" t="s">
        <v>22</v>
      </c>
      <c r="B276" s="2" t="s">
        <v>56</v>
      </c>
      <c r="C276" s="1" t="s">
        <v>49</v>
      </c>
      <c r="D276" s="1" t="str">
        <f t="shared" si="5"/>
        <v>R127_11_23_D</v>
      </c>
      <c r="E276" s="10">
        <v>45259</v>
      </c>
      <c r="F276" s="1"/>
    </row>
    <row r="277" spans="1:14" ht="15" customHeight="1" x14ac:dyDescent="0.35">
      <c r="A277" s="1" t="s">
        <v>39</v>
      </c>
      <c r="B277" s="2" t="s">
        <v>63</v>
      </c>
      <c r="C277" s="1" t="s">
        <v>15</v>
      </c>
      <c r="D277" s="1" t="str">
        <f t="shared" si="5"/>
        <v>TBCM_8-24_SIA</v>
      </c>
      <c r="E277" s="10">
        <v>45524</v>
      </c>
      <c r="G277" s="1" t="s">
        <v>16</v>
      </c>
    </row>
    <row r="278" spans="1:14" ht="15" customHeight="1" x14ac:dyDescent="0.35">
      <c r="A278" s="1" t="s">
        <v>38</v>
      </c>
      <c r="B278" s="2" t="s">
        <v>60</v>
      </c>
      <c r="C278" s="1" t="s">
        <v>15</v>
      </c>
      <c r="D278" s="1" t="str">
        <f t="shared" si="5"/>
        <v>TBHM_1-24_SIA</v>
      </c>
      <c r="E278" s="10">
        <v>45298</v>
      </c>
      <c r="F278" s="1"/>
      <c r="G278" s="10" t="s">
        <v>16</v>
      </c>
    </row>
    <row r="279" spans="1:14" ht="15" customHeight="1" x14ac:dyDescent="0.35">
      <c r="A279" s="1" t="s">
        <v>38</v>
      </c>
      <c r="B279" s="2" t="s">
        <v>63</v>
      </c>
      <c r="C279" s="1" t="s">
        <v>15</v>
      </c>
      <c r="D279" s="1" t="str">
        <f t="shared" si="5"/>
        <v>TBHM_8-24_SIA</v>
      </c>
      <c r="E279" s="10">
        <v>45524</v>
      </c>
      <c r="G279" s="1" t="s">
        <v>16</v>
      </c>
    </row>
    <row r="280" spans="1:14" ht="15" customHeight="1" x14ac:dyDescent="0.35">
      <c r="A280" s="1" t="s">
        <v>53</v>
      </c>
      <c r="B280" s="2" t="s">
        <v>60</v>
      </c>
      <c r="C280" s="1" t="s">
        <v>15</v>
      </c>
      <c r="D280" s="1" t="str">
        <f t="shared" si="5"/>
        <v>TKB_1-24_SIA</v>
      </c>
      <c r="E280" s="10">
        <v>45297</v>
      </c>
      <c r="F280" s="1"/>
      <c r="G280" s="10" t="s">
        <v>16</v>
      </c>
    </row>
    <row r="281" spans="1:14" ht="15" customHeight="1" x14ac:dyDescent="0.35">
      <c r="A281" s="1" t="s">
        <v>53</v>
      </c>
      <c r="B281" s="2" t="s">
        <v>63</v>
      </c>
      <c r="C281" s="1" t="s">
        <v>15</v>
      </c>
      <c r="D281" s="1" t="str">
        <f t="shared" si="5"/>
        <v>TKB_8-24_SIA</v>
      </c>
      <c r="E281" s="10">
        <v>45524</v>
      </c>
      <c r="G281" s="1" t="s">
        <v>59</v>
      </c>
    </row>
    <row r="282" spans="1:14" ht="15" customHeight="1" x14ac:dyDescent="0.35">
      <c r="A282" s="1" t="s">
        <v>57</v>
      </c>
      <c r="B282" s="2" t="s">
        <v>56</v>
      </c>
      <c r="C282" s="1" t="s">
        <v>15</v>
      </c>
      <c r="D282" s="1" t="str">
        <f t="shared" si="5"/>
        <v>TSH_11_23_SIA</v>
      </c>
      <c r="E282" s="10">
        <v>45259</v>
      </c>
      <c r="F282" s="1"/>
      <c r="G282" s="1" t="s">
        <v>59</v>
      </c>
    </row>
    <row r="283" spans="1:14" ht="15" customHeight="1" x14ac:dyDescent="0.35">
      <c r="A283" s="1" t="s">
        <v>57</v>
      </c>
      <c r="B283" s="2" t="s">
        <v>58</v>
      </c>
      <c r="C283" s="1" t="s">
        <v>15</v>
      </c>
      <c r="D283" s="1" t="str">
        <f t="shared" si="5"/>
        <v>TSH_7-24_SIA</v>
      </c>
      <c r="E283" s="10">
        <v>45476</v>
      </c>
      <c r="F283" s="1"/>
      <c r="G283" s="10" t="s">
        <v>59</v>
      </c>
    </row>
    <row r="284" spans="1:14" ht="15" customHeight="1" x14ac:dyDescent="0.35">
      <c r="A284" s="1" t="s">
        <v>44</v>
      </c>
      <c r="B284" s="2" t="s">
        <v>60</v>
      </c>
      <c r="C284" s="1" t="s">
        <v>15</v>
      </c>
      <c r="D284" s="1" t="str">
        <f t="shared" si="5"/>
        <v>TSM1_1-24_SIA</v>
      </c>
      <c r="E284" s="10">
        <v>45324</v>
      </c>
      <c r="F284" s="1"/>
      <c r="G284" s="10" t="s">
        <v>16</v>
      </c>
    </row>
    <row r="285" spans="1:14" ht="15" customHeight="1" x14ac:dyDescent="0.35">
      <c r="A285" s="1" t="s">
        <v>44</v>
      </c>
      <c r="B285" s="2" t="s">
        <v>63</v>
      </c>
      <c r="C285" s="1" t="s">
        <v>15</v>
      </c>
      <c r="D285" s="1" t="str">
        <f t="shared" si="5"/>
        <v>TSM1_8-24_SIA</v>
      </c>
      <c r="E285" s="10">
        <v>45524</v>
      </c>
      <c r="G285" s="1" t="s">
        <v>16</v>
      </c>
    </row>
    <row r="286" spans="1:14" ht="15" customHeight="1" x14ac:dyDescent="0.35">
      <c r="A286" s="1" t="s">
        <v>45</v>
      </c>
      <c r="B286" s="2" t="s">
        <v>60</v>
      </c>
      <c r="C286" s="1" t="s">
        <v>15</v>
      </c>
      <c r="D286" s="1" t="str">
        <f t="shared" si="5"/>
        <v>TSM3_1-24_SIA</v>
      </c>
      <c r="E286" s="10">
        <v>45324</v>
      </c>
      <c r="F286" s="1"/>
      <c r="G286" s="10" t="s">
        <v>16</v>
      </c>
    </row>
    <row r="287" spans="1:14" ht="15" customHeight="1" x14ac:dyDescent="0.35">
      <c r="A287" s="1" t="s">
        <v>45</v>
      </c>
      <c r="B287" s="2" t="s">
        <v>63</v>
      </c>
      <c r="C287" s="1" t="s">
        <v>15</v>
      </c>
      <c r="D287" s="1" t="str">
        <f t="shared" si="5"/>
        <v>TSM3_8-24_SIA</v>
      </c>
      <c r="E287" s="10">
        <v>45524</v>
      </c>
      <c r="G287" s="1" t="s">
        <v>16</v>
      </c>
    </row>
    <row r="288" spans="1:14" ht="15" customHeight="1" x14ac:dyDescent="0.35">
      <c r="A288" s="1" t="s">
        <v>46</v>
      </c>
      <c r="B288" s="2" t="s">
        <v>60</v>
      </c>
      <c r="C288" s="1" t="s">
        <v>15</v>
      </c>
      <c r="D288" s="1" t="str">
        <f t="shared" si="5"/>
        <v>TSM4_1-24_SIA</v>
      </c>
      <c r="E288" s="10">
        <v>45324</v>
      </c>
      <c r="F288" s="1"/>
      <c r="G288" s="1" t="s">
        <v>59</v>
      </c>
    </row>
    <row r="289" spans="1:7" ht="15" customHeight="1" x14ac:dyDescent="0.35">
      <c r="A289" s="1" t="s">
        <v>46</v>
      </c>
      <c r="B289" s="2" t="s">
        <v>63</v>
      </c>
      <c r="C289" s="1" t="s">
        <v>15</v>
      </c>
      <c r="D289" s="1" t="str">
        <f t="shared" si="5"/>
        <v>TSM4_8-24_SIA</v>
      </c>
      <c r="E289" s="10">
        <v>45524</v>
      </c>
      <c r="G289" s="1" t="s">
        <v>16</v>
      </c>
    </row>
    <row r="290" spans="1:7" ht="15" customHeight="1" x14ac:dyDescent="0.35">
      <c r="A290" s="1" t="s">
        <v>51</v>
      </c>
      <c r="B290" s="2" t="s">
        <v>60</v>
      </c>
      <c r="C290" s="1" t="s">
        <v>15</v>
      </c>
      <c r="D290" s="1" t="str">
        <f t="shared" si="5"/>
        <v>WB1_1-24_SIA</v>
      </c>
      <c r="E290" s="10">
        <v>45298</v>
      </c>
      <c r="F290" s="1"/>
      <c r="G290" s="10" t="s">
        <v>16</v>
      </c>
    </row>
    <row r="291" spans="1:7" ht="15" customHeight="1" x14ac:dyDescent="0.35">
      <c r="A291" s="1" t="s">
        <v>51</v>
      </c>
      <c r="B291" s="2" t="s">
        <v>63</v>
      </c>
      <c r="C291" s="1" t="s">
        <v>15</v>
      </c>
      <c r="D291" s="1" t="str">
        <f t="shared" si="5"/>
        <v>WB1_8-24_SIA</v>
      </c>
      <c r="E291" s="10">
        <v>45524</v>
      </c>
      <c r="G291" s="1" t="s">
        <v>59</v>
      </c>
    </row>
    <row r="292" spans="1:7" ht="15" customHeight="1" x14ac:dyDescent="0.35">
      <c r="A292" s="1" t="s">
        <v>52</v>
      </c>
      <c r="B292" s="2" t="s">
        <v>60</v>
      </c>
      <c r="C292" s="1" t="s">
        <v>15</v>
      </c>
      <c r="D292" s="1" t="str">
        <f t="shared" si="5"/>
        <v>WB2_1-24_SIA</v>
      </c>
      <c r="E292" s="10">
        <v>45298</v>
      </c>
      <c r="F292" s="1"/>
      <c r="G292" s="10" t="s">
        <v>16</v>
      </c>
    </row>
    <row r="293" spans="1:7" ht="15" customHeight="1" x14ac:dyDescent="0.35">
      <c r="A293" s="1" t="s">
        <v>52</v>
      </c>
      <c r="B293" s="2" t="s">
        <v>63</v>
      </c>
      <c r="C293" s="1" t="s">
        <v>15</v>
      </c>
      <c r="D293" s="1" t="str">
        <f t="shared" si="5"/>
        <v>WB2_8-24_SIA</v>
      </c>
      <c r="E293" s="10">
        <v>45524</v>
      </c>
      <c r="G293" s="1" t="s">
        <v>59</v>
      </c>
    </row>
  </sheetData>
  <autoFilter ref="A1:N293" xr:uid="{225B4553-578E-4364-BFA7-0BDCDC3FCDBA}"/>
  <sortState xmlns:xlrd2="http://schemas.microsoft.com/office/spreadsheetml/2017/richdata2" ref="A2:Q295">
    <sortCondition ref="I1:I295"/>
  </sortState>
  <phoneticPr fontId="1" type="noConversion"/>
  <conditionalFormatting sqref="G1:G1048576 F108">
    <cfRule type="containsText" dxfId="17" priority="7" operator="containsText" text="Y">
      <formula>NOT(ISERROR(SEARCH("Y",F1)))</formula>
    </cfRule>
    <cfRule type="containsText" dxfId="16" priority="8" operator="containsText" text="N">
      <formula>NOT(ISERROR(SEARCH("N",F1)))</formula>
    </cfRule>
  </conditionalFormatting>
  <conditionalFormatting sqref="I1:J1048576">
    <cfRule type="cellIs" dxfId="15" priority="14" operator="equal">
      <formula>"Y"</formula>
    </cfRule>
  </conditionalFormatting>
  <conditionalFormatting sqref="K1:K1048576">
    <cfRule type="containsText" dxfId="14" priority="11" operator="containsText" text="C,N,S">
      <formula>NOT(ISERROR(SEARCH("C,N,S",K1)))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F88A-7E1C-482E-B889-48BF518675FC}">
  <dimension ref="A1:KS188"/>
  <sheetViews>
    <sheetView zoomScale="85" zoomScaleNormal="85" workbookViewId="0">
      <pane xSplit="2" topLeftCell="C1" activePane="topRight" state="frozen"/>
      <selection pane="topRight" activeCell="B10" sqref="B10"/>
    </sheetView>
  </sheetViews>
  <sheetFormatPr defaultRowHeight="15" customHeight="1" x14ac:dyDescent="0.35"/>
  <cols>
    <col min="1" max="1" width="14.1796875" style="67" customWidth="1"/>
    <col min="2" max="2" width="16.81640625" style="68" customWidth="1"/>
    <col min="3" max="7" width="15" style="67" customWidth="1"/>
    <col min="8" max="8" width="17.1796875" style="67" customWidth="1"/>
    <col min="9" max="9" width="18.54296875" style="67" customWidth="1"/>
    <col min="10" max="10" width="18.81640625" style="67" customWidth="1"/>
    <col min="11" max="12" width="20.7265625" style="67" customWidth="1"/>
    <col min="13" max="13" width="26.1796875" style="67" customWidth="1"/>
    <col min="14" max="14" width="1.1796875" style="69" customWidth="1"/>
    <col min="15" max="15" width="21.7265625" style="70" customWidth="1"/>
    <col min="16" max="16" width="22.453125" style="71" customWidth="1"/>
    <col min="17" max="17" width="1.1796875" style="71" customWidth="1"/>
    <col min="18" max="18" width="21.26953125" style="70" customWidth="1"/>
    <col min="19" max="19" width="19.1796875" style="71" customWidth="1"/>
    <col min="20" max="20" width="1.54296875" style="71" customWidth="1"/>
    <col min="21" max="21" width="24" style="70" customWidth="1"/>
    <col min="22" max="22" width="22.1796875" style="71" customWidth="1"/>
    <col min="23" max="23" width="10.81640625" style="71" customWidth="1"/>
    <col min="24" max="24" width="25.1796875" style="71" customWidth="1"/>
    <col min="25" max="25" width="17.1796875" style="71" customWidth="1"/>
    <col min="26" max="28" width="17.453125" style="71" customWidth="1"/>
    <col min="29" max="31" width="21.81640625" style="71" customWidth="1"/>
    <col min="32" max="32" width="27.453125" style="71" customWidth="1"/>
    <col min="33" max="33" width="28.453125" style="71" customWidth="1"/>
    <col min="34" max="34" width="21.54296875" style="71" customWidth="1"/>
    <col min="35" max="35" width="21.81640625" style="71" customWidth="1"/>
    <col min="36" max="36" width="27.1796875" style="71" customWidth="1"/>
    <col min="37" max="37" width="4.54296875" style="67" customWidth="1"/>
    <col min="38" max="39" width="17.1796875" style="67" customWidth="1"/>
    <col min="40" max="40" width="17.81640625" style="67" customWidth="1"/>
    <col min="41" max="42" width="17.81640625" style="70" customWidth="1"/>
    <col min="43" max="43" width="21.54296875" style="71" customWidth="1"/>
    <col min="44" max="44" width="22" style="67" customWidth="1"/>
    <col min="45" max="45" width="22" style="70" customWidth="1"/>
    <col min="46" max="46" width="3.453125" style="67" customWidth="1"/>
    <col min="47" max="48" width="17.1796875" style="70" customWidth="1"/>
    <col min="49" max="51" width="17.453125" style="70" customWidth="1"/>
    <col min="52" max="52" width="23.26953125" style="71" customWidth="1"/>
    <col min="53" max="53" width="17.54296875" style="70" customWidth="1"/>
    <col min="54" max="54" width="21.1796875" style="70" customWidth="1"/>
    <col min="55" max="55" width="3.7265625" style="67" customWidth="1"/>
    <col min="56" max="56" width="17.54296875" style="67" customWidth="1"/>
    <col min="62" max="62" width="14.54296875" customWidth="1"/>
  </cols>
  <sheetData>
    <row r="1" spans="1:68" s="45" customFormat="1" ht="63" customHeight="1" thickBot="1" x14ac:dyDescent="0.4">
      <c r="A1" s="80" t="s">
        <v>0</v>
      </c>
      <c r="B1" s="81" t="s">
        <v>1</v>
      </c>
      <c r="C1" s="80" t="s">
        <v>3</v>
      </c>
      <c r="D1" s="80" t="s">
        <v>4</v>
      </c>
      <c r="E1" s="80" t="s">
        <v>64</v>
      </c>
      <c r="F1" s="80" t="s">
        <v>65</v>
      </c>
      <c r="G1" s="80" t="s">
        <v>9</v>
      </c>
      <c r="H1" s="80" t="s">
        <v>66</v>
      </c>
      <c r="I1" s="80" t="s">
        <v>67</v>
      </c>
      <c r="J1" s="82" t="s">
        <v>68</v>
      </c>
      <c r="K1" s="80" t="s">
        <v>69</v>
      </c>
      <c r="L1" s="80" t="s">
        <v>70</v>
      </c>
      <c r="M1" s="80" t="s">
        <v>71</v>
      </c>
      <c r="N1" s="83"/>
      <c r="O1" s="84" t="s">
        <v>72</v>
      </c>
      <c r="P1" s="85" t="s">
        <v>73</v>
      </c>
      <c r="Q1" s="85"/>
      <c r="R1" s="84" t="s">
        <v>74</v>
      </c>
      <c r="S1" s="85" t="s">
        <v>75</v>
      </c>
      <c r="T1" s="85"/>
      <c r="U1" s="84" t="s">
        <v>76</v>
      </c>
      <c r="V1" s="85" t="s">
        <v>77</v>
      </c>
      <c r="W1" s="85"/>
      <c r="X1" s="85" t="s">
        <v>78</v>
      </c>
      <c r="Y1" s="85" t="s">
        <v>79</v>
      </c>
      <c r="Z1" s="85" t="s">
        <v>80</v>
      </c>
      <c r="AA1" s="85" t="s">
        <v>81</v>
      </c>
      <c r="AB1" s="85" t="s">
        <v>82</v>
      </c>
      <c r="AC1" s="85" t="s">
        <v>83</v>
      </c>
      <c r="AD1" s="85" t="s">
        <v>84</v>
      </c>
      <c r="AE1" s="86" t="s">
        <v>85</v>
      </c>
      <c r="AF1" s="85" t="s">
        <v>86</v>
      </c>
      <c r="AG1" s="85" t="s">
        <v>87</v>
      </c>
      <c r="AH1" s="86" t="s">
        <v>88</v>
      </c>
      <c r="AI1" s="85" t="s">
        <v>89</v>
      </c>
      <c r="AJ1" s="85" t="s">
        <v>90</v>
      </c>
      <c r="AK1" s="80"/>
      <c r="AL1" s="80" t="s">
        <v>91</v>
      </c>
      <c r="AM1" s="80" t="s">
        <v>92</v>
      </c>
      <c r="AN1" s="80" t="s">
        <v>93</v>
      </c>
      <c r="AO1" s="84" t="s">
        <v>94</v>
      </c>
      <c r="AP1" s="84" t="s">
        <v>95</v>
      </c>
      <c r="AQ1" s="85" t="s">
        <v>96</v>
      </c>
      <c r="AR1" s="80" t="s">
        <v>97</v>
      </c>
      <c r="AS1" s="84" t="s">
        <v>98</v>
      </c>
      <c r="AT1" s="80"/>
      <c r="AU1" s="84" t="s">
        <v>99</v>
      </c>
      <c r="AV1" s="84" t="s">
        <v>100</v>
      </c>
      <c r="AW1" s="84" t="s">
        <v>101</v>
      </c>
      <c r="AX1" s="84" t="s">
        <v>102</v>
      </c>
      <c r="AY1" s="84" t="s">
        <v>103</v>
      </c>
      <c r="AZ1" s="85" t="s">
        <v>104</v>
      </c>
      <c r="BA1" s="87" t="s">
        <v>105</v>
      </c>
      <c r="BB1" s="84" t="s">
        <v>106</v>
      </c>
      <c r="BC1" s="80"/>
      <c r="BD1" s="80" t="s">
        <v>11</v>
      </c>
      <c r="BE1" s="59" t="s">
        <v>290</v>
      </c>
      <c r="BF1" s="59" t="s">
        <v>291</v>
      </c>
      <c r="BG1" s="59" t="s">
        <v>292</v>
      </c>
      <c r="BH1" s="59" t="s">
        <v>293</v>
      </c>
      <c r="BI1" s="59" t="s">
        <v>248</v>
      </c>
      <c r="BJ1" s="59" t="s">
        <v>249</v>
      </c>
      <c r="BK1" s="59" t="s">
        <v>260</v>
      </c>
      <c r="BL1" s="59" t="s">
        <v>261</v>
      </c>
      <c r="BM1" s="59" t="s">
        <v>262</v>
      </c>
      <c r="BN1" s="59" t="s">
        <v>263</v>
      </c>
      <c r="BO1" s="59" t="s">
        <v>248</v>
      </c>
      <c r="BP1" s="59" t="s">
        <v>249</v>
      </c>
    </row>
    <row r="2" spans="1:68" ht="14.5" x14ac:dyDescent="0.35">
      <c r="A2" s="67" t="s">
        <v>23</v>
      </c>
      <c r="B2" s="68" t="s">
        <v>109</v>
      </c>
      <c r="C2" s="67" t="str">
        <f t="shared" ref="C2:C33" si="0">A2&amp;"_"&amp;B2&amp;"_G"</f>
        <v>ACS1_1123E_G</v>
      </c>
      <c r="D2" s="73">
        <v>45258</v>
      </c>
      <c r="E2" s="73" t="s">
        <v>108</v>
      </c>
      <c r="F2" s="73">
        <v>45258</v>
      </c>
      <c r="H2" s="67" t="str">
        <f t="shared" ref="H2:H33" si="1">IF(OR(AI2&lt;&gt;"", AR2&lt;&gt;"", BA2&lt;&gt;""),
    IF(AI2&lt;&gt;"", "C", "") &amp;
    IF(BA2&lt;&gt;"", IF(AI2&lt;&gt;"", ",N", "N"), "") &amp;
    IF(BA2&lt;&gt;"", IF(OR(AI2&lt;&gt;"", AR2&lt;&gt;""), ",S", "S"), ""),
"")</f>
        <v>C,N,S</v>
      </c>
      <c r="I2" s="67">
        <v>134.80000000000001</v>
      </c>
      <c r="K2" s="67">
        <v>152.80000000000001</v>
      </c>
      <c r="L2" s="67">
        <f t="shared" ref="L2:L21" si="2">K2-I2</f>
        <v>18</v>
      </c>
      <c r="M2" s="67">
        <f t="shared" ref="M2:M33" si="3">Y2+AM2+AV2</f>
        <v>123</v>
      </c>
      <c r="O2" s="67">
        <f t="shared" ref="O2:O30" si="4">(Y2/M2)*100</f>
        <v>24.308943089430894</v>
      </c>
      <c r="P2" s="67">
        <f t="shared" ref="P2:P30" si="5">((O2/M2)*L2)</f>
        <v>3.5574063057703746</v>
      </c>
      <c r="Q2" s="67"/>
      <c r="R2" s="67">
        <f t="shared" ref="R2:R30" si="6">(AM2/M2)*100</f>
        <v>26.829268292682929</v>
      </c>
      <c r="S2" s="67">
        <f t="shared" ref="S2:S30" si="7">((R2/M2)*L2)</f>
        <v>3.9262343842950624</v>
      </c>
      <c r="T2" s="67"/>
      <c r="U2" s="67">
        <f t="shared" ref="U2:U30" si="8">(AV2/M2)*100</f>
        <v>48.861788617886184</v>
      </c>
      <c r="V2" s="67">
        <f t="shared" ref="V2:V30" si="9">((U2/M2)*L2)</f>
        <v>7.1505056513979781</v>
      </c>
      <c r="W2" s="67"/>
      <c r="X2" s="71">
        <v>42.9</v>
      </c>
      <c r="Y2" s="71">
        <v>29.9</v>
      </c>
      <c r="Z2" s="71">
        <f t="shared" ref="Z2:Z30" si="10">X2-Y2</f>
        <v>13</v>
      </c>
      <c r="AA2" s="71">
        <f t="shared" ref="AA2:AA30" si="11">P2</f>
        <v>3.5574063057703746</v>
      </c>
      <c r="AB2" s="71">
        <f t="shared" ref="AB2:AB30" si="12">Y2-AA2</f>
        <v>26.342593694229624</v>
      </c>
      <c r="AC2" s="71">
        <f t="shared" ref="AC2:AC30" si="13">AA2/AB2</f>
        <v>0.13504388926401081</v>
      </c>
      <c r="AD2" s="71">
        <v>20.5</v>
      </c>
      <c r="AE2" s="71">
        <f t="shared" ref="AE2:AE10" si="14">AD2*AC2</f>
        <v>2.7683997299122218</v>
      </c>
      <c r="AF2" s="71">
        <f t="shared" ref="AF2:AF10" si="15">AD2-AE2</f>
        <v>17.731600270087778</v>
      </c>
      <c r="AG2" s="71">
        <v>22.3</v>
      </c>
      <c r="AH2" s="71">
        <f t="shared" ref="AH2:AH30" si="16">AC2</f>
        <v>0.13504388926401081</v>
      </c>
      <c r="AI2" s="71">
        <v>3.1</v>
      </c>
      <c r="AJ2" s="71">
        <f t="shared" ref="AJ2:AJ30" si="17">AI2*AH2</f>
        <v>0.41863605671843351</v>
      </c>
      <c r="AL2" s="67">
        <v>39.1</v>
      </c>
      <c r="AM2" s="67">
        <v>33</v>
      </c>
      <c r="AN2" s="67">
        <f t="shared" ref="AN2:AN30" si="18">AL2-AM2</f>
        <v>6.1000000000000014</v>
      </c>
      <c r="AO2" s="70">
        <f t="shared" ref="AO2:AO30" si="19">S2</f>
        <v>3.9262343842950624</v>
      </c>
      <c r="AP2" s="70">
        <f t="shared" ref="AP2:AP30" si="20">AM2-AO2</f>
        <v>29.073765615704936</v>
      </c>
      <c r="AQ2" s="71">
        <f t="shared" ref="AQ2:AQ30" si="21">AO2/AP2</f>
        <v>0.13504388926401081</v>
      </c>
      <c r="AR2" s="67">
        <v>4.7</v>
      </c>
      <c r="AS2" s="70">
        <f t="shared" ref="AS2:AS30" si="22">AR2*AQ2</f>
        <v>0.63470627954085079</v>
      </c>
      <c r="AU2" s="70">
        <v>80.5</v>
      </c>
      <c r="AV2" s="70">
        <v>60.1</v>
      </c>
      <c r="AW2" s="70">
        <f t="shared" ref="AW2:AW30" si="23">AU2-AV2</f>
        <v>20.399999999999999</v>
      </c>
      <c r="AX2" s="70">
        <f t="shared" ref="AX2:AX30" si="24">V2</f>
        <v>7.1505056513979781</v>
      </c>
      <c r="AY2" s="70">
        <f t="shared" ref="AY2:AY30" si="25">AV2-AX2</f>
        <v>52.949494348602023</v>
      </c>
      <c r="AZ2" s="71">
        <f t="shared" ref="AZ2:AZ30" si="26">AX2/AY2</f>
        <v>0.13504388926401081</v>
      </c>
      <c r="BA2" s="70">
        <v>18.5</v>
      </c>
      <c r="BB2" s="70">
        <f t="shared" ref="BB2:BB30" si="27">BA2*AZ2</f>
        <v>2.4983119513842</v>
      </c>
      <c r="BD2" s="67" t="s">
        <v>16</v>
      </c>
      <c r="BE2" s="64">
        <v>-26.586612377626658</v>
      </c>
      <c r="BF2" s="64">
        <v>0.13626444798377738</v>
      </c>
      <c r="BG2" s="64">
        <v>16.377378856351964</v>
      </c>
      <c r="BH2" s="66">
        <v>0.12270861196574745</v>
      </c>
      <c r="BI2" s="62">
        <v>1</v>
      </c>
      <c r="BJ2" s="64">
        <v>6.8987465541236581</v>
      </c>
      <c r="BK2" s="65">
        <v>0.25974949480041948</v>
      </c>
      <c r="BL2" s="61">
        <v>1.722920558906762</v>
      </c>
      <c r="BM2" s="66">
        <v>8.8440445492354164E-3</v>
      </c>
      <c r="BN2" s="62">
        <v>1.7</v>
      </c>
      <c r="BO2" s="63" t="s">
        <v>299</v>
      </c>
    </row>
    <row r="3" spans="1:68" ht="14.5" x14ac:dyDescent="0.35">
      <c r="A3" s="75" t="s">
        <v>23</v>
      </c>
      <c r="B3" s="76" t="s">
        <v>110</v>
      </c>
      <c r="C3" s="75" t="str">
        <f t="shared" si="0"/>
        <v>ACS1_11-24_G</v>
      </c>
      <c r="D3" s="77">
        <v>45606</v>
      </c>
      <c r="E3" s="67" t="s">
        <v>16</v>
      </c>
      <c r="F3" s="77"/>
      <c r="G3" s="75"/>
      <c r="H3" s="67" t="str">
        <f t="shared" si="1"/>
        <v>C,N,S</v>
      </c>
      <c r="I3" s="75">
        <v>134.6</v>
      </c>
      <c r="J3" s="75"/>
      <c r="K3" s="75">
        <v>145.19999999999999</v>
      </c>
      <c r="L3" s="75">
        <f t="shared" si="2"/>
        <v>10.599999999999994</v>
      </c>
      <c r="M3" s="75">
        <f t="shared" si="3"/>
        <v>109.5</v>
      </c>
      <c r="O3" s="67">
        <f t="shared" si="4"/>
        <v>27.853881278538811</v>
      </c>
      <c r="P3" s="67">
        <f t="shared" si="5"/>
        <v>2.6963574571005595</v>
      </c>
      <c r="Q3" s="67"/>
      <c r="R3" s="67">
        <f t="shared" si="6"/>
        <v>28.767123287671232</v>
      </c>
      <c r="S3" s="67">
        <f t="shared" si="7"/>
        <v>2.784762619628447</v>
      </c>
      <c r="T3" s="67"/>
      <c r="U3" s="67">
        <f t="shared" si="8"/>
        <v>43.378995433789953</v>
      </c>
      <c r="V3" s="67">
        <f t="shared" si="9"/>
        <v>4.1992452200746415</v>
      </c>
      <c r="W3" s="67"/>
      <c r="X3" s="71">
        <v>41.1</v>
      </c>
      <c r="Y3" s="71">
        <v>30.5</v>
      </c>
      <c r="Z3" s="71">
        <f t="shared" si="10"/>
        <v>10.600000000000001</v>
      </c>
      <c r="AA3" s="71">
        <f t="shared" si="11"/>
        <v>2.6963574571005595</v>
      </c>
      <c r="AB3" s="71">
        <f t="shared" si="12"/>
        <v>27.803642542899439</v>
      </c>
      <c r="AC3" s="71">
        <f t="shared" si="13"/>
        <v>9.697856865122019E-2</v>
      </c>
      <c r="AD3" s="71">
        <v>15</v>
      </c>
      <c r="AE3" s="71">
        <f t="shared" si="14"/>
        <v>1.4546785297683029</v>
      </c>
      <c r="AF3" s="71">
        <f t="shared" si="15"/>
        <v>13.545321470231697</v>
      </c>
      <c r="AG3" s="71">
        <v>14.9</v>
      </c>
      <c r="AH3" s="71">
        <f t="shared" si="16"/>
        <v>9.697856865122019E-2</v>
      </c>
      <c r="AI3" s="71">
        <v>3.2</v>
      </c>
      <c r="AJ3" s="71">
        <f t="shared" si="17"/>
        <v>0.31033141968390465</v>
      </c>
      <c r="AL3" s="67">
        <v>39.799999999999997</v>
      </c>
      <c r="AM3" s="67">
        <v>31.5</v>
      </c>
      <c r="AN3" s="67">
        <f t="shared" si="18"/>
        <v>8.2999999999999972</v>
      </c>
      <c r="AO3" s="70">
        <f t="shared" si="19"/>
        <v>2.784762619628447</v>
      </c>
      <c r="AP3" s="70">
        <f t="shared" si="20"/>
        <v>28.715237380371555</v>
      </c>
      <c r="AQ3" s="71">
        <f t="shared" si="21"/>
        <v>9.697856865122019E-2</v>
      </c>
      <c r="AR3" s="67">
        <v>6.7</v>
      </c>
      <c r="AS3" s="70">
        <f t="shared" si="22"/>
        <v>0.6497564099631753</v>
      </c>
      <c r="AU3" s="70">
        <v>74</v>
      </c>
      <c r="AV3" s="70">
        <v>47.5</v>
      </c>
      <c r="AW3" s="70">
        <f t="shared" si="23"/>
        <v>26.5</v>
      </c>
      <c r="AX3" s="70">
        <f t="shared" si="24"/>
        <v>4.1992452200746415</v>
      </c>
      <c r="AY3" s="70">
        <f t="shared" si="25"/>
        <v>43.300754779925356</v>
      </c>
      <c r="AZ3" s="71">
        <f t="shared" si="26"/>
        <v>9.6978568651220176E-2</v>
      </c>
      <c r="BA3" s="70">
        <v>17.100000000000001</v>
      </c>
      <c r="BB3" s="70">
        <f t="shared" si="27"/>
        <v>1.6583335239358652</v>
      </c>
      <c r="BD3" s="67" t="s">
        <v>16</v>
      </c>
      <c r="BE3" s="64">
        <v>-30.044732022693523</v>
      </c>
      <c r="BF3" s="64">
        <v>0.13704893430895557</v>
      </c>
      <c r="BG3" s="64">
        <v>7.9043259137148434</v>
      </c>
      <c r="BH3" s="66">
        <v>0.17406373974817005</v>
      </c>
      <c r="BI3" s="62">
        <v>0.9</v>
      </c>
      <c r="BJ3" s="63" t="s">
        <v>299</v>
      </c>
      <c r="BK3" s="64">
        <v>-1.1529927157385205</v>
      </c>
      <c r="BL3" s="65">
        <v>0.31936516779295587</v>
      </c>
      <c r="BM3" s="61">
        <v>1.0278304737133319</v>
      </c>
      <c r="BN3" s="66">
        <v>6.0783665768885754E-2</v>
      </c>
      <c r="BO3" s="62">
        <v>1.6</v>
      </c>
      <c r="BP3" s="63" t="s">
        <v>299</v>
      </c>
    </row>
    <row r="4" spans="1:68" ht="14.5" x14ac:dyDescent="0.35">
      <c r="A4" s="67" t="s">
        <v>23</v>
      </c>
      <c r="B4" s="68" t="s">
        <v>60</v>
      </c>
      <c r="C4" s="67" t="str">
        <f t="shared" si="0"/>
        <v>ACS1_1-24_G</v>
      </c>
      <c r="D4" s="73">
        <v>45302</v>
      </c>
      <c r="E4" s="73" t="s">
        <v>108</v>
      </c>
      <c r="F4" s="73">
        <v>45545</v>
      </c>
      <c r="H4" s="67" t="str">
        <f t="shared" si="1"/>
        <v>C,N,S</v>
      </c>
      <c r="I4" s="67">
        <v>133.9</v>
      </c>
      <c r="K4" s="67">
        <v>161.1</v>
      </c>
      <c r="L4" s="67">
        <f t="shared" si="2"/>
        <v>27.199999999999989</v>
      </c>
      <c r="M4" s="67">
        <f t="shared" si="3"/>
        <v>112.4</v>
      </c>
      <c r="O4" s="67">
        <f t="shared" si="4"/>
        <v>24.110320284697508</v>
      </c>
      <c r="P4" s="67">
        <f t="shared" si="5"/>
        <v>5.8345259051936997</v>
      </c>
      <c r="Q4" s="67"/>
      <c r="R4" s="67">
        <f t="shared" si="6"/>
        <v>26.512455516014231</v>
      </c>
      <c r="S4" s="67">
        <f t="shared" si="7"/>
        <v>6.415825534124437</v>
      </c>
      <c r="T4" s="67"/>
      <c r="U4" s="67">
        <f t="shared" si="8"/>
        <v>49.377224199288257</v>
      </c>
      <c r="V4" s="67">
        <f t="shared" si="9"/>
        <v>11.948936816909608</v>
      </c>
      <c r="W4" s="67"/>
      <c r="X4" s="71">
        <v>38.5</v>
      </c>
      <c r="Y4" s="71">
        <v>27.1</v>
      </c>
      <c r="Z4" s="71">
        <f t="shared" si="10"/>
        <v>11.399999999999999</v>
      </c>
      <c r="AA4" s="71">
        <f t="shared" si="11"/>
        <v>5.8345259051936997</v>
      </c>
      <c r="AB4" s="71">
        <f t="shared" si="12"/>
        <v>21.265474094806301</v>
      </c>
      <c r="AC4" s="71">
        <f t="shared" si="13"/>
        <v>0.2743661335356109</v>
      </c>
      <c r="AD4" s="71">
        <v>17.100000000000001</v>
      </c>
      <c r="AE4" s="71">
        <f t="shared" si="14"/>
        <v>4.6916608834589466</v>
      </c>
      <c r="AF4" s="71">
        <f t="shared" si="15"/>
        <v>12.408339116541054</v>
      </c>
      <c r="AG4" s="71">
        <v>20.7</v>
      </c>
      <c r="AH4" s="71">
        <f t="shared" si="16"/>
        <v>0.2743661335356109</v>
      </c>
      <c r="AI4" s="71">
        <v>4.3</v>
      </c>
      <c r="AJ4" s="71">
        <f t="shared" si="17"/>
        <v>1.1797743742031268</v>
      </c>
      <c r="AL4" s="67">
        <v>38.4</v>
      </c>
      <c r="AM4" s="67">
        <v>29.8</v>
      </c>
      <c r="AN4" s="67">
        <f t="shared" si="18"/>
        <v>8.5999999999999979</v>
      </c>
      <c r="AO4" s="70">
        <f t="shared" si="19"/>
        <v>6.415825534124437</v>
      </c>
      <c r="AP4" s="70">
        <f t="shared" si="20"/>
        <v>23.384174465875564</v>
      </c>
      <c r="AQ4" s="71">
        <f t="shared" si="21"/>
        <v>0.2743661335356109</v>
      </c>
      <c r="AR4" s="67">
        <v>7.9</v>
      </c>
      <c r="AS4" s="70">
        <f t="shared" si="22"/>
        <v>2.1674924549313261</v>
      </c>
      <c r="AU4" s="70">
        <v>72.2</v>
      </c>
      <c r="AV4" s="70">
        <v>55.5</v>
      </c>
      <c r="AW4" s="70">
        <f t="shared" si="23"/>
        <v>16.700000000000003</v>
      </c>
      <c r="AX4" s="70">
        <f t="shared" si="24"/>
        <v>11.948936816909608</v>
      </c>
      <c r="AY4" s="70">
        <f t="shared" si="25"/>
        <v>43.551063183090392</v>
      </c>
      <c r="AZ4" s="71">
        <f t="shared" si="26"/>
        <v>0.27436613353561096</v>
      </c>
      <c r="BA4" s="70">
        <v>26.4</v>
      </c>
      <c r="BB4" s="70">
        <f t="shared" si="27"/>
        <v>7.243265925340129</v>
      </c>
      <c r="BD4" s="67" t="s">
        <v>16</v>
      </c>
      <c r="BE4" s="64">
        <v>-23.33154634747342</v>
      </c>
      <c r="BF4" s="64">
        <v>0.13578804039198672</v>
      </c>
      <c r="BG4" s="64">
        <v>14.532656487360725</v>
      </c>
      <c r="BH4" s="66">
        <v>0.12759981644518739</v>
      </c>
      <c r="BI4" s="62">
        <v>1</v>
      </c>
      <c r="BJ4" s="63" t="s">
        <v>299</v>
      </c>
      <c r="BK4" s="64">
        <v>5.0603394242905333</v>
      </c>
      <c r="BL4" s="65">
        <v>0.25611199995791761</v>
      </c>
      <c r="BM4" s="61">
        <v>0.91671770532438812</v>
      </c>
      <c r="BN4" s="66">
        <v>8.9588708454949109E-3</v>
      </c>
      <c r="BO4" s="62">
        <v>1.8</v>
      </c>
      <c r="BP4" s="63" t="s">
        <v>299</v>
      </c>
    </row>
    <row r="5" spans="1:68" ht="14.5" x14ac:dyDescent="0.35">
      <c r="A5" s="67" t="s">
        <v>23</v>
      </c>
      <c r="B5" s="68" t="s">
        <v>63</v>
      </c>
      <c r="C5" s="67" t="str">
        <f t="shared" si="0"/>
        <v>ACS1_8-24_G</v>
      </c>
      <c r="D5" s="73">
        <v>45505</v>
      </c>
      <c r="E5" s="73" t="s">
        <v>16</v>
      </c>
      <c r="H5" s="67" t="str">
        <f t="shared" si="1"/>
        <v>C,N,S</v>
      </c>
      <c r="I5" s="67">
        <v>135.5</v>
      </c>
      <c r="K5" s="67">
        <v>176.6</v>
      </c>
      <c r="L5" s="67">
        <f t="shared" si="2"/>
        <v>41.099999999999994</v>
      </c>
      <c r="M5" s="67">
        <f t="shared" si="3"/>
        <v>110.10000000000001</v>
      </c>
      <c r="O5" s="67">
        <f t="shared" si="4"/>
        <v>24.341507720254313</v>
      </c>
      <c r="P5" s="67">
        <f t="shared" si="5"/>
        <v>9.086611873773407</v>
      </c>
      <c r="Q5" s="67"/>
      <c r="R5" s="67">
        <f t="shared" si="6"/>
        <v>25.068119891008173</v>
      </c>
      <c r="S5" s="67">
        <f t="shared" si="7"/>
        <v>9.3578540192591806</v>
      </c>
      <c r="T5" s="67"/>
      <c r="U5" s="67">
        <f t="shared" si="8"/>
        <v>50.590372388737514</v>
      </c>
      <c r="V5" s="67">
        <f t="shared" si="9"/>
        <v>18.88523437944697</v>
      </c>
      <c r="W5" s="67"/>
      <c r="X5" s="71">
        <v>34.700000000000003</v>
      </c>
      <c r="Y5" s="71">
        <v>26.8</v>
      </c>
      <c r="Z5" s="71">
        <f t="shared" si="10"/>
        <v>7.9000000000000021</v>
      </c>
      <c r="AA5" s="71">
        <f t="shared" si="11"/>
        <v>9.086611873773407</v>
      </c>
      <c r="AB5" s="71">
        <f t="shared" si="12"/>
        <v>17.713388126226594</v>
      </c>
      <c r="AC5" s="71">
        <f t="shared" si="13"/>
        <v>0.51297988894172608</v>
      </c>
      <c r="AD5" s="71">
        <v>17.3</v>
      </c>
      <c r="AE5" s="71">
        <f t="shared" si="14"/>
        <v>8.8745520786918615</v>
      </c>
      <c r="AF5" s="71">
        <f t="shared" si="15"/>
        <v>8.4254479213081392</v>
      </c>
      <c r="AG5" s="71">
        <v>18.8</v>
      </c>
      <c r="AH5" s="71">
        <f t="shared" si="16"/>
        <v>0.51297988894172608</v>
      </c>
      <c r="AI5" s="71">
        <v>4.2</v>
      </c>
      <c r="AJ5" s="71">
        <f t="shared" si="17"/>
        <v>2.1545155335552497</v>
      </c>
      <c r="AL5" s="67">
        <v>39.9</v>
      </c>
      <c r="AM5" s="67">
        <v>27.6</v>
      </c>
      <c r="AN5" s="67">
        <f t="shared" si="18"/>
        <v>12.299999999999997</v>
      </c>
      <c r="AO5" s="70">
        <f t="shared" si="19"/>
        <v>9.3578540192591806</v>
      </c>
      <c r="AP5" s="70">
        <f t="shared" si="20"/>
        <v>18.242145980740823</v>
      </c>
      <c r="AQ5" s="71">
        <f t="shared" si="21"/>
        <v>0.51297988894172597</v>
      </c>
      <c r="AR5" s="67">
        <v>6.8</v>
      </c>
      <c r="AS5" s="70">
        <f t="shared" si="22"/>
        <v>3.4882632448037363</v>
      </c>
      <c r="AU5" s="70">
        <v>74.099999999999994</v>
      </c>
      <c r="AV5" s="70">
        <v>55.7</v>
      </c>
      <c r="AW5" s="70">
        <f t="shared" si="23"/>
        <v>18.399999999999991</v>
      </c>
      <c r="AX5" s="70">
        <f t="shared" si="24"/>
        <v>18.88523437944697</v>
      </c>
      <c r="AY5" s="70">
        <f t="shared" si="25"/>
        <v>36.814765620553032</v>
      </c>
      <c r="AZ5" s="71">
        <f t="shared" si="26"/>
        <v>0.51297988894172608</v>
      </c>
      <c r="BA5" s="70">
        <v>31.4</v>
      </c>
      <c r="BB5" s="70">
        <f t="shared" si="27"/>
        <v>16.107568512770197</v>
      </c>
      <c r="BD5" s="67" t="s">
        <v>16</v>
      </c>
      <c r="BE5" s="64">
        <v>-22.287453675517227</v>
      </c>
      <c r="BF5" s="64">
        <v>0.13832061688809849</v>
      </c>
      <c r="BG5" s="64">
        <v>5.2309095295173149</v>
      </c>
      <c r="BH5" s="66">
        <v>0.2721215079713149</v>
      </c>
      <c r="BI5" s="62">
        <v>0.9</v>
      </c>
      <c r="BN5" s="66"/>
      <c r="BO5" s="62">
        <v>1.6</v>
      </c>
      <c r="BP5" s="63" t="s">
        <v>304</v>
      </c>
    </row>
    <row r="6" spans="1:68" ht="13.5" customHeight="1" x14ac:dyDescent="0.35">
      <c r="A6" s="67" t="s">
        <v>23</v>
      </c>
      <c r="B6" s="68" t="s">
        <v>14</v>
      </c>
      <c r="C6" s="67" t="str">
        <f t="shared" si="0"/>
        <v>ACS1_9-23_G</v>
      </c>
      <c r="D6" s="73">
        <v>45195</v>
      </c>
      <c r="E6" s="73" t="s">
        <v>108</v>
      </c>
      <c r="F6" s="73">
        <v>45539</v>
      </c>
      <c r="H6" s="67" t="str">
        <f t="shared" si="1"/>
        <v>C,N,S</v>
      </c>
      <c r="I6" s="67">
        <v>133.4</v>
      </c>
      <c r="K6" s="67">
        <v>153.4</v>
      </c>
      <c r="L6" s="67">
        <f t="shared" si="2"/>
        <v>20</v>
      </c>
      <c r="M6" s="67">
        <f t="shared" si="3"/>
        <v>105.6</v>
      </c>
      <c r="O6" s="67">
        <f t="shared" si="4"/>
        <v>24.905303030303035</v>
      </c>
      <c r="P6" s="67">
        <f t="shared" si="5"/>
        <v>4.7169134527089085</v>
      </c>
      <c r="Q6" s="67"/>
      <c r="R6" s="67">
        <f t="shared" si="6"/>
        <v>25.85227272727273</v>
      </c>
      <c r="S6" s="67">
        <f t="shared" si="7"/>
        <v>4.8962637741046837</v>
      </c>
      <c r="T6" s="67"/>
      <c r="U6" s="67">
        <f t="shared" si="8"/>
        <v>49.242424242424242</v>
      </c>
      <c r="V6" s="67">
        <f t="shared" si="9"/>
        <v>9.326216712580349</v>
      </c>
      <c r="W6" s="67"/>
      <c r="X6" s="71">
        <v>37.299999999999997</v>
      </c>
      <c r="Y6" s="71">
        <v>26.3</v>
      </c>
      <c r="Z6" s="71">
        <f t="shared" si="10"/>
        <v>10.999999999999996</v>
      </c>
      <c r="AA6" s="71">
        <f t="shared" si="11"/>
        <v>4.7169134527089085</v>
      </c>
      <c r="AB6" s="71">
        <f t="shared" si="12"/>
        <v>21.583086547291092</v>
      </c>
      <c r="AC6" s="71">
        <f t="shared" si="13"/>
        <v>0.21854675152108546</v>
      </c>
      <c r="AD6" s="71">
        <v>20</v>
      </c>
      <c r="AE6" s="71">
        <f t="shared" si="14"/>
        <v>4.3709350304217089</v>
      </c>
      <c r="AF6" s="71">
        <f t="shared" si="15"/>
        <v>15.629064969578291</v>
      </c>
      <c r="AG6" s="71">
        <v>24.9</v>
      </c>
      <c r="AH6" s="71">
        <f t="shared" si="16"/>
        <v>0.21854675152108546</v>
      </c>
      <c r="AI6" s="71">
        <v>5.3</v>
      </c>
      <c r="AJ6" s="71">
        <f t="shared" si="17"/>
        <v>1.1582977830617529</v>
      </c>
      <c r="AL6" s="67">
        <v>37.799999999999997</v>
      </c>
      <c r="AM6" s="67">
        <v>27.3</v>
      </c>
      <c r="AN6" s="67">
        <f t="shared" si="18"/>
        <v>10.499999999999996</v>
      </c>
      <c r="AO6" s="70">
        <f t="shared" si="19"/>
        <v>4.8962637741046837</v>
      </c>
      <c r="AP6" s="70">
        <f t="shared" si="20"/>
        <v>22.403736225895315</v>
      </c>
      <c r="AQ6" s="71">
        <f t="shared" si="21"/>
        <v>0.21854675152108544</v>
      </c>
      <c r="AR6" s="67">
        <v>7.6</v>
      </c>
      <c r="AS6" s="70">
        <f t="shared" si="22"/>
        <v>1.6609553115602493</v>
      </c>
      <c r="AU6" s="70">
        <v>69.2</v>
      </c>
      <c r="AV6" s="70">
        <v>52</v>
      </c>
      <c r="AW6" s="70">
        <f t="shared" si="23"/>
        <v>17.200000000000003</v>
      </c>
      <c r="AX6" s="70">
        <f t="shared" si="24"/>
        <v>9.326216712580349</v>
      </c>
      <c r="AY6" s="70">
        <f t="shared" si="25"/>
        <v>42.673783287419653</v>
      </c>
      <c r="AZ6" s="71">
        <f t="shared" si="26"/>
        <v>0.21854675152108538</v>
      </c>
      <c r="BA6" s="70">
        <v>30</v>
      </c>
      <c r="BB6" s="70">
        <f t="shared" si="27"/>
        <v>6.5564025456325616</v>
      </c>
      <c r="BD6" s="67" t="s">
        <v>16</v>
      </c>
      <c r="BE6" s="64">
        <v>-29.137308951727043</v>
      </c>
      <c r="BF6" s="64">
        <v>0.13681646037494233</v>
      </c>
      <c r="BG6" s="64">
        <v>8.5613640603647934</v>
      </c>
      <c r="BH6" s="66">
        <v>0.17100707918487498</v>
      </c>
      <c r="BI6" s="62">
        <v>0.9</v>
      </c>
      <c r="BJ6" s="63" t="s">
        <v>299</v>
      </c>
      <c r="BK6" s="64">
        <v>2.0791282056454441</v>
      </c>
      <c r="BL6" s="65">
        <v>0.25185623456630696</v>
      </c>
      <c r="BM6" s="61">
        <v>1.2148650600839934</v>
      </c>
      <c r="BN6" s="66">
        <v>1.1397459032215578E-2</v>
      </c>
      <c r="BO6" s="62">
        <v>1.4</v>
      </c>
      <c r="BP6" s="63" t="s">
        <v>299</v>
      </c>
    </row>
    <row r="7" spans="1:68" ht="14.5" x14ac:dyDescent="0.35">
      <c r="A7" s="67" t="s">
        <v>24</v>
      </c>
      <c r="B7" s="68" t="s">
        <v>62</v>
      </c>
      <c r="C7" s="67" t="str">
        <f t="shared" si="0"/>
        <v>ACS2_4-24_G</v>
      </c>
      <c r="D7" s="73">
        <v>45392</v>
      </c>
      <c r="E7" s="73" t="s">
        <v>16</v>
      </c>
      <c r="F7" s="73">
        <v>45539</v>
      </c>
      <c r="H7" s="67" t="str">
        <f t="shared" si="1"/>
        <v>C,N,S</v>
      </c>
      <c r="I7" s="67">
        <v>129.6</v>
      </c>
      <c r="K7" s="67">
        <v>162.80000000000001</v>
      </c>
      <c r="L7" s="67">
        <f t="shared" si="2"/>
        <v>33.200000000000017</v>
      </c>
      <c r="M7" s="67">
        <f t="shared" si="3"/>
        <v>108.4</v>
      </c>
      <c r="O7" s="67">
        <f t="shared" si="4"/>
        <v>24.354243542435423</v>
      </c>
      <c r="P7" s="67">
        <f t="shared" si="5"/>
        <v>7.4590487602293027</v>
      </c>
      <c r="Q7" s="67"/>
      <c r="R7" s="67">
        <f t="shared" si="6"/>
        <v>25</v>
      </c>
      <c r="S7" s="67">
        <f t="shared" si="7"/>
        <v>7.6568265682656858</v>
      </c>
      <c r="T7" s="67"/>
      <c r="U7" s="67">
        <f t="shared" si="8"/>
        <v>50.645756457564573</v>
      </c>
      <c r="V7" s="67">
        <f t="shared" si="9"/>
        <v>15.511430944567755</v>
      </c>
      <c r="W7" s="67"/>
      <c r="X7" s="71">
        <v>35.9</v>
      </c>
      <c r="Y7" s="71">
        <v>26.4</v>
      </c>
      <c r="Z7" s="71">
        <f t="shared" si="10"/>
        <v>9.5</v>
      </c>
      <c r="AA7" s="71">
        <f t="shared" si="11"/>
        <v>7.4590487602293027</v>
      </c>
      <c r="AB7" s="71">
        <f t="shared" si="12"/>
        <v>18.940951239770698</v>
      </c>
      <c r="AC7" s="71">
        <f t="shared" si="13"/>
        <v>0.39380539371050105</v>
      </c>
      <c r="AD7" s="71">
        <v>18.100000000000001</v>
      </c>
      <c r="AE7" s="71">
        <f t="shared" si="14"/>
        <v>7.1278776261600694</v>
      </c>
      <c r="AF7" s="71">
        <f t="shared" si="15"/>
        <v>10.972122373839932</v>
      </c>
      <c r="AG7" s="71">
        <v>17.600000000000001</v>
      </c>
      <c r="AH7" s="71">
        <f t="shared" si="16"/>
        <v>0.39380539371050105</v>
      </c>
      <c r="AI7" s="71">
        <v>3.3</v>
      </c>
      <c r="AJ7" s="71">
        <f t="shared" si="17"/>
        <v>1.2995577992446534</v>
      </c>
      <c r="AL7" s="67">
        <v>37.299999999999997</v>
      </c>
      <c r="AM7" s="67">
        <v>27.1</v>
      </c>
      <c r="AN7" s="67">
        <f t="shared" si="18"/>
        <v>10.199999999999996</v>
      </c>
      <c r="AO7" s="70">
        <f t="shared" si="19"/>
        <v>7.6568265682656858</v>
      </c>
      <c r="AP7" s="70">
        <f t="shared" si="20"/>
        <v>19.443173431734316</v>
      </c>
      <c r="AQ7" s="71">
        <f t="shared" si="21"/>
        <v>0.39380539371050105</v>
      </c>
      <c r="AR7" s="67">
        <v>5</v>
      </c>
      <c r="AS7" s="70">
        <f t="shared" si="22"/>
        <v>1.9690269685525053</v>
      </c>
      <c r="AU7" s="70">
        <v>81.5</v>
      </c>
      <c r="AV7" s="70">
        <v>54.9</v>
      </c>
      <c r="AW7" s="70">
        <f t="shared" si="23"/>
        <v>26.6</v>
      </c>
      <c r="AX7" s="70">
        <f t="shared" si="24"/>
        <v>15.511430944567755</v>
      </c>
      <c r="AY7" s="70">
        <f t="shared" si="25"/>
        <v>39.388569055432242</v>
      </c>
      <c r="AZ7" s="71">
        <f t="shared" si="26"/>
        <v>0.39380539371050111</v>
      </c>
      <c r="BA7" s="70">
        <v>20.8</v>
      </c>
      <c r="BB7" s="70">
        <f t="shared" si="27"/>
        <v>8.1911521891784229</v>
      </c>
      <c r="BD7" s="67" t="s">
        <v>16</v>
      </c>
      <c r="BE7" s="64">
        <v>-25.316830082935333</v>
      </c>
      <c r="BF7" s="64">
        <v>0.13816149120208579</v>
      </c>
      <c r="BG7" s="64">
        <v>12.178761999641242</v>
      </c>
      <c r="BH7" s="66">
        <v>0.14800974120362959</v>
      </c>
      <c r="BI7" s="62">
        <v>0.9</v>
      </c>
      <c r="BJ7" s="63" t="s">
        <v>299</v>
      </c>
      <c r="BN7" s="66"/>
      <c r="BO7" s="62">
        <v>1.4</v>
      </c>
      <c r="BP7" s="63" t="s">
        <v>305</v>
      </c>
    </row>
    <row r="8" spans="1:68" ht="14.5" x14ac:dyDescent="0.35">
      <c r="A8" s="67" t="s">
        <v>24</v>
      </c>
      <c r="B8" s="68" t="s">
        <v>63</v>
      </c>
      <c r="C8" s="67" t="str">
        <f t="shared" si="0"/>
        <v>ACS2_8-24_G</v>
      </c>
      <c r="D8" s="73">
        <v>45505</v>
      </c>
      <c r="E8" s="73" t="s">
        <v>16</v>
      </c>
      <c r="H8" s="67" t="str">
        <f t="shared" si="1"/>
        <v>C,N,S</v>
      </c>
      <c r="I8" s="67">
        <v>133.30000000000001</v>
      </c>
      <c r="K8" s="67">
        <v>162.30000000000001</v>
      </c>
      <c r="L8" s="67">
        <f t="shared" si="2"/>
        <v>29</v>
      </c>
      <c r="M8" s="67">
        <f t="shared" si="3"/>
        <v>109.69999999999999</v>
      </c>
      <c r="O8" s="67">
        <f t="shared" si="4"/>
        <v>23.062898814949868</v>
      </c>
      <c r="P8" s="67">
        <f t="shared" si="5"/>
        <v>6.0968465417825541</v>
      </c>
      <c r="Q8" s="67"/>
      <c r="R8" s="67">
        <f t="shared" si="6"/>
        <v>25.524156791248863</v>
      </c>
      <c r="S8" s="67">
        <f t="shared" si="7"/>
        <v>6.7474981490083596</v>
      </c>
      <c r="T8" s="67"/>
      <c r="U8" s="67">
        <f t="shared" si="8"/>
        <v>51.412944393801283</v>
      </c>
      <c r="V8" s="67">
        <f t="shared" si="9"/>
        <v>13.591389128716839</v>
      </c>
      <c r="W8" s="67"/>
      <c r="X8" s="71">
        <v>33.5</v>
      </c>
      <c r="Y8" s="71">
        <v>25.3</v>
      </c>
      <c r="Z8" s="71">
        <f t="shared" si="10"/>
        <v>8.1999999999999993</v>
      </c>
      <c r="AA8" s="71">
        <f t="shared" si="11"/>
        <v>6.0968465417825541</v>
      </c>
      <c r="AB8" s="71">
        <f t="shared" si="12"/>
        <v>19.203153458217447</v>
      </c>
      <c r="AC8" s="71">
        <f t="shared" si="13"/>
        <v>0.31749194501039518</v>
      </c>
      <c r="AD8" s="71">
        <v>15.2</v>
      </c>
      <c r="AE8" s="71">
        <f t="shared" si="14"/>
        <v>4.8258775641580067</v>
      </c>
      <c r="AF8" s="71">
        <f t="shared" si="15"/>
        <v>10.374122435841993</v>
      </c>
      <c r="AG8" s="71">
        <v>15.1</v>
      </c>
      <c r="AH8" s="71">
        <f t="shared" si="16"/>
        <v>0.31749194501039518</v>
      </c>
      <c r="AI8" s="71">
        <v>4</v>
      </c>
      <c r="AJ8" s="71">
        <f t="shared" si="17"/>
        <v>1.2699677800415807</v>
      </c>
      <c r="AL8" s="67">
        <v>34.5</v>
      </c>
      <c r="AM8" s="67">
        <v>28</v>
      </c>
      <c r="AN8" s="67">
        <f t="shared" si="18"/>
        <v>6.5</v>
      </c>
      <c r="AO8" s="70">
        <f t="shared" si="19"/>
        <v>6.7474981490083596</v>
      </c>
      <c r="AP8" s="70">
        <f t="shared" si="20"/>
        <v>21.252501850991642</v>
      </c>
      <c r="AQ8" s="71">
        <f t="shared" si="21"/>
        <v>0.31749194501039513</v>
      </c>
      <c r="AR8" s="67">
        <v>5.2</v>
      </c>
      <c r="AS8" s="70">
        <f t="shared" si="22"/>
        <v>1.6509581140540548</v>
      </c>
      <c r="AU8" s="70">
        <v>85.2</v>
      </c>
      <c r="AV8" s="70">
        <v>56.4</v>
      </c>
      <c r="AW8" s="70">
        <f t="shared" si="23"/>
        <v>28.800000000000004</v>
      </c>
      <c r="AX8" s="70">
        <f t="shared" si="24"/>
        <v>13.591389128716839</v>
      </c>
      <c r="AY8" s="70">
        <f t="shared" si="25"/>
        <v>42.808610871283157</v>
      </c>
      <c r="AZ8" s="71">
        <f t="shared" si="26"/>
        <v>0.31749194501039524</v>
      </c>
      <c r="BA8" s="70">
        <v>21.7</v>
      </c>
      <c r="BB8" s="70">
        <f t="shared" si="27"/>
        <v>6.889575206725576</v>
      </c>
      <c r="BD8" s="67" t="s">
        <v>16</v>
      </c>
      <c r="BE8" s="64">
        <v>-28.791138554825622</v>
      </c>
      <c r="BF8" s="64">
        <v>0.13992159128078244</v>
      </c>
      <c r="BG8" s="64">
        <v>5.0986602813951993</v>
      </c>
      <c r="BH8" s="66">
        <v>0.23948098717622426</v>
      </c>
      <c r="BI8" s="62">
        <v>1</v>
      </c>
      <c r="BN8" s="66"/>
      <c r="BO8" s="62">
        <v>1.8</v>
      </c>
      <c r="BP8" s="63" t="s">
        <v>306</v>
      </c>
    </row>
    <row r="9" spans="1:68" ht="14.5" x14ac:dyDescent="0.35">
      <c r="A9" s="67" t="s">
        <v>24</v>
      </c>
      <c r="B9" s="68" t="s">
        <v>14</v>
      </c>
      <c r="C9" s="67" t="str">
        <f t="shared" si="0"/>
        <v>ACS2_9-23_G</v>
      </c>
      <c r="D9" s="73">
        <v>45195</v>
      </c>
      <c r="E9" s="73" t="s">
        <v>16</v>
      </c>
      <c r="F9" s="73">
        <v>45539</v>
      </c>
      <c r="H9" s="67" t="str">
        <f t="shared" si="1"/>
        <v>C,N,S</v>
      </c>
      <c r="I9" s="67">
        <v>129.69999999999999</v>
      </c>
      <c r="K9" s="67">
        <v>153.30000000000001</v>
      </c>
      <c r="L9" s="67">
        <f t="shared" si="2"/>
        <v>23.600000000000023</v>
      </c>
      <c r="M9" s="67">
        <f t="shared" si="3"/>
        <v>109.2</v>
      </c>
      <c r="O9" s="67">
        <f t="shared" si="4"/>
        <v>29.212454212454208</v>
      </c>
      <c r="P9" s="67">
        <f t="shared" si="5"/>
        <v>6.3133142803472522</v>
      </c>
      <c r="Q9" s="67"/>
      <c r="R9" s="67">
        <f t="shared" si="6"/>
        <v>23.443223443223442</v>
      </c>
      <c r="S9" s="67">
        <f t="shared" si="7"/>
        <v>5.0664841873633133</v>
      </c>
      <c r="T9" s="67"/>
      <c r="U9" s="67">
        <f t="shared" si="8"/>
        <v>47.34432234432235</v>
      </c>
      <c r="V9" s="67">
        <f t="shared" si="9"/>
        <v>10.231923144011066</v>
      </c>
      <c r="W9" s="67"/>
      <c r="X9" s="71">
        <v>41</v>
      </c>
      <c r="Y9" s="71">
        <v>31.9</v>
      </c>
      <c r="Z9" s="71">
        <f t="shared" si="10"/>
        <v>9.1000000000000014</v>
      </c>
      <c r="AA9" s="71">
        <f t="shared" si="11"/>
        <v>6.3133142803472522</v>
      </c>
      <c r="AB9" s="71">
        <f t="shared" si="12"/>
        <v>25.586685719652746</v>
      </c>
      <c r="AC9" s="71">
        <f t="shared" si="13"/>
        <v>0.24674216698171625</v>
      </c>
      <c r="AD9" s="71">
        <v>18.5</v>
      </c>
      <c r="AE9" s="71">
        <f t="shared" si="14"/>
        <v>4.5647300891617508</v>
      </c>
      <c r="AF9" s="71">
        <f t="shared" si="15"/>
        <v>13.935269910838249</v>
      </c>
      <c r="AG9" s="71">
        <v>18.399999999999999</v>
      </c>
      <c r="AH9" s="71">
        <f t="shared" si="16"/>
        <v>0.24674216698171625</v>
      </c>
      <c r="AI9" s="71">
        <v>3.3</v>
      </c>
      <c r="AJ9" s="71">
        <f t="shared" si="17"/>
        <v>0.81424915103966355</v>
      </c>
      <c r="AL9" s="67">
        <v>40.200000000000003</v>
      </c>
      <c r="AM9" s="67">
        <v>25.6</v>
      </c>
      <c r="AN9" s="67">
        <f t="shared" si="18"/>
        <v>14.600000000000001</v>
      </c>
      <c r="AO9" s="70">
        <f t="shared" si="19"/>
        <v>5.0664841873633133</v>
      </c>
      <c r="AP9" s="70">
        <f t="shared" si="20"/>
        <v>20.533515812636686</v>
      </c>
      <c r="AQ9" s="71">
        <f t="shared" si="21"/>
        <v>0.2467421669817163</v>
      </c>
      <c r="AR9" s="67">
        <v>5.2</v>
      </c>
      <c r="AS9" s="70">
        <f t="shared" si="22"/>
        <v>1.2830592683049249</v>
      </c>
      <c r="AU9" s="70">
        <v>73.099999999999994</v>
      </c>
      <c r="AV9" s="70">
        <v>51.7</v>
      </c>
      <c r="AW9" s="70">
        <f t="shared" si="23"/>
        <v>21.399999999999991</v>
      </c>
      <c r="AX9" s="70">
        <f t="shared" si="24"/>
        <v>10.231923144011066</v>
      </c>
      <c r="AY9" s="70">
        <f t="shared" si="25"/>
        <v>41.46807685598894</v>
      </c>
      <c r="AZ9" s="71">
        <f t="shared" si="26"/>
        <v>0.24674216698171625</v>
      </c>
      <c r="BA9" s="70">
        <v>19.600000000000001</v>
      </c>
      <c r="BB9" s="70">
        <f t="shared" si="27"/>
        <v>4.836146472841639</v>
      </c>
      <c r="BD9" s="67" t="s">
        <v>16</v>
      </c>
      <c r="BE9" s="64">
        <v>-28.233487335417884</v>
      </c>
      <c r="BF9" s="64">
        <v>0.27772495222478877</v>
      </c>
      <c r="BG9" s="64">
        <v>7.1464127535868878</v>
      </c>
      <c r="BH9" s="66">
        <v>0.15562047607210983</v>
      </c>
      <c r="BI9" s="62">
        <v>1</v>
      </c>
      <c r="BJ9" s="63" t="s">
        <v>300</v>
      </c>
      <c r="BK9" s="64">
        <v>4.6363699066098469</v>
      </c>
      <c r="BM9" s="61">
        <v>0.80631078294184055</v>
      </c>
      <c r="BN9" s="66">
        <v>1.7041282498852742E-2</v>
      </c>
      <c r="BO9" s="62">
        <v>1.3</v>
      </c>
      <c r="BP9" s="63" t="s">
        <v>299</v>
      </c>
    </row>
    <row r="10" spans="1:68" ht="14.5" x14ac:dyDescent="0.35">
      <c r="A10" s="67" t="s">
        <v>25</v>
      </c>
      <c r="B10" s="68" t="s">
        <v>60</v>
      </c>
      <c r="C10" s="67" t="str">
        <f t="shared" si="0"/>
        <v>ACS3_1-24_G</v>
      </c>
      <c r="D10" s="73">
        <v>45302</v>
      </c>
      <c r="E10" s="73" t="s">
        <v>16</v>
      </c>
      <c r="H10" s="67" t="str">
        <f t="shared" si="1"/>
        <v>C,N,S</v>
      </c>
      <c r="I10" s="67">
        <v>133.69999999999999</v>
      </c>
      <c r="K10" s="67">
        <v>156.1</v>
      </c>
      <c r="L10" s="67">
        <f t="shared" si="2"/>
        <v>22.400000000000006</v>
      </c>
      <c r="M10" s="67">
        <f t="shared" si="3"/>
        <v>108.19999999999999</v>
      </c>
      <c r="O10" s="67">
        <f t="shared" si="4"/>
        <v>25.508317929759709</v>
      </c>
      <c r="P10" s="67">
        <f t="shared" si="5"/>
        <v>5.2808347654955421</v>
      </c>
      <c r="Q10" s="67"/>
      <c r="R10" s="67">
        <f t="shared" si="6"/>
        <v>26.524953789279117</v>
      </c>
      <c r="S10" s="67">
        <f t="shared" si="7"/>
        <v>5.491302817743553</v>
      </c>
      <c r="T10" s="67"/>
      <c r="U10" s="67">
        <f t="shared" si="8"/>
        <v>47.966728280961185</v>
      </c>
      <c r="V10" s="67">
        <f t="shared" si="9"/>
        <v>9.9302653742470515</v>
      </c>
      <c r="W10" s="67"/>
      <c r="X10" s="71">
        <v>41.6</v>
      </c>
      <c r="Y10" s="71">
        <v>27.6</v>
      </c>
      <c r="Z10" s="71">
        <f t="shared" si="10"/>
        <v>14</v>
      </c>
      <c r="AA10" s="71">
        <f t="shared" si="11"/>
        <v>5.2808347654955421</v>
      </c>
      <c r="AB10" s="71">
        <f t="shared" si="12"/>
        <v>22.31916523450446</v>
      </c>
      <c r="AC10" s="71">
        <f t="shared" si="13"/>
        <v>0.23660538868772749</v>
      </c>
      <c r="AD10" s="71">
        <v>22</v>
      </c>
      <c r="AE10" s="71">
        <f t="shared" si="14"/>
        <v>5.2053185511300049</v>
      </c>
      <c r="AF10" s="71">
        <f t="shared" si="15"/>
        <v>16.794681448869994</v>
      </c>
      <c r="AG10" s="71">
        <v>22.6</v>
      </c>
      <c r="AH10" s="71">
        <f t="shared" si="16"/>
        <v>0.23660538868772749</v>
      </c>
      <c r="AI10" s="71">
        <v>4</v>
      </c>
      <c r="AJ10" s="71">
        <f t="shared" si="17"/>
        <v>0.94642155475090994</v>
      </c>
      <c r="AL10" s="67">
        <v>39.200000000000003</v>
      </c>
      <c r="AM10" s="67">
        <v>28.7</v>
      </c>
      <c r="AN10" s="67">
        <f t="shared" si="18"/>
        <v>10.500000000000004</v>
      </c>
      <c r="AO10" s="70">
        <f t="shared" si="19"/>
        <v>5.491302817743553</v>
      </c>
      <c r="AP10" s="70">
        <f t="shared" si="20"/>
        <v>23.208697182256447</v>
      </c>
      <c r="AQ10" s="71">
        <f t="shared" si="21"/>
        <v>0.23660538868772751</v>
      </c>
      <c r="AR10" s="67">
        <v>8</v>
      </c>
      <c r="AS10" s="70">
        <f t="shared" si="22"/>
        <v>1.8928431095018201</v>
      </c>
      <c r="AU10" s="70">
        <v>72</v>
      </c>
      <c r="AV10" s="70">
        <v>51.9</v>
      </c>
      <c r="AW10" s="70">
        <f t="shared" si="23"/>
        <v>20.100000000000001</v>
      </c>
      <c r="AX10" s="70">
        <f t="shared" si="24"/>
        <v>9.9302653742470515</v>
      </c>
      <c r="AY10" s="70">
        <f t="shared" si="25"/>
        <v>41.969734625752949</v>
      </c>
      <c r="AZ10" s="71">
        <f t="shared" si="26"/>
        <v>0.23660538868772749</v>
      </c>
      <c r="BA10" s="70">
        <v>22.4</v>
      </c>
      <c r="BB10" s="70">
        <f t="shared" si="27"/>
        <v>5.2999607066050958</v>
      </c>
      <c r="BD10" s="67" t="s">
        <v>16</v>
      </c>
      <c r="BE10" s="64">
        <v>-27.370598991160147</v>
      </c>
      <c r="BF10" s="64">
        <v>0.15183946466978909</v>
      </c>
      <c r="BG10" s="64">
        <v>16.172718132744272</v>
      </c>
      <c r="BH10" s="66">
        <v>3.3811838214811533E-2</v>
      </c>
      <c r="BI10" s="62">
        <v>0.9</v>
      </c>
      <c r="BJ10" s="63" t="s">
        <v>299</v>
      </c>
      <c r="BK10" s="64">
        <v>3.5493227096313293</v>
      </c>
      <c r="BM10" s="61">
        <v>1.328374988325163</v>
      </c>
      <c r="BN10" s="66">
        <v>8.822005431785641E-3</v>
      </c>
      <c r="BO10" s="62">
        <v>1.9</v>
      </c>
      <c r="BP10" s="63" t="s">
        <v>299</v>
      </c>
    </row>
    <row r="11" spans="1:68" ht="14.5" x14ac:dyDescent="0.35">
      <c r="A11" s="67" t="s">
        <v>25</v>
      </c>
      <c r="B11" s="68" t="s">
        <v>63</v>
      </c>
      <c r="C11" s="67" t="str">
        <f t="shared" si="0"/>
        <v>ACS3_8-24_G</v>
      </c>
      <c r="D11" s="73">
        <v>45505</v>
      </c>
      <c r="E11" s="73" t="s">
        <v>16</v>
      </c>
      <c r="H11" s="67" t="str">
        <f t="shared" si="1"/>
        <v>C,N,S</v>
      </c>
      <c r="I11" s="67">
        <v>133.1</v>
      </c>
      <c r="K11" s="67">
        <v>156</v>
      </c>
      <c r="L11" s="67">
        <f t="shared" si="2"/>
        <v>22.900000000000006</v>
      </c>
      <c r="M11" s="67">
        <f t="shared" si="3"/>
        <v>110.4</v>
      </c>
      <c r="O11" s="67">
        <f t="shared" si="4"/>
        <v>26.086956521739129</v>
      </c>
      <c r="P11" s="67">
        <f t="shared" si="5"/>
        <v>5.4111531190926287</v>
      </c>
      <c r="Q11" s="67"/>
      <c r="R11" s="67">
        <f t="shared" si="6"/>
        <v>25</v>
      </c>
      <c r="S11" s="67">
        <f t="shared" si="7"/>
        <v>5.1856884057971024</v>
      </c>
      <c r="T11" s="67"/>
      <c r="U11" s="67">
        <f t="shared" si="8"/>
        <v>48.913043478260867</v>
      </c>
      <c r="V11" s="67">
        <f t="shared" si="9"/>
        <v>10.145912098298679</v>
      </c>
      <c r="W11" s="67"/>
      <c r="X11" s="71">
        <v>40.1</v>
      </c>
      <c r="Y11" s="71">
        <v>28.8</v>
      </c>
      <c r="Z11" s="71">
        <f t="shared" si="10"/>
        <v>11.3</v>
      </c>
      <c r="AA11" s="71">
        <f t="shared" si="11"/>
        <v>5.4111531190926287</v>
      </c>
      <c r="AB11" s="71">
        <f t="shared" si="12"/>
        <v>23.388846880907373</v>
      </c>
      <c r="AC11" s="71">
        <f t="shared" si="13"/>
        <v>0.23135613083643833</v>
      </c>
      <c r="AD11" s="71">
        <v>17.100000000000001</v>
      </c>
      <c r="AG11" s="71">
        <v>19.399999999999999</v>
      </c>
      <c r="AH11" s="71">
        <f t="shared" si="16"/>
        <v>0.23135613083643833</v>
      </c>
      <c r="AI11" s="71">
        <v>4.8</v>
      </c>
      <c r="AJ11" s="71">
        <f t="shared" si="17"/>
        <v>1.1105094280149039</v>
      </c>
      <c r="AL11" s="67">
        <v>37.200000000000003</v>
      </c>
      <c r="AM11" s="67">
        <v>27.6</v>
      </c>
      <c r="AN11" s="67">
        <f t="shared" si="18"/>
        <v>9.6000000000000014</v>
      </c>
      <c r="AO11" s="70">
        <f t="shared" si="19"/>
        <v>5.1856884057971024</v>
      </c>
      <c r="AP11" s="70">
        <f t="shared" si="20"/>
        <v>22.4143115942029</v>
      </c>
      <c r="AQ11" s="71">
        <f t="shared" si="21"/>
        <v>0.23135613083643833</v>
      </c>
      <c r="AR11" s="67">
        <v>7.3</v>
      </c>
      <c r="AS11" s="70">
        <f t="shared" si="22"/>
        <v>1.6888997551059997</v>
      </c>
      <c r="AU11" s="70">
        <v>75.5</v>
      </c>
      <c r="AV11" s="70">
        <v>54</v>
      </c>
      <c r="AW11" s="70">
        <f t="shared" si="23"/>
        <v>21.5</v>
      </c>
      <c r="AX11" s="70">
        <f t="shared" si="24"/>
        <v>10.145912098298679</v>
      </c>
      <c r="AY11" s="70">
        <f t="shared" si="25"/>
        <v>43.85408790170132</v>
      </c>
      <c r="AZ11" s="71">
        <f t="shared" si="26"/>
        <v>0.23135613083643836</v>
      </c>
      <c r="BA11" s="70">
        <v>27.1</v>
      </c>
      <c r="BB11" s="70">
        <f t="shared" si="27"/>
        <v>6.2697511456674802</v>
      </c>
      <c r="BD11" s="67" t="s">
        <v>16</v>
      </c>
      <c r="BE11" s="64">
        <v>-27.477506195206736</v>
      </c>
      <c r="BF11" s="64">
        <v>0.13866177691557666</v>
      </c>
      <c r="BG11" s="64">
        <v>3.4436896022978258</v>
      </c>
      <c r="BH11" s="66">
        <v>0.22161392029869617</v>
      </c>
      <c r="BI11" s="62">
        <v>0.9</v>
      </c>
      <c r="BJ11" s="63" t="s">
        <v>299</v>
      </c>
      <c r="BN11" s="66"/>
      <c r="BO11" s="62">
        <v>1.7</v>
      </c>
      <c r="BP11" s="63" t="s">
        <v>307</v>
      </c>
    </row>
    <row r="12" spans="1:68" ht="14.5" x14ac:dyDescent="0.35">
      <c r="A12" s="67" t="s">
        <v>25</v>
      </c>
      <c r="B12" s="68" t="s">
        <v>14</v>
      </c>
      <c r="C12" s="67" t="str">
        <f t="shared" si="0"/>
        <v>ACS3_9-23_G</v>
      </c>
      <c r="D12" s="73">
        <v>45195</v>
      </c>
      <c r="E12" s="73" t="s">
        <v>16</v>
      </c>
      <c r="F12" s="73">
        <v>45538</v>
      </c>
      <c r="H12" s="67" t="str">
        <f t="shared" si="1"/>
        <v>C,N,S</v>
      </c>
      <c r="I12" s="67">
        <v>129.6</v>
      </c>
      <c r="K12" s="67">
        <v>154.6</v>
      </c>
      <c r="L12" s="67">
        <f t="shared" si="2"/>
        <v>25</v>
      </c>
      <c r="M12" s="67">
        <f t="shared" si="3"/>
        <v>108.7</v>
      </c>
      <c r="O12" s="67">
        <f t="shared" si="4"/>
        <v>26.034958601655934</v>
      </c>
      <c r="P12" s="67">
        <f t="shared" si="5"/>
        <v>5.9878009663422116</v>
      </c>
      <c r="Q12" s="67"/>
      <c r="R12" s="67">
        <f t="shared" si="6"/>
        <v>25.114995400183993</v>
      </c>
      <c r="S12" s="67">
        <f t="shared" si="7"/>
        <v>5.7762178933265851</v>
      </c>
      <c r="T12" s="67"/>
      <c r="U12" s="67">
        <f t="shared" si="8"/>
        <v>48.850045998160077</v>
      </c>
      <c r="V12" s="67">
        <f t="shared" si="9"/>
        <v>11.235061177129731</v>
      </c>
      <c r="W12" s="67"/>
      <c r="X12" s="71">
        <v>38.9</v>
      </c>
      <c r="Y12" s="71">
        <v>28.3</v>
      </c>
      <c r="Z12" s="71">
        <f t="shared" si="10"/>
        <v>10.599999999999998</v>
      </c>
      <c r="AA12" s="71">
        <f t="shared" si="11"/>
        <v>5.9878009663422116</v>
      </c>
      <c r="AB12" s="71">
        <f t="shared" si="12"/>
        <v>22.312199033657791</v>
      </c>
      <c r="AC12" s="71">
        <f t="shared" si="13"/>
        <v>0.26836444750737731</v>
      </c>
      <c r="AD12" s="71">
        <v>22.3</v>
      </c>
      <c r="AE12" s="71">
        <f t="shared" ref="AE12:AE43" si="28">AD12*AC12</f>
        <v>5.9845271794145143</v>
      </c>
      <c r="AF12" s="71">
        <f t="shared" ref="AF12:AF43" si="29">AD12-AE12</f>
        <v>16.315472820585487</v>
      </c>
      <c r="AG12" s="71">
        <v>22</v>
      </c>
      <c r="AH12" s="71">
        <f t="shared" si="16"/>
        <v>0.26836444750737731</v>
      </c>
      <c r="AI12" s="71">
        <v>3.6</v>
      </c>
      <c r="AJ12" s="71">
        <f t="shared" si="17"/>
        <v>0.9661120110265583</v>
      </c>
      <c r="AL12" s="67">
        <v>41.7</v>
      </c>
      <c r="AM12" s="67">
        <v>27.3</v>
      </c>
      <c r="AN12" s="67">
        <f t="shared" si="18"/>
        <v>14.400000000000002</v>
      </c>
      <c r="AO12" s="70">
        <f t="shared" si="19"/>
        <v>5.7762178933265851</v>
      </c>
      <c r="AP12" s="70">
        <f t="shared" si="20"/>
        <v>21.523782106673416</v>
      </c>
      <c r="AQ12" s="71">
        <f t="shared" si="21"/>
        <v>0.26836444750737731</v>
      </c>
      <c r="AR12" s="67">
        <v>6.3</v>
      </c>
      <c r="AS12" s="70">
        <f t="shared" si="22"/>
        <v>1.6906960192964771</v>
      </c>
      <c r="AU12" s="70">
        <v>78.400000000000006</v>
      </c>
      <c r="AV12" s="70">
        <v>53.1</v>
      </c>
      <c r="AW12" s="70">
        <f t="shared" si="23"/>
        <v>25.300000000000004</v>
      </c>
      <c r="AX12" s="70">
        <f t="shared" si="24"/>
        <v>11.235061177129731</v>
      </c>
      <c r="AY12" s="70">
        <f t="shared" si="25"/>
        <v>41.864938822870272</v>
      </c>
      <c r="AZ12" s="71">
        <f t="shared" si="26"/>
        <v>0.26836444750737731</v>
      </c>
      <c r="BA12" s="70">
        <v>17.7</v>
      </c>
      <c r="BB12" s="70">
        <f t="shared" si="27"/>
        <v>4.7500507208805782</v>
      </c>
      <c r="BD12" s="67" t="s">
        <v>16</v>
      </c>
      <c r="BE12" s="64">
        <v>-26.037775047876217</v>
      </c>
      <c r="BF12" s="64">
        <v>0.15106628281777923</v>
      </c>
      <c r="BG12" s="64">
        <v>9.3826490873593666</v>
      </c>
      <c r="BH12" s="66">
        <v>3.5293323790662731E-2</v>
      </c>
      <c r="BI12" s="62">
        <v>0.9</v>
      </c>
      <c r="BJ12" s="63" t="s">
        <v>299</v>
      </c>
      <c r="BO12" s="62">
        <v>1.4</v>
      </c>
      <c r="BP12" s="63" t="s">
        <v>308</v>
      </c>
    </row>
    <row r="13" spans="1:68" ht="14.5" x14ac:dyDescent="0.35">
      <c r="A13" s="67" t="s">
        <v>26</v>
      </c>
      <c r="B13" s="68" t="s">
        <v>62</v>
      </c>
      <c r="C13" s="67" t="str">
        <f t="shared" si="0"/>
        <v>ACS4_4-24_G</v>
      </c>
      <c r="D13" s="73">
        <v>45392</v>
      </c>
      <c r="E13" s="73" t="s">
        <v>16</v>
      </c>
      <c r="F13" s="73">
        <v>45541</v>
      </c>
      <c r="H13" s="67" t="str">
        <f t="shared" si="1"/>
        <v>C,N,S</v>
      </c>
      <c r="I13" s="67">
        <v>129.19999999999999</v>
      </c>
      <c r="K13" s="67">
        <v>149.9</v>
      </c>
      <c r="L13" s="67">
        <f t="shared" si="2"/>
        <v>20.700000000000017</v>
      </c>
      <c r="M13" s="67">
        <f t="shared" si="3"/>
        <v>95.899999999999991</v>
      </c>
      <c r="O13" s="67">
        <f t="shared" si="4"/>
        <v>25.964546402502609</v>
      </c>
      <c r="P13" s="67">
        <f t="shared" si="5"/>
        <v>5.604443279789411</v>
      </c>
      <c r="Q13" s="67"/>
      <c r="R13" s="67">
        <f t="shared" si="6"/>
        <v>26.277372262773724</v>
      </c>
      <c r="S13" s="67">
        <f t="shared" si="7"/>
        <v>5.6719666927989225</v>
      </c>
      <c r="T13" s="67"/>
      <c r="U13" s="67">
        <f t="shared" si="8"/>
        <v>47.75808133472367</v>
      </c>
      <c r="V13" s="67">
        <f t="shared" si="9"/>
        <v>10.308574386118675</v>
      </c>
      <c r="W13" s="67"/>
      <c r="X13" s="71">
        <v>37.700000000000003</v>
      </c>
      <c r="Y13" s="71">
        <v>24.9</v>
      </c>
      <c r="Z13" s="71">
        <f t="shared" si="10"/>
        <v>12.800000000000004</v>
      </c>
      <c r="AA13" s="71">
        <f t="shared" si="11"/>
        <v>5.604443279789411</v>
      </c>
      <c r="AB13" s="71">
        <f t="shared" si="12"/>
        <v>19.295556720210588</v>
      </c>
      <c r="AC13" s="71">
        <f t="shared" si="13"/>
        <v>0.29045253065537074</v>
      </c>
      <c r="AD13" s="71">
        <v>16.600000000000001</v>
      </c>
      <c r="AE13" s="71">
        <f t="shared" si="28"/>
        <v>4.8215120088791545</v>
      </c>
      <c r="AF13" s="71">
        <f t="shared" si="29"/>
        <v>11.778487991120848</v>
      </c>
      <c r="AG13" s="71">
        <v>20.2</v>
      </c>
      <c r="AH13" s="71">
        <f t="shared" si="16"/>
        <v>0.29045253065537074</v>
      </c>
      <c r="AI13" s="71">
        <v>3.2</v>
      </c>
      <c r="AJ13" s="71">
        <f t="shared" si="17"/>
        <v>0.92944809809718643</v>
      </c>
      <c r="AL13" s="67">
        <v>38.4</v>
      </c>
      <c r="AM13" s="67">
        <v>25.2</v>
      </c>
      <c r="AN13" s="67">
        <f t="shared" si="18"/>
        <v>13.2</v>
      </c>
      <c r="AO13" s="70">
        <f t="shared" si="19"/>
        <v>5.6719666927989225</v>
      </c>
      <c r="AP13" s="70">
        <f t="shared" si="20"/>
        <v>19.528033307201078</v>
      </c>
      <c r="AQ13" s="71">
        <f t="shared" si="21"/>
        <v>0.2904525306553708</v>
      </c>
      <c r="AR13" s="67">
        <v>4.8</v>
      </c>
      <c r="AS13" s="70">
        <f t="shared" si="22"/>
        <v>1.3941721471457797</v>
      </c>
      <c r="AU13" s="70">
        <v>76.900000000000006</v>
      </c>
      <c r="AV13" s="70">
        <v>45.8</v>
      </c>
      <c r="AW13" s="70">
        <f t="shared" si="23"/>
        <v>31.100000000000009</v>
      </c>
      <c r="AX13" s="70">
        <f t="shared" si="24"/>
        <v>10.308574386118675</v>
      </c>
      <c r="AY13" s="70">
        <f t="shared" si="25"/>
        <v>35.491425613881319</v>
      </c>
      <c r="AZ13" s="71">
        <f t="shared" si="26"/>
        <v>0.29045253065537074</v>
      </c>
      <c r="BA13" s="70">
        <v>14.9</v>
      </c>
      <c r="BB13" s="70">
        <f t="shared" si="27"/>
        <v>4.327742706765024</v>
      </c>
      <c r="BD13" s="67" t="s">
        <v>16</v>
      </c>
      <c r="BE13" s="64">
        <v>-27.627947110806737</v>
      </c>
      <c r="BF13" s="64">
        <v>0.13869818160114994</v>
      </c>
      <c r="BG13" s="64">
        <v>8.4378011274371278</v>
      </c>
      <c r="BH13" s="66">
        <v>0.1990051425236648</v>
      </c>
      <c r="BI13" s="62">
        <v>0.8</v>
      </c>
      <c r="BJ13" s="63" t="s">
        <v>299</v>
      </c>
      <c r="BK13" s="64">
        <v>2.9799170350235338</v>
      </c>
      <c r="BM13" s="61">
        <v>1.20739263689095</v>
      </c>
      <c r="BN13" s="66">
        <v>1.3188703706741271E-2</v>
      </c>
      <c r="BO13" s="62">
        <v>1.4</v>
      </c>
      <c r="BP13" s="63" t="s">
        <v>299</v>
      </c>
    </row>
    <row r="14" spans="1:68" ht="14.5" x14ac:dyDescent="0.35">
      <c r="A14" s="67" t="s">
        <v>26</v>
      </c>
      <c r="B14" s="68" t="s">
        <v>63</v>
      </c>
      <c r="C14" s="67" t="str">
        <f t="shared" si="0"/>
        <v>ACS4_8-24_G</v>
      </c>
      <c r="D14" s="73">
        <v>45505</v>
      </c>
      <c r="E14" s="73" t="s">
        <v>16</v>
      </c>
      <c r="H14" s="67" t="str">
        <f t="shared" si="1"/>
        <v>C,N,S</v>
      </c>
      <c r="I14" s="67">
        <v>132.69999999999999</v>
      </c>
      <c r="K14" s="67">
        <v>175.6</v>
      </c>
      <c r="L14" s="67">
        <f t="shared" si="2"/>
        <v>42.900000000000006</v>
      </c>
      <c r="M14" s="67">
        <f t="shared" si="3"/>
        <v>95.8</v>
      </c>
      <c r="O14" s="67">
        <f t="shared" si="4"/>
        <v>23.277661795407102</v>
      </c>
      <c r="P14" s="67">
        <f t="shared" si="5"/>
        <v>10.423921618193788</v>
      </c>
      <c r="Q14" s="67"/>
      <c r="R14" s="67">
        <f t="shared" si="6"/>
        <v>26.096033402922757</v>
      </c>
      <c r="S14" s="67">
        <f t="shared" si="7"/>
        <v>11.686010782728459</v>
      </c>
      <c r="T14" s="67"/>
      <c r="U14" s="67">
        <f t="shared" si="8"/>
        <v>50.626304801670152</v>
      </c>
      <c r="V14" s="67">
        <f t="shared" si="9"/>
        <v>22.670860918493211</v>
      </c>
      <c r="W14" s="67"/>
      <c r="X14" s="71">
        <v>32.9</v>
      </c>
      <c r="Y14" s="71">
        <v>22.3</v>
      </c>
      <c r="Z14" s="71">
        <f t="shared" si="10"/>
        <v>10.599999999999998</v>
      </c>
      <c r="AA14" s="71">
        <f t="shared" si="11"/>
        <v>10.423921618193788</v>
      </c>
      <c r="AB14" s="71">
        <f t="shared" si="12"/>
        <v>11.876078381806213</v>
      </c>
      <c r="AC14" s="71">
        <f t="shared" si="13"/>
        <v>0.87772421864130801</v>
      </c>
      <c r="AD14" s="71">
        <v>14</v>
      </c>
      <c r="AE14" s="71">
        <f t="shared" si="28"/>
        <v>12.288139060978311</v>
      </c>
      <c r="AF14" s="71">
        <f t="shared" si="29"/>
        <v>1.7118609390216886</v>
      </c>
      <c r="AG14" s="71">
        <v>14.4</v>
      </c>
      <c r="AH14" s="71">
        <f t="shared" si="16"/>
        <v>0.87772421864130801</v>
      </c>
      <c r="AI14" s="71">
        <v>3.7</v>
      </c>
      <c r="AJ14" s="71">
        <f t="shared" si="17"/>
        <v>3.2475796089728397</v>
      </c>
      <c r="AL14" s="67">
        <v>35.700000000000003</v>
      </c>
      <c r="AM14" s="67">
        <v>25</v>
      </c>
      <c r="AN14" s="67">
        <f t="shared" si="18"/>
        <v>10.700000000000003</v>
      </c>
      <c r="AO14" s="70">
        <f t="shared" si="19"/>
        <v>11.686010782728459</v>
      </c>
      <c r="AP14" s="70">
        <f t="shared" si="20"/>
        <v>13.313989217271541</v>
      </c>
      <c r="AQ14" s="71">
        <f t="shared" si="21"/>
        <v>0.87772421864130779</v>
      </c>
      <c r="AR14" s="67">
        <v>5.9</v>
      </c>
      <c r="AS14" s="70">
        <f t="shared" si="22"/>
        <v>5.178572889983716</v>
      </c>
      <c r="AU14" s="70">
        <v>80.5</v>
      </c>
      <c r="AV14" s="70">
        <v>48.5</v>
      </c>
      <c r="AW14" s="70">
        <f t="shared" si="23"/>
        <v>32</v>
      </c>
      <c r="AX14" s="70">
        <f t="shared" si="24"/>
        <v>22.670860918493211</v>
      </c>
      <c r="AY14" s="70">
        <f t="shared" si="25"/>
        <v>25.829139081506789</v>
      </c>
      <c r="AZ14" s="71">
        <f t="shared" si="26"/>
        <v>0.87772421864130779</v>
      </c>
      <c r="BA14" s="70">
        <v>18.899999999999999</v>
      </c>
      <c r="BB14" s="70">
        <f t="shared" si="27"/>
        <v>16.588987732320717</v>
      </c>
      <c r="BD14" s="67" t="s">
        <v>16</v>
      </c>
      <c r="BE14" s="64">
        <v>-28.659596037244526</v>
      </c>
      <c r="BF14" s="64">
        <v>0.27797811944394402</v>
      </c>
      <c r="BG14" s="64">
        <v>1.4841470969575945</v>
      </c>
      <c r="BH14" s="66">
        <v>0.24686717446109133</v>
      </c>
      <c r="BI14" s="62">
        <v>0.9</v>
      </c>
      <c r="BJ14" s="63" t="s">
        <v>301</v>
      </c>
      <c r="BN14" s="66"/>
      <c r="BO14" s="62">
        <v>1.7</v>
      </c>
      <c r="BP14" s="63" t="s">
        <v>309</v>
      </c>
    </row>
    <row r="15" spans="1:68" ht="14.5" x14ac:dyDescent="0.35">
      <c r="A15" s="67" t="s">
        <v>27</v>
      </c>
      <c r="B15" s="68" t="s">
        <v>60</v>
      </c>
      <c r="C15" s="67" t="str">
        <f t="shared" si="0"/>
        <v>ACS5_1-24_G</v>
      </c>
      <c r="D15" s="73">
        <v>45302</v>
      </c>
      <c r="E15" s="73" t="s">
        <v>16</v>
      </c>
      <c r="H15" s="67" t="str">
        <f t="shared" si="1"/>
        <v>C,N,S</v>
      </c>
      <c r="I15" s="67">
        <v>132.19999999999999</v>
      </c>
      <c r="K15" s="67">
        <v>145.1</v>
      </c>
      <c r="L15" s="67">
        <f t="shared" si="2"/>
        <v>12.900000000000006</v>
      </c>
      <c r="M15" s="67">
        <f t="shared" si="3"/>
        <v>101.1</v>
      </c>
      <c r="O15" s="67">
        <f t="shared" si="4"/>
        <v>25.321463897131558</v>
      </c>
      <c r="P15" s="67">
        <f t="shared" si="5"/>
        <v>3.2309286278239098</v>
      </c>
      <c r="Q15" s="67"/>
      <c r="R15" s="67">
        <f t="shared" si="6"/>
        <v>25.420375865479723</v>
      </c>
      <c r="S15" s="67">
        <f t="shared" si="7"/>
        <v>3.2435494427763465</v>
      </c>
      <c r="T15" s="67"/>
      <c r="U15" s="67">
        <f t="shared" si="8"/>
        <v>49.258160237388729</v>
      </c>
      <c r="V15" s="67">
        <f t="shared" si="9"/>
        <v>6.2851658463136983</v>
      </c>
      <c r="W15" s="67"/>
      <c r="X15" s="71">
        <v>38.299999999999997</v>
      </c>
      <c r="Y15" s="71">
        <v>25.6</v>
      </c>
      <c r="Z15" s="71">
        <f t="shared" si="10"/>
        <v>12.699999999999996</v>
      </c>
      <c r="AA15" s="71">
        <f t="shared" si="11"/>
        <v>3.2309286278239098</v>
      </c>
      <c r="AB15" s="71">
        <f t="shared" si="12"/>
        <v>22.369071372176091</v>
      </c>
      <c r="AC15" s="71">
        <f t="shared" si="13"/>
        <v>0.14443731588440997</v>
      </c>
      <c r="AD15" s="71">
        <v>17.2</v>
      </c>
      <c r="AE15" s="71">
        <f t="shared" si="28"/>
        <v>2.4843218332118515</v>
      </c>
      <c r="AF15" s="71">
        <f t="shared" si="29"/>
        <v>14.715678166788148</v>
      </c>
      <c r="AG15" s="71">
        <v>17.8</v>
      </c>
      <c r="AH15" s="71">
        <f t="shared" si="16"/>
        <v>0.14443731588440997</v>
      </c>
      <c r="AI15" s="71">
        <v>3.7</v>
      </c>
      <c r="AJ15" s="71">
        <f t="shared" si="17"/>
        <v>0.5344180687723169</v>
      </c>
      <c r="AL15" s="67">
        <v>39.1</v>
      </c>
      <c r="AM15" s="67">
        <v>25.7</v>
      </c>
      <c r="AN15" s="67">
        <f t="shared" si="18"/>
        <v>13.400000000000002</v>
      </c>
      <c r="AO15" s="70">
        <f t="shared" si="19"/>
        <v>3.2435494427763465</v>
      </c>
      <c r="AP15" s="70">
        <f t="shared" si="20"/>
        <v>22.456450557223654</v>
      </c>
      <c r="AQ15" s="71">
        <f t="shared" si="21"/>
        <v>0.14443731588440994</v>
      </c>
      <c r="AR15" s="67">
        <v>8.8000000000000007</v>
      </c>
      <c r="AS15" s="70">
        <f t="shared" si="22"/>
        <v>1.2710483797828076</v>
      </c>
      <c r="AU15" s="70">
        <v>71.8</v>
      </c>
      <c r="AV15" s="70">
        <v>49.8</v>
      </c>
      <c r="AW15" s="70">
        <f t="shared" si="23"/>
        <v>22</v>
      </c>
      <c r="AX15" s="70">
        <f t="shared" si="24"/>
        <v>6.2851658463136983</v>
      </c>
      <c r="AY15" s="70">
        <f t="shared" si="25"/>
        <v>43.514834153686301</v>
      </c>
      <c r="AZ15" s="71">
        <f t="shared" si="26"/>
        <v>0.14443731588440994</v>
      </c>
      <c r="BA15" s="70">
        <v>21.2</v>
      </c>
      <c r="BB15" s="70">
        <f t="shared" si="27"/>
        <v>3.0620710967494906</v>
      </c>
      <c r="BD15" s="67" t="s">
        <v>16</v>
      </c>
      <c r="BE15" s="64">
        <v>-28.377636990435469</v>
      </c>
      <c r="BF15" s="64">
        <v>0.13890088667408768</v>
      </c>
      <c r="BG15" s="64">
        <v>12.558396067362024</v>
      </c>
      <c r="BH15" s="66">
        <v>0.17034561337519083</v>
      </c>
      <c r="BI15" s="62">
        <v>0.8</v>
      </c>
      <c r="BJ15" s="63" t="s">
        <v>299</v>
      </c>
      <c r="BK15" s="64">
        <v>4.7110451887826423</v>
      </c>
      <c r="BL15" s="65">
        <v>0.30570245980343103</v>
      </c>
      <c r="BM15" s="61">
        <v>1.2771139470793822</v>
      </c>
      <c r="BN15" s="66">
        <v>6.1932728853238139E-2</v>
      </c>
      <c r="BO15" s="62">
        <v>1.5</v>
      </c>
      <c r="BP15" s="63" t="s">
        <v>299</v>
      </c>
    </row>
    <row r="16" spans="1:68" ht="14.5" x14ac:dyDescent="0.35">
      <c r="A16" s="67" t="s">
        <v>27</v>
      </c>
      <c r="B16" s="68" t="s">
        <v>62</v>
      </c>
      <c r="C16" s="67" t="str">
        <f t="shared" si="0"/>
        <v>ACS5_4-24_G</v>
      </c>
      <c r="D16" s="73">
        <v>45392</v>
      </c>
      <c r="E16" s="73" t="s">
        <v>16</v>
      </c>
      <c r="F16" s="73">
        <v>45539</v>
      </c>
      <c r="H16" s="67" t="str">
        <f t="shared" si="1"/>
        <v>C,N,S</v>
      </c>
      <c r="I16" s="67">
        <v>129.5</v>
      </c>
      <c r="K16" s="67">
        <v>152.19999999999999</v>
      </c>
      <c r="L16" s="67">
        <f t="shared" si="2"/>
        <v>22.699999999999989</v>
      </c>
      <c r="M16" s="67">
        <f t="shared" si="3"/>
        <v>101.4</v>
      </c>
      <c r="O16" s="67">
        <f t="shared" si="4"/>
        <v>26.429980276134124</v>
      </c>
      <c r="P16" s="67">
        <f t="shared" si="5"/>
        <v>5.9167707324284438</v>
      </c>
      <c r="Q16" s="67"/>
      <c r="R16" s="67">
        <f t="shared" si="6"/>
        <v>24.950690335305719</v>
      </c>
      <c r="S16" s="67">
        <f t="shared" si="7"/>
        <v>5.5856081914343143</v>
      </c>
      <c r="T16" s="67"/>
      <c r="U16" s="67">
        <f t="shared" si="8"/>
        <v>48.619329388560153</v>
      </c>
      <c r="V16" s="67">
        <f t="shared" si="9"/>
        <v>10.884208847340384</v>
      </c>
      <c r="W16" s="67"/>
      <c r="X16" s="71">
        <v>33.5</v>
      </c>
      <c r="Y16" s="71">
        <v>26.8</v>
      </c>
      <c r="Z16" s="71">
        <f t="shared" si="10"/>
        <v>6.6999999999999993</v>
      </c>
      <c r="AA16" s="71">
        <f t="shared" si="11"/>
        <v>5.9167707324284438</v>
      </c>
      <c r="AB16" s="71">
        <f t="shared" si="12"/>
        <v>20.883229267571558</v>
      </c>
      <c r="AC16" s="71">
        <f t="shared" si="13"/>
        <v>0.28332642699164723</v>
      </c>
      <c r="AD16" s="71">
        <v>20.9</v>
      </c>
      <c r="AE16" s="71">
        <f t="shared" si="28"/>
        <v>5.9215223241254265</v>
      </c>
      <c r="AF16" s="71">
        <f t="shared" si="29"/>
        <v>14.978477675874572</v>
      </c>
      <c r="AG16" s="71">
        <v>21.3</v>
      </c>
      <c r="AH16" s="71">
        <f t="shared" si="16"/>
        <v>0.28332642699164723</v>
      </c>
      <c r="AI16" s="71">
        <v>4.9000000000000004</v>
      </c>
      <c r="AJ16" s="71">
        <f t="shared" si="17"/>
        <v>1.3882994922590715</v>
      </c>
      <c r="AL16" s="67">
        <v>36.200000000000003</v>
      </c>
      <c r="AM16" s="67">
        <v>25.3</v>
      </c>
      <c r="AN16" s="67">
        <f t="shared" si="18"/>
        <v>10.900000000000002</v>
      </c>
      <c r="AO16" s="70">
        <f t="shared" si="19"/>
        <v>5.5856081914343143</v>
      </c>
      <c r="AP16" s="70">
        <f t="shared" si="20"/>
        <v>19.714391808565686</v>
      </c>
      <c r="AQ16" s="71">
        <f t="shared" si="21"/>
        <v>0.28332642699164723</v>
      </c>
      <c r="AR16" s="67">
        <v>10.199999999999999</v>
      </c>
      <c r="AS16" s="70">
        <f t="shared" si="22"/>
        <v>2.8899295553148017</v>
      </c>
      <c r="AU16" s="70">
        <v>74.599999999999994</v>
      </c>
      <c r="AV16" s="70">
        <v>49.3</v>
      </c>
      <c r="AW16" s="70">
        <f t="shared" si="23"/>
        <v>25.299999999999997</v>
      </c>
      <c r="AX16" s="70">
        <f t="shared" si="24"/>
        <v>10.884208847340384</v>
      </c>
      <c r="AY16" s="70">
        <f t="shared" si="25"/>
        <v>38.415791152659615</v>
      </c>
      <c r="AZ16" s="71">
        <f t="shared" si="26"/>
        <v>0.28332642699164728</v>
      </c>
      <c r="BA16" s="70">
        <v>28.4</v>
      </c>
      <c r="BB16" s="70">
        <f t="shared" si="27"/>
        <v>8.0464705265627821</v>
      </c>
      <c r="BD16" s="67" t="s">
        <v>16</v>
      </c>
      <c r="BE16" s="64">
        <v>-25.49662848443764</v>
      </c>
      <c r="BF16" s="64">
        <v>0.15076401331060416</v>
      </c>
      <c r="BG16" s="64">
        <v>11.416115993025329</v>
      </c>
      <c r="BH16" s="66">
        <v>3.8556312591322313E-2</v>
      </c>
      <c r="BI16" s="62">
        <v>0.8</v>
      </c>
      <c r="BJ16" s="63" t="s">
        <v>299</v>
      </c>
      <c r="BK16" s="64">
        <v>3.518275297695109</v>
      </c>
      <c r="BL16" s="65">
        <v>0.29805365600362033</v>
      </c>
      <c r="BM16" s="61">
        <v>1.2685858183122158</v>
      </c>
      <c r="BN16" s="66">
        <v>9.7721538324543663E-3</v>
      </c>
      <c r="BO16" s="62">
        <v>1.5</v>
      </c>
      <c r="BP16" s="63" t="s">
        <v>299</v>
      </c>
    </row>
    <row r="17" spans="1:68" ht="14.5" x14ac:dyDescent="0.35">
      <c r="A17" s="67" t="s">
        <v>27</v>
      </c>
      <c r="B17" s="68" t="s">
        <v>63</v>
      </c>
      <c r="C17" s="67" t="str">
        <f t="shared" si="0"/>
        <v>ACS5_8-24_G</v>
      </c>
      <c r="D17" s="73">
        <v>45505</v>
      </c>
      <c r="E17" s="67" t="s">
        <v>16</v>
      </c>
      <c r="H17" s="67" t="str">
        <f t="shared" si="1"/>
        <v>C,N,S</v>
      </c>
      <c r="I17" s="67">
        <v>132.19999999999999</v>
      </c>
      <c r="K17" s="67">
        <v>168.8</v>
      </c>
      <c r="L17" s="67">
        <f t="shared" si="2"/>
        <v>36.600000000000023</v>
      </c>
      <c r="M17" s="67">
        <f t="shared" si="3"/>
        <v>91.9</v>
      </c>
      <c r="O17" s="67">
        <f t="shared" si="4"/>
        <v>25.462459194776926</v>
      </c>
      <c r="P17" s="67">
        <f t="shared" si="5"/>
        <v>10.140652954611927</v>
      </c>
      <c r="Q17" s="67"/>
      <c r="R17" s="67">
        <f t="shared" si="6"/>
        <v>24.374319912948856</v>
      </c>
      <c r="S17" s="67">
        <f t="shared" si="7"/>
        <v>9.7072917172353481</v>
      </c>
      <c r="T17" s="67"/>
      <c r="U17" s="67">
        <f t="shared" si="8"/>
        <v>50.163220892274211</v>
      </c>
      <c r="V17" s="67">
        <f t="shared" si="9"/>
        <v>19.977953043060253</v>
      </c>
      <c r="W17" s="67"/>
      <c r="X17" s="71">
        <v>37.6</v>
      </c>
      <c r="Y17" s="71">
        <v>23.4</v>
      </c>
      <c r="Z17" s="71">
        <f t="shared" si="10"/>
        <v>14.200000000000003</v>
      </c>
      <c r="AA17" s="71">
        <f t="shared" si="11"/>
        <v>10.140652954611927</v>
      </c>
      <c r="AB17" s="71">
        <f t="shared" si="12"/>
        <v>13.259347045388072</v>
      </c>
      <c r="AC17" s="71">
        <f t="shared" si="13"/>
        <v>0.76479278503680892</v>
      </c>
      <c r="AD17" s="71">
        <v>20.100000000000001</v>
      </c>
      <c r="AE17" s="71">
        <f t="shared" si="28"/>
        <v>15.372334979239861</v>
      </c>
      <c r="AF17" s="71">
        <f t="shared" si="29"/>
        <v>4.7276650207601403</v>
      </c>
      <c r="AG17" s="71">
        <v>19.600000000000001</v>
      </c>
      <c r="AH17" s="71">
        <f t="shared" si="16"/>
        <v>0.76479278503680892</v>
      </c>
      <c r="AI17" s="71">
        <v>5.3</v>
      </c>
      <c r="AJ17" s="71">
        <f t="shared" si="17"/>
        <v>4.0534017606950874</v>
      </c>
      <c r="AL17" s="67">
        <v>36.9</v>
      </c>
      <c r="AM17" s="67">
        <v>22.4</v>
      </c>
      <c r="AN17" s="67">
        <f t="shared" si="18"/>
        <v>14.5</v>
      </c>
      <c r="AO17" s="70">
        <f t="shared" si="19"/>
        <v>9.7072917172353481</v>
      </c>
      <c r="AP17" s="70">
        <f t="shared" si="20"/>
        <v>12.69270828276465</v>
      </c>
      <c r="AQ17" s="71">
        <f t="shared" si="21"/>
        <v>0.76479278503680881</v>
      </c>
      <c r="AR17" s="67">
        <v>9.8000000000000007</v>
      </c>
      <c r="AS17" s="70">
        <f t="shared" si="22"/>
        <v>7.494969293360727</v>
      </c>
      <c r="AU17" s="70">
        <v>67.7</v>
      </c>
      <c r="AV17" s="70">
        <v>46.1</v>
      </c>
      <c r="AW17" s="70">
        <f t="shared" si="23"/>
        <v>21.6</v>
      </c>
      <c r="AX17" s="70">
        <f t="shared" si="24"/>
        <v>19.977953043060253</v>
      </c>
      <c r="AY17" s="70">
        <f t="shared" si="25"/>
        <v>26.122046956939748</v>
      </c>
      <c r="AZ17" s="71">
        <f t="shared" si="26"/>
        <v>0.76479278503680903</v>
      </c>
      <c r="BA17" s="70">
        <v>28.3</v>
      </c>
      <c r="BB17" s="70">
        <f t="shared" si="27"/>
        <v>21.643635816541696</v>
      </c>
      <c r="BD17" s="67" t="s">
        <v>16</v>
      </c>
      <c r="BE17" s="64">
        <v>-21.878963495524125</v>
      </c>
      <c r="BF17" s="64">
        <v>0.14891966268667611</v>
      </c>
      <c r="BG17" s="64">
        <v>8.9514175764038146</v>
      </c>
      <c r="BH17" s="66">
        <v>3.5948801318527644E-2</v>
      </c>
      <c r="BI17" s="62">
        <v>0.9</v>
      </c>
      <c r="BJ17" s="63" t="s">
        <v>299</v>
      </c>
      <c r="BN17" s="66"/>
      <c r="BO17" s="62">
        <v>1.9</v>
      </c>
      <c r="BP17" s="63" t="s">
        <v>310</v>
      </c>
    </row>
    <row r="18" spans="1:68" ht="14.5" x14ac:dyDescent="0.35">
      <c r="A18" s="67" t="s">
        <v>27</v>
      </c>
      <c r="B18" s="68" t="s">
        <v>14</v>
      </c>
      <c r="C18" s="67" t="str">
        <f t="shared" si="0"/>
        <v>ACS5_9-23_G</v>
      </c>
      <c r="D18" s="73">
        <v>45195</v>
      </c>
      <c r="E18" s="73" t="s">
        <v>16</v>
      </c>
      <c r="F18" s="73">
        <v>45538</v>
      </c>
      <c r="H18" s="67" t="str">
        <f t="shared" si="1"/>
        <v>C,N,S</v>
      </c>
      <c r="I18" s="67">
        <v>128.69999999999999</v>
      </c>
      <c r="K18" s="67">
        <v>150.9</v>
      </c>
      <c r="L18" s="67">
        <f t="shared" si="2"/>
        <v>22.200000000000017</v>
      </c>
      <c r="M18" s="67">
        <f t="shared" si="3"/>
        <v>90.1</v>
      </c>
      <c r="O18" s="67">
        <f t="shared" si="4"/>
        <v>26.415094339622641</v>
      </c>
      <c r="P18" s="67">
        <f t="shared" si="5"/>
        <v>6.5084916130923771</v>
      </c>
      <c r="Q18" s="67"/>
      <c r="R18" s="67">
        <f t="shared" si="6"/>
        <v>23.30743618201998</v>
      </c>
      <c r="S18" s="67">
        <f t="shared" si="7"/>
        <v>5.7427867174344502</v>
      </c>
      <c r="T18" s="67"/>
      <c r="U18" s="67">
        <f t="shared" si="8"/>
        <v>50.277469478357382</v>
      </c>
      <c r="V18" s="67">
        <f t="shared" si="9"/>
        <v>12.3880113476086</v>
      </c>
      <c r="W18" s="67"/>
      <c r="X18" s="71">
        <v>39.200000000000003</v>
      </c>
      <c r="Y18" s="71">
        <v>23.8</v>
      </c>
      <c r="Z18" s="71">
        <f t="shared" si="10"/>
        <v>15.400000000000002</v>
      </c>
      <c r="AA18" s="71">
        <f t="shared" si="11"/>
        <v>6.5084916130923771</v>
      </c>
      <c r="AB18" s="71">
        <f t="shared" si="12"/>
        <v>17.291508386907623</v>
      </c>
      <c r="AC18" s="71">
        <f t="shared" si="13"/>
        <v>0.37639814106792002</v>
      </c>
      <c r="AD18" s="71">
        <v>19.7</v>
      </c>
      <c r="AE18" s="71">
        <f t="shared" si="28"/>
        <v>7.4150433790380239</v>
      </c>
      <c r="AF18" s="71">
        <f t="shared" si="29"/>
        <v>12.284956620961974</v>
      </c>
      <c r="AG18" s="71">
        <v>20.100000000000001</v>
      </c>
      <c r="AH18" s="71">
        <f t="shared" si="16"/>
        <v>0.37639814106792002</v>
      </c>
      <c r="AI18" s="71">
        <v>6</v>
      </c>
      <c r="AJ18" s="71">
        <f t="shared" si="17"/>
        <v>2.2583888464075201</v>
      </c>
      <c r="AL18" s="67">
        <v>33.6</v>
      </c>
      <c r="AM18" s="67">
        <v>21</v>
      </c>
      <c r="AN18" s="67">
        <f t="shared" si="18"/>
        <v>12.600000000000001</v>
      </c>
      <c r="AO18" s="70">
        <f t="shared" si="19"/>
        <v>5.7427867174344502</v>
      </c>
      <c r="AP18" s="70">
        <f t="shared" si="20"/>
        <v>15.25721328256555</v>
      </c>
      <c r="AQ18" s="71">
        <f t="shared" si="21"/>
        <v>0.37639814106791997</v>
      </c>
      <c r="AR18" s="67">
        <v>9.1</v>
      </c>
      <c r="AS18" s="70">
        <f t="shared" si="22"/>
        <v>3.4252230837180715</v>
      </c>
      <c r="AU18" s="70">
        <v>68.5</v>
      </c>
      <c r="AV18" s="70">
        <v>45.3</v>
      </c>
      <c r="AW18" s="70">
        <f t="shared" si="23"/>
        <v>23.200000000000003</v>
      </c>
      <c r="AX18" s="70">
        <f t="shared" si="24"/>
        <v>12.3880113476086</v>
      </c>
      <c r="AY18" s="70">
        <f t="shared" si="25"/>
        <v>32.9119886523914</v>
      </c>
      <c r="AZ18" s="71">
        <f t="shared" si="26"/>
        <v>0.37639814106791997</v>
      </c>
      <c r="BA18" s="70">
        <v>29.9</v>
      </c>
      <c r="BB18" s="70">
        <f t="shared" si="27"/>
        <v>11.254304417930806</v>
      </c>
      <c r="BD18" s="67" t="s">
        <v>16</v>
      </c>
      <c r="BE18" s="64">
        <v>-26.40483944863405</v>
      </c>
      <c r="BF18" s="64">
        <v>0.13839684999587265</v>
      </c>
      <c r="BG18" s="64">
        <v>7.8823704635920313</v>
      </c>
      <c r="BH18" s="66">
        <v>0.17342483308483486</v>
      </c>
      <c r="BI18" s="62">
        <v>0.9</v>
      </c>
      <c r="BJ18" s="63" t="s">
        <v>299</v>
      </c>
      <c r="BK18" s="64">
        <v>3.3733245920252837</v>
      </c>
      <c r="BM18" s="61">
        <v>1.1296940651160552</v>
      </c>
      <c r="BN18" s="66">
        <v>9.5877170360105582E-3</v>
      </c>
      <c r="BO18" s="62">
        <v>1.8</v>
      </c>
      <c r="BP18" s="63" t="s">
        <v>299</v>
      </c>
    </row>
    <row r="19" spans="1:68" ht="14.5" x14ac:dyDescent="0.35">
      <c r="A19" s="67" t="s">
        <v>55</v>
      </c>
      <c r="B19" s="68" t="s">
        <v>60</v>
      </c>
      <c r="C19" s="67" t="str">
        <f t="shared" si="0"/>
        <v>CC_1-24_G</v>
      </c>
      <c r="D19" s="73">
        <v>45297</v>
      </c>
      <c r="E19" s="73" t="s">
        <v>16</v>
      </c>
      <c r="F19" s="73">
        <v>45545</v>
      </c>
      <c r="H19" s="67" t="str">
        <f t="shared" si="1"/>
        <v>C,N,S</v>
      </c>
      <c r="I19" s="67">
        <v>127.4</v>
      </c>
      <c r="K19" s="67">
        <v>150.69999999999999</v>
      </c>
      <c r="L19" s="67">
        <f t="shared" si="2"/>
        <v>23.299999999999983</v>
      </c>
      <c r="M19" s="67">
        <f t="shared" si="3"/>
        <v>109.80000000000001</v>
      </c>
      <c r="O19" s="67">
        <f t="shared" si="4"/>
        <v>24.681238615664842</v>
      </c>
      <c r="P19" s="67">
        <f t="shared" si="5"/>
        <v>5.2374577390254133</v>
      </c>
      <c r="Q19" s="67"/>
      <c r="R19" s="67">
        <f t="shared" si="6"/>
        <v>24.13479052823315</v>
      </c>
      <c r="S19" s="67">
        <f t="shared" si="7"/>
        <v>5.1214992650986515</v>
      </c>
      <c r="T19" s="67"/>
      <c r="U19" s="67">
        <f t="shared" si="8"/>
        <v>51.183970856102</v>
      </c>
      <c r="V19" s="67">
        <f t="shared" si="9"/>
        <v>10.861443724473366</v>
      </c>
      <c r="W19" s="67"/>
      <c r="X19" s="71">
        <v>42.8</v>
      </c>
      <c r="Y19" s="71">
        <v>27.1</v>
      </c>
      <c r="Z19" s="71">
        <f t="shared" si="10"/>
        <v>15.699999999999996</v>
      </c>
      <c r="AA19" s="71">
        <f t="shared" si="11"/>
        <v>5.2374577390254133</v>
      </c>
      <c r="AB19" s="71">
        <f t="shared" si="12"/>
        <v>21.862542260974589</v>
      </c>
      <c r="AC19" s="71">
        <f t="shared" si="13"/>
        <v>0.23956306986193734</v>
      </c>
      <c r="AD19" s="71">
        <v>16.8</v>
      </c>
      <c r="AE19" s="71">
        <f t="shared" si="28"/>
        <v>4.0246595736805473</v>
      </c>
      <c r="AF19" s="71">
        <f t="shared" si="29"/>
        <v>12.775340426319453</v>
      </c>
      <c r="AG19" s="71">
        <v>18.7</v>
      </c>
      <c r="AH19" s="71">
        <f t="shared" si="16"/>
        <v>0.23956306986193734</v>
      </c>
      <c r="AI19" s="71">
        <v>3.3</v>
      </c>
      <c r="AJ19" s="71">
        <f t="shared" si="17"/>
        <v>0.79055813054439317</v>
      </c>
      <c r="AL19" s="67">
        <v>39.1</v>
      </c>
      <c r="AM19" s="67">
        <v>26.5</v>
      </c>
      <c r="AN19" s="67">
        <f t="shared" si="18"/>
        <v>12.600000000000001</v>
      </c>
      <c r="AO19" s="70">
        <f t="shared" si="19"/>
        <v>5.1214992650986515</v>
      </c>
      <c r="AP19" s="70">
        <f t="shared" si="20"/>
        <v>21.378500734901348</v>
      </c>
      <c r="AQ19" s="71">
        <f t="shared" si="21"/>
        <v>0.2395630698619374</v>
      </c>
      <c r="AR19" s="67">
        <v>4.9000000000000004</v>
      </c>
      <c r="AS19" s="70">
        <f t="shared" si="22"/>
        <v>1.1738590423234934</v>
      </c>
      <c r="AU19" s="70">
        <v>80</v>
      </c>
      <c r="AV19" s="70">
        <v>56.2</v>
      </c>
      <c r="AW19" s="70">
        <f t="shared" si="23"/>
        <v>23.799999999999997</v>
      </c>
      <c r="AX19" s="70">
        <f t="shared" si="24"/>
        <v>10.861443724473366</v>
      </c>
      <c r="AY19" s="70">
        <f t="shared" si="25"/>
        <v>45.338556275526635</v>
      </c>
      <c r="AZ19" s="71">
        <f t="shared" si="26"/>
        <v>0.23956306986193737</v>
      </c>
      <c r="BA19" s="70">
        <v>17.5</v>
      </c>
      <c r="BB19" s="70">
        <f t="shared" si="27"/>
        <v>4.1923537225839036</v>
      </c>
      <c r="BD19" s="67" t="s">
        <v>16</v>
      </c>
      <c r="BE19" s="64">
        <v>-28.693401701787803</v>
      </c>
      <c r="BF19" s="64">
        <v>0.30529341755965461</v>
      </c>
      <c r="BG19" s="64">
        <v>2.2700091264348252</v>
      </c>
      <c r="BH19" s="66">
        <v>5.1276220169033007E-2</v>
      </c>
      <c r="BI19" s="62">
        <v>0.9</v>
      </c>
      <c r="BJ19" s="63" t="s">
        <v>300</v>
      </c>
      <c r="BN19" s="66"/>
      <c r="BO19" s="62">
        <v>1.5</v>
      </c>
      <c r="BP19" s="63" t="s">
        <v>311</v>
      </c>
    </row>
    <row r="20" spans="1:68" ht="14.5" x14ac:dyDescent="0.35">
      <c r="A20" s="67" t="s">
        <v>55</v>
      </c>
      <c r="B20" s="68" t="s">
        <v>62</v>
      </c>
      <c r="C20" s="67" t="str">
        <f t="shared" si="0"/>
        <v>CC_4-24_G</v>
      </c>
      <c r="D20" s="73">
        <v>45393</v>
      </c>
      <c r="E20" s="73" t="s">
        <v>16</v>
      </c>
      <c r="F20" s="73">
        <v>45540</v>
      </c>
      <c r="H20" s="67" t="str">
        <f t="shared" si="1"/>
        <v>C,N,S</v>
      </c>
      <c r="I20" s="67">
        <v>130.30000000000001</v>
      </c>
      <c r="K20" s="67">
        <v>182.7</v>
      </c>
      <c r="L20" s="67">
        <f t="shared" si="2"/>
        <v>52.399999999999977</v>
      </c>
      <c r="M20" s="67">
        <f t="shared" si="3"/>
        <v>115.60000000000001</v>
      </c>
      <c r="O20" s="67">
        <f t="shared" si="4"/>
        <v>26.47058823529412</v>
      </c>
      <c r="P20" s="67">
        <f t="shared" si="5"/>
        <v>11.998778750254422</v>
      </c>
      <c r="Q20" s="67"/>
      <c r="R20" s="67">
        <f t="shared" si="6"/>
        <v>27.076124567474047</v>
      </c>
      <c r="S20" s="67">
        <f t="shared" si="7"/>
        <v>12.273260617090306</v>
      </c>
      <c r="T20" s="67"/>
      <c r="U20" s="67">
        <f t="shared" si="8"/>
        <v>46.453287197231838</v>
      </c>
      <c r="V20" s="67">
        <f t="shared" si="9"/>
        <v>21.056680355838644</v>
      </c>
      <c r="W20" s="67"/>
      <c r="X20" s="71">
        <v>46.3</v>
      </c>
      <c r="Y20" s="71">
        <v>30.6</v>
      </c>
      <c r="Z20" s="71">
        <f t="shared" si="10"/>
        <v>15.699999999999996</v>
      </c>
      <c r="AA20" s="71">
        <f t="shared" si="11"/>
        <v>11.998778750254422</v>
      </c>
      <c r="AB20" s="71">
        <f t="shared" si="12"/>
        <v>18.601221249745578</v>
      </c>
      <c r="AC20" s="71">
        <f t="shared" si="13"/>
        <v>0.64505327844635674</v>
      </c>
      <c r="AD20" s="71">
        <v>17.3</v>
      </c>
      <c r="AE20" s="71">
        <f t="shared" si="28"/>
        <v>11.159421717121973</v>
      </c>
      <c r="AF20" s="71">
        <f t="shared" si="29"/>
        <v>6.1405782828780282</v>
      </c>
      <c r="AG20" s="71">
        <v>19.3</v>
      </c>
      <c r="AH20" s="71">
        <f t="shared" si="16"/>
        <v>0.64505327844635674</v>
      </c>
      <c r="AI20" s="71">
        <v>3.3</v>
      </c>
      <c r="AJ20" s="71">
        <f t="shared" si="17"/>
        <v>2.1286758188729773</v>
      </c>
      <c r="AL20" s="67">
        <v>42.6</v>
      </c>
      <c r="AM20" s="67">
        <v>31.3</v>
      </c>
      <c r="AN20" s="67">
        <f t="shared" si="18"/>
        <v>11.3</v>
      </c>
      <c r="AO20" s="70">
        <f t="shared" si="19"/>
        <v>12.273260617090306</v>
      </c>
      <c r="AP20" s="70">
        <f t="shared" si="20"/>
        <v>19.026739382909696</v>
      </c>
      <c r="AQ20" s="71">
        <f t="shared" si="21"/>
        <v>0.64505327844635652</v>
      </c>
      <c r="AR20" s="67">
        <v>4.9000000000000004</v>
      </c>
      <c r="AS20" s="70">
        <f t="shared" si="22"/>
        <v>3.1607610643871471</v>
      </c>
      <c r="AU20" s="70">
        <v>79.2</v>
      </c>
      <c r="AV20" s="70">
        <v>53.7</v>
      </c>
      <c r="AW20" s="70">
        <f t="shared" si="23"/>
        <v>25.5</v>
      </c>
      <c r="AX20" s="70">
        <f t="shared" si="24"/>
        <v>21.056680355838644</v>
      </c>
      <c r="AY20" s="70">
        <f t="shared" si="25"/>
        <v>32.643319644161359</v>
      </c>
      <c r="AZ20" s="71">
        <f t="shared" si="26"/>
        <v>0.64505327844635674</v>
      </c>
      <c r="BA20" s="70">
        <v>15.4</v>
      </c>
      <c r="BB20" s="70">
        <f t="shared" si="27"/>
        <v>9.9338204880738932</v>
      </c>
      <c r="BD20" s="67" t="s">
        <v>16</v>
      </c>
      <c r="BE20" s="64">
        <v>-26.171598811770849</v>
      </c>
      <c r="BF20" s="64">
        <v>0.13918781860711127</v>
      </c>
      <c r="BG20" s="64">
        <v>2.0858491127758736</v>
      </c>
      <c r="BH20" s="66">
        <v>0.28470312788369012</v>
      </c>
      <c r="BI20" s="62">
        <v>1</v>
      </c>
      <c r="BO20" s="62">
        <v>1.6</v>
      </c>
      <c r="BP20" s="63" t="s">
        <v>312</v>
      </c>
    </row>
    <row r="21" spans="1:68" ht="14.5" x14ac:dyDescent="0.35">
      <c r="A21" s="67" t="s">
        <v>55</v>
      </c>
      <c r="B21" s="68" t="s">
        <v>63</v>
      </c>
      <c r="C21" s="67" t="str">
        <f t="shared" si="0"/>
        <v>CC_8-24_G</v>
      </c>
      <c r="D21" s="73">
        <v>45505</v>
      </c>
      <c r="E21" s="73" t="s">
        <v>16</v>
      </c>
      <c r="H21" s="67" t="str">
        <f t="shared" si="1"/>
        <v>C,N,S</v>
      </c>
      <c r="I21" s="67">
        <v>134</v>
      </c>
      <c r="K21" s="67">
        <v>174.4</v>
      </c>
      <c r="L21" s="67">
        <f t="shared" si="2"/>
        <v>40.400000000000006</v>
      </c>
      <c r="M21" s="67">
        <f t="shared" si="3"/>
        <v>118.6</v>
      </c>
      <c r="O21" s="67">
        <f t="shared" si="4"/>
        <v>25.295109612141651</v>
      </c>
      <c r="P21" s="67">
        <f t="shared" si="5"/>
        <v>8.6165466132421837</v>
      </c>
      <c r="Q21" s="67"/>
      <c r="R21" s="67">
        <f t="shared" si="6"/>
        <v>26.138279932546375</v>
      </c>
      <c r="S21" s="67">
        <f t="shared" si="7"/>
        <v>8.9037648336835904</v>
      </c>
      <c r="T21" s="67"/>
      <c r="U21" s="67">
        <f t="shared" si="8"/>
        <v>48.566610455311974</v>
      </c>
      <c r="V21" s="67">
        <f t="shared" si="9"/>
        <v>16.543769497424993</v>
      </c>
      <c r="W21" s="67"/>
      <c r="X21" s="71">
        <v>47.4</v>
      </c>
      <c r="Y21" s="71">
        <v>30</v>
      </c>
      <c r="Z21" s="71">
        <f t="shared" si="10"/>
        <v>17.399999999999999</v>
      </c>
      <c r="AA21" s="71">
        <f t="shared" si="11"/>
        <v>8.6165466132421837</v>
      </c>
      <c r="AB21" s="71">
        <f t="shared" si="12"/>
        <v>21.383453386757814</v>
      </c>
      <c r="AC21" s="71">
        <f t="shared" si="13"/>
        <v>0.40295393159358323</v>
      </c>
      <c r="AD21" s="71">
        <v>16.399999999999999</v>
      </c>
      <c r="AE21" s="71">
        <f t="shared" si="28"/>
        <v>6.6084444781347642</v>
      </c>
      <c r="AF21" s="71">
        <f t="shared" si="29"/>
        <v>9.7915555218652344</v>
      </c>
      <c r="AG21" s="71">
        <v>20.5</v>
      </c>
      <c r="AH21" s="71">
        <f t="shared" si="16"/>
        <v>0.40295393159358323</v>
      </c>
      <c r="AI21" s="71">
        <v>2.9</v>
      </c>
      <c r="AJ21" s="71">
        <f t="shared" si="17"/>
        <v>1.1685664016213912</v>
      </c>
      <c r="AL21" s="67">
        <v>38.200000000000003</v>
      </c>
      <c r="AM21" s="67">
        <v>31</v>
      </c>
      <c r="AN21" s="67">
        <f t="shared" si="18"/>
        <v>7.2000000000000028</v>
      </c>
      <c r="AO21" s="70">
        <f t="shared" si="19"/>
        <v>8.9037648336835904</v>
      </c>
      <c r="AP21" s="70">
        <f t="shared" si="20"/>
        <v>22.096235166316411</v>
      </c>
      <c r="AQ21" s="71">
        <f t="shared" si="21"/>
        <v>0.40295393159358317</v>
      </c>
      <c r="AR21" s="67">
        <v>5.2</v>
      </c>
      <c r="AS21" s="70">
        <f t="shared" si="22"/>
        <v>2.0953604442866327</v>
      </c>
      <c r="AU21" s="70">
        <v>85.1</v>
      </c>
      <c r="AV21" s="70">
        <v>57.6</v>
      </c>
      <c r="AW21" s="70">
        <f t="shared" si="23"/>
        <v>27.499999999999993</v>
      </c>
      <c r="AX21" s="70">
        <f t="shared" si="24"/>
        <v>16.543769497424993</v>
      </c>
      <c r="AY21" s="70">
        <f t="shared" si="25"/>
        <v>41.056230502575005</v>
      </c>
      <c r="AZ21" s="71">
        <f t="shared" si="26"/>
        <v>0.40295393159358323</v>
      </c>
      <c r="BA21" s="70">
        <v>14.5</v>
      </c>
      <c r="BB21" s="70">
        <f t="shared" si="27"/>
        <v>5.8428320081069565</v>
      </c>
      <c r="BD21" s="67" t="s">
        <v>16</v>
      </c>
      <c r="BE21" s="64">
        <v>-24.714972337248572</v>
      </c>
      <c r="BF21" s="64">
        <v>0.15033940216654362</v>
      </c>
      <c r="BG21" s="64">
        <v>2.831942608580198</v>
      </c>
      <c r="BH21" s="66">
        <v>4.3981972690541084E-2</v>
      </c>
      <c r="BI21" s="62">
        <v>1</v>
      </c>
      <c r="BJ21" s="63" t="s">
        <v>299</v>
      </c>
      <c r="BO21" s="62">
        <v>1.7</v>
      </c>
      <c r="BP21" s="63" t="s">
        <v>313</v>
      </c>
    </row>
    <row r="22" spans="1:68" ht="14.5" x14ac:dyDescent="0.35">
      <c r="A22" s="67" t="s">
        <v>55</v>
      </c>
      <c r="B22" s="68" t="s">
        <v>14</v>
      </c>
      <c r="C22" s="67" t="str">
        <f t="shared" si="0"/>
        <v>CC_9-23_G</v>
      </c>
      <c r="D22" s="73">
        <v>45204</v>
      </c>
      <c r="E22" s="73" t="s">
        <v>16</v>
      </c>
      <c r="F22" s="73">
        <v>45275</v>
      </c>
      <c r="H22" s="67" t="str">
        <f t="shared" si="1"/>
        <v>C,N,S</v>
      </c>
      <c r="J22" s="67">
        <v>130.50101010101005</v>
      </c>
      <c r="K22" s="67">
        <v>174.2</v>
      </c>
      <c r="L22" s="67">
        <f>K22-J22</f>
        <v>43.698989898989936</v>
      </c>
      <c r="M22" s="67">
        <f t="shared" si="3"/>
        <v>114.4</v>
      </c>
      <c r="O22" s="67">
        <f t="shared" si="4"/>
        <v>27.97202797202797</v>
      </c>
      <c r="P22" s="67">
        <f t="shared" si="5"/>
        <v>10.684872096188061</v>
      </c>
      <c r="Q22" s="67"/>
      <c r="R22" s="67">
        <f t="shared" si="6"/>
        <v>21.15384615384615</v>
      </c>
      <c r="S22" s="67">
        <f t="shared" si="7"/>
        <v>8.0804345227422196</v>
      </c>
      <c r="T22" s="67"/>
      <c r="U22" s="67">
        <f t="shared" si="8"/>
        <v>50.874125874125873</v>
      </c>
      <c r="V22" s="67">
        <f t="shared" si="9"/>
        <v>19.433111124942037</v>
      </c>
      <c r="W22" s="67"/>
      <c r="X22" s="71">
        <v>40.6</v>
      </c>
      <c r="Y22" s="71">
        <v>32</v>
      </c>
      <c r="Z22" s="71">
        <f t="shared" si="10"/>
        <v>8.6000000000000014</v>
      </c>
      <c r="AA22" s="71">
        <f t="shared" si="11"/>
        <v>10.684872096188061</v>
      </c>
      <c r="AB22" s="71">
        <f t="shared" si="12"/>
        <v>21.315127903811941</v>
      </c>
      <c r="AC22" s="71">
        <f t="shared" si="13"/>
        <v>0.5012811625811171</v>
      </c>
      <c r="AD22" s="71">
        <v>16.5</v>
      </c>
      <c r="AE22" s="71">
        <f t="shared" si="28"/>
        <v>8.2711391825884313</v>
      </c>
      <c r="AF22" s="71">
        <f t="shared" si="29"/>
        <v>8.2288608174115687</v>
      </c>
      <c r="AG22" s="71">
        <v>21.7</v>
      </c>
      <c r="AH22" s="71">
        <f t="shared" si="16"/>
        <v>0.5012811625811171</v>
      </c>
      <c r="AI22" s="71">
        <v>4.4000000000000004</v>
      </c>
      <c r="AJ22" s="71">
        <f t="shared" si="17"/>
        <v>2.2056371153569154</v>
      </c>
      <c r="AL22" s="67">
        <v>36.9</v>
      </c>
      <c r="AM22" s="67">
        <v>24.2</v>
      </c>
      <c r="AN22" s="67">
        <f t="shared" si="18"/>
        <v>12.7</v>
      </c>
      <c r="AO22" s="70">
        <f t="shared" si="19"/>
        <v>8.0804345227422196</v>
      </c>
      <c r="AP22" s="70">
        <f t="shared" si="20"/>
        <v>16.11956547725778</v>
      </c>
      <c r="AQ22" s="71">
        <f t="shared" si="21"/>
        <v>0.5012811625811171</v>
      </c>
      <c r="AR22" s="67">
        <v>8.1999999999999993</v>
      </c>
      <c r="AS22" s="70">
        <f t="shared" si="22"/>
        <v>4.1105055331651599</v>
      </c>
      <c r="AU22" s="70">
        <v>77.099999999999994</v>
      </c>
      <c r="AV22" s="70">
        <v>58.2</v>
      </c>
      <c r="AW22" s="70">
        <f t="shared" si="23"/>
        <v>18.899999999999991</v>
      </c>
      <c r="AX22" s="70">
        <f t="shared" si="24"/>
        <v>19.433111124942037</v>
      </c>
      <c r="AY22" s="70">
        <f t="shared" si="25"/>
        <v>38.766888875057965</v>
      </c>
      <c r="AZ22" s="71">
        <f t="shared" si="26"/>
        <v>0.50128116258111721</v>
      </c>
      <c r="BA22" s="70">
        <v>26.1</v>
      </c>
      <c r="BB22" s="70">
        <f t="shared" si="27"/>
        <v>13.08343834336716</v>
      </c>
      <c r="BD22" s="67" t="s">
        <v>16</v>
      </c>
      <c r="BE22" s="64">
        <v>-25.201639330971329</v>
      </c>
      <c r="BF22" s="64">
        <v>0.14076139695715434</v>
      </c>
      <c r="BG22" s="64">
        <v>1.566366567904778</v>
      </c>
      <c r="BH22" s="66">
        <v>2.6776250697342102E-2</v>
      </c>
      <c r="BI22" s="62">
        <v>0.9</v>
      </c>
      <c r="BJ22" s="63" t="s">
        <v>299</v>
      </c>
      <c r="BN22" s="66"/>
      <c r="BO22" s="62">
        <v>1.9</v>
      </c>
      <c r="BP22" s="63" t="s">
        <v>314</v>
      </c>
    </row>
    <row r="23" spans="1:68" ht="14.5" x14ac:dyDescent="0.35">
      <c r="A23" s="67" t="s">
        <v>19</v>
      </c>
      <c r="B23" s="68" t="s">
        <v>56</v>
      </c>
      <c r="C23" s="67" t="str">
        <f t="shared" si="0"/>
        <v>CP_11_23_G</v>
      </c>
      <c r="D23" s="73">
        <v>45259</v>
      </c>
      <c r="E23" s="73" t="s">
        <v>16</v>
      </c>
      <c r="F23" s="73">
        <v>45544</v>
      </c>
      <c r="H23" s="67" t="str">
        <f t="shared" si="1"/>
        <v>C,N,S</v>
      </c>
      <c r="I23" s="67">
        <v>128</v>
      </c>
      <c r="K23" s="67">
        <v>156.1</v>
      </c>
      <c r="L23" s="67">
        <f t="shared" ref="L23:L31" si="30">K23-I23</f>
        <v>28.099999999999994</v>
      </c>
      <c r="M23" s="67">
        <f t="shared" si="3"/>
        <v>117.7</v>
      </c>
      <c r="O23" s="67">
        <f t="shared" si="4"/>
        <v>24.808836023789294</v>
      </c>
      <c r="P23" s="67">
        <f t="shared" si="5"/>
        <v>5.9229251679564907</v>
      </c>
      <c r="Q23" s="67"/>
      <c r="R23" s="67">
        <f t="shared" si="6"/>
        <v>26.338147833474935</v>
      </c>
      <c r="S23" s="67">
        <f t="shared" si="7"/>
        <v>6.2880369933784666</v>
      </c>
      <c r="T23" s="67"/>
      <c r="U23" s="67">
        <f t="shared" si="8"/>
        <v>48.853016142735768</v>
      </c>
      <c r="V23" s="67">
        <f t="shared" si="9"/>
        <v>11.663294423201995</v>
      </c>
      <c r="W23" s="67"/>
      <c r="X23" s="71">
        <v>39.9</v>
      </c>
      <c r="Y23" s="71">
        <v>29.2</v>
      </c>
      <c r="Z23" s="71">
        <f t="shared" si="10"/>
        <v>10.7</v>
      </c>
      <c r="AA23" s="71">
        <f t="shared" si="11"/>
        <v>5.9229251679564907</v>
      </c>
      <c r="AB23" s="71">
        <f t="shared" si="12"/>
        <v>23.27707483204351</v>
      </c>
      <c r="AC23" s="71">
        <f t="shared" si="13"/>
        <v>0.25445315662270923</v>
      </c>
      <c r="AD23" s="71">
        <v>23.7</v>
      </c>
      <c r="AE23" s="71">
        <f t="shared" si="28"/>
        <v>6.0305398119582083</v>
      </c>
      <c r="AF23" s="71">
        <f t="shared" si="29"/>
        <v>17.669460188041789</v>
      </c>
      <c r="AG23" s="71">
        <v>26.8</v>
      </c>
      <c r="AH23" s="71">
        <f t="shared" si="16"/>
        <v>0.25445315662270923</v>
      </c>
      <c r="AI23" s="71">
        <v>4.0999999999999996</v>
      </c>
      <c r="AJ23" s="71">
        <f t="shared" si="17"/>
        <v>1.0432579421531079</v>
      </c>
      <c r="AL23" s="67">
        <v>40.700000000000003</v>
      </c>
      <c r="AM23" s="67">
        <v>31</v>
      </c>
      <c r="AN23" s="67">
        <f t="shared" si="18"/>
        <v>9.7000000000000028</v>
      </c>
      <c r="AO23" s="70">
        <f t="shared" si="19"/>
        <v>6.2880369933784666</v>
      </c>
      <c r="AP23" s="70">
        <f t="shared" si="20"/>
        <v>24.711963006621534</v>
      </c>
      <c r="AQ23" s="71">
        <f t="shared" si="21"/>
        <v>0.25445315662270929</v>
      </c>
      <c r="AR23" s="67">
        <v>6.8</v>
      </c>
      <c r="AS23" s="70">
        <f t="shared" si="22"/>
        <v>1.7302814650344231</v>
      </c>
      <c r="AU23" s="70">
        <v>74.900000000000006</v>
      </c>
      <c r="AV23" s="70">
        <v>57.5</v>
      </c>
      <c r="AW23" s="70">
        <f t="shared" si="23"/>
        <v>17.400000000000006</v>
      </c>
      <c r="AX23" s="70">
        <f t="shared" si="24"/>
        <v>11.663294423201995</v>
      </c>
      <c r="AY23" s="70">
        <f t="shared" si="25"/>
        <v>45.836705576798003</v>
      </c>
      <c r="AZ23" s="71">
        <f t="shared" si="26"/>
        <v>0.25445315662270929</v>
      </c>
      <c r="BA23" s="70">
        <v>22.2</v>
      </c>
      <c r="BB23" s="70">
        <f t="shared" si="27"/>
        <v>5.6488600770241462</v>
      </c>
      <c r="BD23" s="67" t="s">
        <v>16</v>
      </c>
      <c r="BE23" s="64">
        <v>-27.206532695028585</v>
      </c>
      <c r="BF23" s="64">
        <v>0.13859179823598486</v>
      </c>
      <c r="BG23" s="64">
        <v>4.1017409446367079</v>
      </c>
      <c r="BH23" s="66">
        <v>0.18732922684338837</v>
      </c>
      <c r="BI23" s="62">
        <v>1</v>
      </c>
      <c r="BJ23" s="63" t="s">
        <v>299</v>
      </c>
      <c r="BN23" s="66"/>
      <c r="BO23" s="62">
        <v>1.4</v>
      </c>
      <c r="BP23" s="63" t="s">
        <v>315</v>
      </c>
    </row>
    <row r="24" spans="1:68" ht="14.5" x14ac:dyDescent="0.35">
      <c r="A24" s="67" t="s">
        <v>19</v>
      </c>
      <c r="B24" s="68" t="s">
        <v>58</v>
      </c>
      <c r="C24" s="67" t="str">
        <f t="shared" si="0"/>
        <v>CP_7-24_G</v>
      </c>
      <c r="D24" s="73">
        <v>45476</v>
      </c>
      <c r="E24" s="67" t="s">
        <v>16</v>
      </c>
      <c r="H24" s="67" t="str">
        <f t="shared" si="1"/>
        <v>C,N,S</v>
      </c>
      <c r="I24" s="67">
        <v>135</v>
      </c>
      <c r="K24" s="67">
        <v>150.30000000000001</v>
      </c>
      <c r="L24" s="67">
        <f t="shared" si="30"/>
        <v>15.300000000000011</v>
      </c>
      <c r="M24" s="67">
        <f t="shared" si="3"/>
        <v>106.4</v>
      </c>
      <c r="O24" s="67">
        <f t="shared" si="4"/>
        <v>29.229323308270676</v>
      </c>
      <c r="P24" s="67">
        <f t="shared" si="5"/>
        <v>4.2030887839900535</v>
      </c>
      <c r="Q24" s="67"/>
      <c r="R24" s="67">
        <f t="shared" si="6"/>
        <v>22.744360902255636</v>
      </c>
      <c r="S24" s="67">
        <f t="shared" si="7"/>
        <v>3.2705706936514236</v>
      </c>
      <c r="T24" s="67"/>
      <c r="U24" s="67">
        <f t="shared" si="8"/>
        <v>48.026315789473685</v>
      </c>
      <c r="V24" s="67">
        <f t="shared" si="9"/>
        <v>6.9060397704788334</v>
      </c>
      <c r="W24" s="67"/>
      <c r="X24" s="71">
        <v>39.4</v>
      </c>
      <c r="Y24" s="71">
        <v>31.1</v>
      </c>
      <c r="Z24" s="71">
        <f t="shared" si="10"/>
        <v>8.2999999999999972</v>
      </c>
      <c r="AA24" s="71">
        <f t="shared" si="11"/>
        <v>4.2030887839900535</v>
      </c>
      <c r="AB24" s="71">
        <f t="shared" si="12"/>
        <v>26.896911216009947</v>
      </c>
      <c r="AC24" s="71">
        <f t="shared" si="13"/>
        <v>0.15626659694248585</v>
      </c>
      <c r="AD24" s="71">
        <v>23.5</v>
      </c>
      <c r="AE24" s="71">
        <f t="shared" si="28"/>
        <v>3.6722650281484173</v>
      </c>
      <c r="AF24" s="71">
        <f t="shared" si="29"/>
        <v>19.827734971851584</v>
      </c>
      <c r="AG24" s="71">
        <v>21.8</v>
      </c>
      <c r="AH24" s="71">
        <f t="shared" si="16"/>
        <v>0.15626659694248585</v>
      </c>
      <c r="AI24" s="71">
        <v>4.0999999999999996</v>
      </c>
      <c r="AJ24" s="71">
        <f t="shared" si="17"/>
        <v>0.64069304746419187</v>
      </c>
      <c r="AL24" s="67">
        <v>39.799999999999997</v>
      </c>
      <c r="AM24" s="67">
        <v>24.2</v>
      </c>
      <c r="AN24" s="67">
        <f t="shared" si="18"/>
        <v>15.599999999999998</v>
      </c>
      <c r="AO24" s="70">
        <f t="shared" si="19"/>
        <v>3.2705706936514236</v>
      </c>
      <c r="AP24" s="70">
        <f t="shared" si="20"/>
        <v>20.929429306348574</v>
      </c>
      <c r="AQ24" s="71">
        <f t="shared" si="21"/>
        <v>0.15626659694248585</v>
      </c>
      <c r="AR24" s="67">
        <v>5.7</v>
      </c>
      <c r="AS24" s="70">
        <f t="shared" si="22"/>
        <v>0.89071960257216931</v>
      </c>
      <c r="AU24" s="70">
        <v>75.400000000000006</v>
      </c>
      <c r="AV24" s="70">
        <v>51.1</v>
      </c>
      <c r="AW24" s="70">
        <f t="shared" si="23"/>
        <v>24.300000000000004</v>
      </c>
      <c r="AX24" s="70">
        <f t="shared" si="24"/>
        <v>6.9060397704788334</v>
      </c>
      <c r="AY24" s="70">
        <f t="shared" si="25"/>
        <v>44.193960229521167</v>
      </c>
      <c r="AZ24" s="71">
        <f t="shared" si="26"/>
        <v>0.15626659694248585</v>
      </c>
      <c r="BA24" s="70">
        <v>18.899999999999999</v>
      </c>
      <c r="BB24" s="70">
        <f t="shared" si="27"/>
        <v>2.9534386822129823</v>
      </c>
      <c r="BD24" s="67" t="s">
        <v>16</v>
      </c>
      <c r="BE24" s="64">
        <v>-26.131452608812161</v>
      </c>
      <c r="BF24" s="64">
        <v>0.13917749988596331</v>
      </c>
      <c r="BG24" s="64">
        <v>8.5145817285383441</v>
      </c>
      <c r="BH24" s="66">
        <v>0.20006339992021163</v>
      </c>
      <c r="BI24" s="62">
        <v>1</v>
      </c>
      <c r="BK24" s="64">
        <v>2.8540960042930048</v>
      </c>
      <c r="BL24" s="65">
        <v>0.25377036048890023</v>
      </c>
      <c r="BM24" s="61">
        <v>0.79725760570901527</v>
      </c>
      <c r="BN24" s="66">
        <v>1.7708235188820809E-2</v>
      </c>
      <c r="BO24" s="62">
        <v>1.5</v>
      </c>
      <c r="BP24" s="63" t="s">
        <v>299</v>
      </c>
    </row>
    <row r="25" spans="1:68" ht="14.5" x14ac:dyDescent="0.35">
      <c r="A25" s="67" t="s">
        <v>19</v>
      </c>
      <c r="B25" s="68" t="s">
        <v>14</v>
      </c>
      <c r="C25" s="67" t="str">
        <f t="shared" si="0"/>
        <v>CP_9-23_G</v>
      </c>
      <c r="D25" s="73">
        <v>45184</v>
      </c>
      <c r="E25" s="73" t="s">
        <v>16</v>
      </c>
      <c r="F25" s="73">
        <v>45539</v>
      </c>
      <c r="H25" s="67" t="str">
        <f t="shared" si="1"/>
        <v>C,N,S</v>
      </c>
      <c r="I25" s="67">
        <v>129.6</v>
      </c>
      <c r="K25" s="67">
        <v>148.6</v>
      </c>
      <c r="L25" s="67">
        <f t="shared" si="30"/>
        <v>19</v>
      </c>
      <c r="M25" s="67">
        <f t="shared" si="3"/>
        <v>114.3</v>
      </c>
      <c r="O25" s="67">
        <f t="shared" si="4"/>
        <v>23.272090988626424</v>
      </c>
      <c r="P25" s="67">
        <f t="shared" si="5"/>
        <v>3.8685015641636227</v>
      </c>
      <c r="Q25" s="67"/>
      <c r="R25" s="67">
        <f t="shared" si="6"/>
        <v>25.54680664916885</v>
      </c>
      <c r="S25" s="67">
        <f t="shared" si="7"/>
        <v>4.2466257772021718</v>
      </c>
      <c r="T25" s="67"/>
      <c r="U25" s="67">
        <f t="shared" si="8"/>
        <v>51.181102362204726</v>
      </c>
      <c r="V25" s="67">
        <f t="shared" si="9"/>
        <v>8.5077947933673652</v>
      </c>
      <c r="W25" s="67"/>
      <c r="X25" s="71">
        <v>33.200000000000003</v>
      </c>
      <c r="Y25" s="71">
        <v>26.6</v>
      </c>
      <c r="Z25" s="71">
        <f t="shared" si="10"/>
        <v>6.6000000000000014</v>
      </c>
      <c r="AA25" s="71">
        <f t="shared" si="11"/>
        <v>3.8685015641636227</v>
      </c>
      <c r="AB25" s="71">
        <f t="shared" si="12"/>
        <v>22.731498435836379</v>
      </c>
      <c r="AC25" s="71">
        <f t="shared" si="13"/>
        <v>0.17018242660435007</v>
      </c>
      <c r="AD25" s="71">
        <v>18.2</v>
      </c>
      <c r="AE25" s="71">
        <f t="shared" si="28"/>
        <v>3.097320164199171</v>
      </c>
      <c r="AF25" s="71">
        <f t="shared" si="29"/>
        <v>15.102679835800828</v>
      </c>
      <c r="AG25" s="71">
        <v>19.3</v>
      </c>
      <c r="AH25" s="71">
        <f t="shared" si="16"/>
        <v>0.17018242660435007</v>
      </c>
      <c r="AI25" s="71">
        <v>4.2</v>
      </c>
      <c r="AJ25" s="71">
        <f t="shared" si="17"/>
        <v>0.71476619173827027</v>
      </c>
      <c r="AL25" s="67">
        <v>41.4</v>
      </c>
      <c r="AM25" s="67">
        <v>29.2</v>
      </c>
      <c r="AN25" s="67">
        <f t="shared" si="18"/>
        <v>12.2</v>
      </c>
      <c r="AO25" s="70">
        <f t="shared" si="19"/>
        <v>4.2466257772021718</v>
      </c>
      <c r="AP25" s="70">
        <f t="shared" si="20"/>
        <v>24.953374222797827</v>
      </c>
      <c r="AQ25" s="71">
        <f t="shared" si="21"/>
        <v>0.17018242660435007</v>
      </c>
      <c r="AR25" s="67">
        <v>5.8</v>
      </c>
      <c r="AS25" s="70">
        <f t="shared" si="22"/>
        <v>0.9870580743052304</v>
      </c>
      <c r="AU25" s="70">
        <v>77.7</v>
      </c>
      <c r="AV25" s="70">
        <v>58.5</v>
      </c>
      <c r="AW25" s="70">
        <f t="shared" si="23"/>
        <v>19.200000000000003</v>
      </c>
      <c r="AX25" s="70">
        <f t="shared" si="24"/>
        <v>8.5077947933673652</v>
      </c>
      <c r="AY25" s="70">
        <f t="shared" si="25"/>
        <v>49.992205206632633</v>
      </c>
      <c r="AZ25" s="71">
        <f t="shared" si="26"/>
        <v>0.17018242660435007</v>
      </c>
      <c r="BA25" s="70">
        <v>23.5</v>
      </c>
      <c r="BB25" s="70">
        <f t="shared" si="27"/>
        <v>3.9992870252022268</v>
      </c>
      <c r="BD25" s="67" t="s">
        <v>16</v>
      </c>
      <c r="BE25" s="64">
        <v>-25.707074370219306</v>
      </c>
      <c r="BF25" s="64">
        <v>0.15088075777876259</v>
      </c>
      <c r="BG25" s="64">
        <v>6.5318709558041617</v>
      </c>
      <c r="BH25" s="66">
        <v>4.7438771867185876E-2</v>
      </c>
      <c r="BI25" s="62">
        <v>0.8</v>
      </c>
      <c r="BJ25" s="63" t="s">
        <v>299</v>
      </c>
      <c r="BN25" s="66"/>
      <c r="BO25" s="62">
        <v>1.3</v>
      </c>
      <c r="BP25" s="63" t="s">
        <v>316</v>
      </c>
    </row>
    <row r="26" spans="1:68" ht="14.5" x14ac:dyDescent="0.35">
      <c r="A26" s="75" t="s">
        <v>29</v>
      </c>
      <c r="B26" s="76" t="s">
        <v>110</v>
      </c>
      <c r="C26" s="75" t="str">
        <f t="shared" si="0"/>
        <v>DC1_11-24_G</v>
      </c>
      <c r="D26" s="77">
        <v>45612</v>
      </c>
      <c r="E26" s="67" t="s">
        <v>16</v>
      </c>
      <c r="F26" s="77"/>
      <c r="G26" s="75"/>
      <c r="H26" s="67" t="str">
        <f t="shared" si="1"/>
        <v>C,N,S</v>
      </c>
      <c r="I26" s="75">
        <v>133.6</v>
      </c>
      <c r="J26" s="75"/>
      <c r="K26" s="75">
        <v>162.5</v>
      </c>
      <c r="L26" s="75">
        <f t="shared" si="30"/>
        <v>28.900000000000006</v>
      </c>
      <c r="M26" s="75">
        <f t="shared" si="3"/>
        <v>108.7</v>
      </c>
      <c r="O26" s="67">
        <f t="shared" si="4"/>
        <v>25.390984360625573</v>
      </c>
      <c r="P26" s="67">
        <f t="shared" si="5"/>
        <v>6.7506848944073523</v>
      </c>
      <c r="Q26" s="67"/>
      <c r="R26" s="67">
        <f t="shared" si="6"/>
        <v>25.390984360625573</v>
      </c>
      <c r="S26" s="67">
        <f t="shared" si="7"/>
        <v>6.7506848944073523</v>
      </c>
      <c r="T26" s="67"/>
      <c r="U26" s="67">
        <f t="shared" si="8"/>
        <v>49.218031278748846</v>
      </c>
      <c r="V26" s="67">
        <f t="shared" si="9"/>
        <v>13.085566733724397</v>
      </c>
      <c r="W26" s="67"/>
      <c r="X26" s="71">
        <v>40.9</v>
      </c>
      <c r="Y26" s="71">
        <v>27.6</v>
      </c>
      <c r="Z26" s="71">
        <f t="shared" si="10"/>
        <v>13.299999999999997</v>
      </c>
      <c r="AA26" s="71">
        <f t="shared" si="11"/>
        <v>6.7506848944073523</v>
      </c>
      <c r="AB26" s="71">
        <f t="shared" si="12"/>
        <v>20.849315105592648</v>
      </c>
      <c r="AC26" s="71">
        <f t="shared" si="13"/>
        <v>0.32378449173117152</v>
      </c>
      <c r="AD26" s="71">
        <v>20.399999999999999</v>
      </c>
      <c r="AE26" s="71">
        <f t="shared" si="28"/>
        <v>6.6052036313158986</v>
      </c>
      <c r="AF26" s="71">
        <f t="shared" si="29"/>
        <v>13.7947963686841</v>
      </c>
      <c r="AG26" s="71">
        <v>18.100000000000001</v>
      </c>
      <c r="AH26" s="71">
        <f t="shared" si="16"/>
        <v>0.32378449173117152</v>
      </c>
      <c r="AI26" s="71">
        <v>5.2</v>
      </c>
      <c r="AJ26" s="71">
        <f t="shared" si="17"/>
        <v>1.683679357002092</v>
      </c>
      <c r="AL26" s="67">
        <v>31.4</v>
      </c>
      <c r="AM26" s="67">
        <v>27.6</v>
      </c>
      <c r="AN26" s="67">
        <f t="shared" si="18"/>
        <v>3.7999999999999972</v>
      </c>
      <c r="AO26" s="70">
        <f t="shared" si="19"/>
        <v>6.7506848944073523</v>
      </c>
      <c r="AP26" s="70">
        <f t="shared" si="20"/>
        <v>20.849315105592648</v>
      </c>
      <c r="AQ26" s="71">
        <f t="shared" si="21"/>
        <v>0.32378449173117152</v>
      </c>
      <c r="AR26" s="67">
        <v>6.3</v>
      </c>
      <c r="AS26" s="70">
        <f t="shared" si="22"/>
        <v>2.0398422979063806</v>
      </c>
      <c r="AU26" s="70">
        <v>74</v>
      </c>
      <c r="AV26" s="70">
        <v>53.5</v>
      </c>
      <c r="AW26" s="70">
        <f t="shared" si="23"/>
        <v>20.5</v>
      </c>
      <c r="AX26" s="70">
        <f t="shared" si="24"/>
        <v>13.085566733724397</v>
      </c>
      <c r="AY26" s="70">
        <f t="shared" si="25"/>
        <v>40.414433266275601</v>
      </c>
      <c r="AZ26" s="71">
        <f t="shared" si="26"/>
        <v>0.32378449173117158</v>
      </c>
      <c r="BA26" s="70">
        <v>31.2</v>
      </c>
      <c r="BB26" s="70">
        <f t="shared" si="27"/>
        <v>10.102076142012553</v>
      </c>
      <c r="BD26" s="67" t="s">
        <v>16</v>
      </c>
      <c r="BE26" s="64">
        <v>-24.168468213957354</v>
      </c>
      <c r="BF26" s="64">
        <v>0.27178048579154723</v>
      </c>
      <c r="BG26" s="64">
        <v>2.9056707918982982</v>
      </c>
      <c r="BH26" s="66">
        <v>0.22608131431539896</v>
      </c>
      <c r="BI26" s="62">
        <v>0.8</v>
      </c>
      <c r="BJ26" s="63" t="s">
        <v>301</v>
      </c>
      <c r="BK26" s="64">
        <v>3.0731139707033779</v>
      </c>
      <c r="BL26" s="65">
        <v>0.37966466085092709</v>
      </c>
      <c r="BM26" s="61">
        <v>0.51661219744513864</v>
      </c>
      <c r="BN26" s="66">
        <v>1.15346004855932E-2</v>
      </c>
      <c r="BO26" s="62">
        <v>1.7</v>
      </c>
      <c r="BP26" s="63" t="s">
        <v>317</v>
      </c>
    </row>
    <row r="27" spans="1:68" ht="14.5" x14ac:dyDescent="0.35">
      <c r="A27" s="67" t="s">
        <v>29</v>
      </c>
      <c r="B27" s="68" t="s">
        <v>62</v>
      </c>
      <c r="C27" s="67" t="str">
        <f t="shared" si="0"/>
        <v>DC1_4-24_G</v>
      </c>
      <c r="D27" s="73">
        <v>45392</v>
      </c>
      <c r="E27" s="73" t="s">
        <v>16</v>
      </c>
      <c r="F27" s="73">
        <v>45540</v>
      </c>
      <c r="H27" s="67" t="str">
        <f t="shared" si="1"/>
        <v>C,N,S</v>
      </c>
      <c r="I27" s="67">
        <v>130.80000000000001</v>
      </c>
      <c r="K27" s="67">
        <v>151.1</v>
      </c>
      <c r="L27" s="67">
        <f t="shared" si="30"/>
        <v>20.299999999999983</v>
      </c>
      <c r="M27" s="67">
        <f t="shared" si="3"/>
        <v>135.4</v>
      </c>
      <c r="O27" s="67">
        <f t="shared" si="4"/>
        <v>25.997045790251111</v>
      </c>
      <c r="P27" s="67">
        <f t="shared" si="5"/>
        <v>3.8976368503847643</v>
      </c>
      <c r="Q27" s="67"/>
      <c r="R27" s="67">
        <f t="shared" si="6"/>
        <v>28.508124076809455</v>
      </c>
      <c r="S27" s="67">
        <f t="shared" si="7"/>
        <v>4.2741131370696559</v>
      </c>
      <c r="T27" s="67"/>
      <c r="U27" s="67">
        <f t="shared" si="8"/>
        <v>45.494830132939441</v>
      </c>
      <c r="V27" s="67">
        <f t="shared" si="9"/>
        <v>6.8208644881733367</v>
      </c>
      <c r="W27" s="67"/>
      <c r="X27" s="71">
        <v>52</v>
      </c>
      <c r="Y27" s="71">
        <v>35.200000000000003</v>
      </c>
      <c r="Z27" s="71">
        <f t="shared" si="10"/>
        <v>16.799999999999997</v>
      </c>
      <c r="AA27" s="71">
        <f t="shared" si="11"/>
        <v>3.8976368503847643</v>
      </c>
      <c r="AB27" s="71">
        <f t="shared" si="12"/>
        <v>31.302363149615239</v>
      </c>
      <c r="AC27" s="71">
        <f t="shared" si="13"/>
        <v>0.12451573805323618</v>
      </c>
      <c r="AD27" s="71">
        <v>29.4</v>
      </c>
      <c r="AE27" s="71">
        <f t="shared" si="28"/>
        <v>3.6607626987651436</v>
      </c>
      <c r="AF27" s="71">
        <f t="shared" si="29"/>
        <v>25.739237301234855</v>
      </c>
      <c r="AG27" s="71">
        <v>27.2</v>
      </c>
      <c r="AH27" s="71">
        <f t="shared" si="16"/>
        <v>0.12451573805323618</v>
      </c>
      <c r="AI27" s="71">
        <v>1.3</v>
      </c>
      <c r="AJ27" s="71">
        <f t="shared" si="17"/>
        <v>0.16187045946920703</v>
      </c>
      <c r="AL27" s="67">
        <v>55.2</v>
      </c>
      <c r="AM27" s="67">
        <v>38.6</v>
      </c>
      <c r="AN27" s="67">
        <f t="shared" si="18"/>
        <v>16.600000000000001</v>
      </c>
      <c r="AO27" s="70">
        <f t="shared" si="19"/>
        <v>4.2741131370696559</v>
      </c>
      <c r="AP27" s="70">
        <f t="shared" si="20"/>
        <v>34.325886862930346</v>
      </c>
      <c r="AQ27" s="71">
        <f t="shared" si="21"/>
        <v>0.12451573805323618</v>
      </c>
      <c r="AR27" s="67">
        <v>2.4</v>
      </c>
      <c r="AS27" s="70">
        <f t="shared" si="22"/>
        <v>0.29883777132776684</v>
      </c>
      <c r="AU27" s="70">
        <v>100.2</v>
      </c>
      <c r="AV27" s="70">
        <v>61.6</v>
      </c>
      <c r="AW27" s="70">
        <f t="shared" si="23"/>
        <v>38.6</v>
      </c>
      <c r="AX27" s="70">
        <f t="shared" si="24"/>
        <v>6.8208644881733367</v>
      </c>
      <c r="AY27" s="70">
        <f t="shared" si="25"/>
        <v>54.779135511826667</v>
      </c>
      <c r="AZ27" s="71">
        <f t="shared" si="26"/>
        <v>0.12451573805323618</v>
      </c>
      <c r="BA27" s="70">
        <v>7.6</v>
      </c>
      <c r="BB27" s="70">
        <f t="shared" si="27"/>
        <v>0.9463196092045949</v>
      </c>
      <c r="BD27" s="67" t="s">
        <v>16</v>
      </c>
      <c r="BE27" s="64">
        <v>-24.915396990373974</v>
      </c>
      <c r="BF27" s="64">
        <v>0.1504469192736608</v>
      </c>
      <c r="BG27" s="64">
        <v>10.857672658069275</v>
      </c>
      <c r="BH27" s="66">
        <v>2.9343079071470636E-2</v>
      </c>
      <c r="BI27" s="62">
        <v>1</v>
      </c>
      <c r="BJ27" s="63" t="s">
        <v>299</v>
      </c>
      <c r="BK27" s="64">
        <v>5.90655989329478</v>
      </c>
      <c r="BL27" s="65">
        <v>0.25598703758498687</v>
      </c>
      <c r="BM27" s="61">
        <v>1.8405952948368376</v>
      </c>
      <c r="BN27" s="66">
        <v>1.4846569206964711E-2</v>
      </c>
      <c r="BO27" s="62">
        <v>1.4</v>
      </c>
      <c r="BP27" s="63" t="s">
        <v>299</v>
      </c>
    </row>
    <row r="28" spans="1:68" ht="14.5" x14ac:dyDescent="0.35">
      <c r="A28" s="67" t="s">
        <v>29</v>
      </c>
      <c r="B28" s="68" t="s">
        <v>63</v>
      </c>
      <c r="C28" s="67" t="str">
        <f t="shared" si="0"/>
        <v>DC1_8-24_G</v>
      </c>
      <c r="D28" s="73">
        <v>45505</v>
      </c>
      <c r="E28" s="67" t="s">
        <v>16</v>
      </c>
      <c r="H28" s="67" t="str">
        <f t="shared" si="1"/>
        <v>C,N,S</v>
      </c>
      <c r="I28" s="67">
        <v>133.9</v>
      </c>
      <c r="K28" s="67">
        <v>176.4</v>
      </c>
      <c r="L28" s="67">
        <f t="shared" si="30"/>
        <v>42.5</v>
      </c>
      <c r="M28" s="71">
        <f t="shared" si="3"/>
        <v>109</v>
      </c>
      <c r="O28" s="67">
        <f t="shared" si="4"/>
        <v>22.201834862385319</v>
      </c>
      <c r="P28" s="67">
        <f t="shared" si="5"/>
        <v>8.6566787307465685</v>
      </c>
      <c r="Q28" s="67"/>
      <c r="R28" s="67">
        <f t="shared" si="6"/>
        <v>24.86238532110092</v>
      </c>
      <c r="S28" s="67">
        <f t="shared" si="7"/>
        <v>9.6940493224476061</v>
      </c>
      <c r="T28" s="67"/>
      <c r="U28" s="67">
        <f t="shared" si="8"/>
        <v>52.935779816513758</v>
      </c>
      <c r="V28" s="67">
        <f t="shared" si="9"/>
        <v>20.640097634879218</v>
      </c>
      <c r="W28" s="67"/>
      <c r="X28" s="71">
        <v>40.200000000000003</v>
      </c>
      <c r="Y28" s="71">
        <v>24.2</v>
      </c>
      <c r="Z28" s="71">
        <f t="shared" si="10"/>
        <v>16.000000000000004</v>
      </c>
      <c r="AA28" s="71">
        <f t="shared" si="11"/>
        <v>8.6566787307465685</v>
      </c>
      <c r="AB28" s="71">
        <f t="shared" si="12"/>
        <v>15.543321269253431</v>
      </c>
      <c r="AC28" s="71">
        <f t="shared" si="13"/>
        <v>0.55693880225396397</v>
      </c>
      <c r="AD28" s="71">
        <v>18.8</v>
      </c>
      <c r="AE28" s="71">
        <f t="shared" si="28"/>
        <v>10.470449482374523</v>
      </c>
      <c r="AF28" s="71">
        <f t="shared" si="29"/>
        <v>8.3295505176254778</v>
      </c>
      <c r="AG28" s="71">
        <v>18.899999999999999</v>
      </c>
      <c r="AH28" s="71">
        <f t="shared" si="16"/>
        <v>0.55693880225396397</v>
      </c>
      <c r="AI28" s="71">
        <v>1.6</v>
      </c>
      <c r="AJ28" s="71">
        <f t="shared" si="17"/>
        <v>0.89110208360634235</v>
      </c>
      <c r="AL28" s="67">
        <v>43.5</v>
      </c>
      <c r="AM28" s="67">
        <v>27.1</v>
      </c>
      <c r="AN28" s="67">
        <f t="shared" si="18"/>
        <v>16.399999999999999</v>
      </c>
      <c r="AO28" s="70">
        <f t="shared" si="19"/>
        <v>9.6940493224476061</v>
      </c>
      <c r="AP28" s="70">
        <f t="shared" si="20"/>
        <v>17.405950677552397</v>
      </c>
      <c r="AQ28" s="71">
        <f t="shared" si="21"/>
        <v>0.55693880225396408</v>
      </c>
      <c r="AR28" s="67">
        <v>2.7</v>
      </c>
      <c r="AS28" s="70">
        <f t="shared" si="22"/>
        <v>1.5037347660857032</v>
      </c>
      <c r="AU28" s="70">
        <v>90.5</v>
      </c>
      <c r="AV28" s="70">
        <v>57.7</v>
      </c>
      <c r="AW28" s="70">
        <f t="shared" si="23"/>
        <v>32.799999999999997</v>
      </c>
      <c r="AX28" s="70">
        <f t="shared" si="24"/>
        <v>20.640097634879218</v>
      </c>
      <c r="AY28" s="70">
        <f t="shared" si="25"/>
        <v>37.059902365120784</v>
      </c>
      <c r="AZ28" s="71">
        <f t="shared" si="26"/>
        <v>0.55693880225396408</v>
      </c>
      <c r="BA28" s="70">
        <v>8.3000000000000007</v>
      </c>
      <c r="BB28" s="70">
        <f t="shared" si="27"/>
        <v>4.6225920587079026</v>
      </c>
      <c r="BD28" s="67" t="s">
        <v>16</v>
      </c>
      <c r="BE28" s="64">
        <v>-23.301145300224242</v>
      </c>
      <c r="BF28" s="64">
        <v>0.13852126592186639</v>
      </c>
      <c r="BG28" s="64">
        <v>5.3111695043126472</v>
      </c>
      <c r="BH28" s="66">
        <v>0.23659504731052239</v>
      </c>
      <c r="BI28" s="62">
        <v>1</v>
      </c>
      <c r="BN28" s="66"/>
      <c r="BO28" s="62">
        <v>1.4</v>
      </c>
      <c r="BP28" s="63" t="s">
        <v>318</v>
      </c>
    </row>
    <row r="29" spans="1:68" ht="14.5" x14ac:dyDescent="0.35">
      <c r="A29" s="67" t="s">
        <v>29</v>
      </c>
      <c r="B29" s="68" t="s">
        <v>14</v>
      </c>
      <c r="C29" s="67" t="str">
        <f t="shared" si="0"/>
        <v>DC1_9-23_G</v>
      </c>
      <c r="D29" s="73">
        <v>45195</v>
      </c>
      <c r="E29" s="73" t="s">
        <v>108</v>
      </c>
      <c r="F29" s="73">
        <v>45568</v>
      </c>
      <c r="H29" s="67" t="str">
        <f t="shared" si="1"/>
        <v>C,N,S</v>
      </c>
      <c r="I29" s="67">
        <v>132.6</v>
      </c>
      <c r="K29" s="67">
        <v>172.2</v>
      </c>
      <c r="L29" s="67">
        <f t="shared" si="30"/>
        <v>39.599999999999994</v>
      </c>
      <c r="M29" s="67">
        <f t="shared" si="3"/>
        <v>106.19999999999999</v>
      </c>
      <c r="O29" s="67">
        <f t="shared" si="4"/>
        <v>27.401129943502827</v>
      </c>
      <c r="P29" s="67">
        <f t="shared" si="5"/>
        <v>10.217370487407832</v>
      </c>
      <c r="Q29" s="67"/>
      <c r="R29" s="67">
        <f t="shared" si="6"/>
        <v>27.495291902071568</v>
      </c>
      <c r="S29" s="67">
        <f t="shared" si="7"/>
        <v>10.252481726196178</v>
      </c>
      <c r="T29" s="67"/>
      <c r="U29" s="67">
        <f t="shared" si="8"/>
        <v>45.10357815442562</v>
      </c>
      <c r="V29" s="67">
        <f t="shared" si="9"/>
        <v>16.818283379616332</v>
      </c>
      <c r="W29" s="67"/>
      <c r="X29" s="71">
        <v>43.1</v>
      </c>
      <c r="Y29" s="71">
        <v>29.1</v>
      </c>
      <c r="Z29" s="71">
        <f t="shared" si="10"/>
        <v>14</v>
      </c>
      <c r="AA29" s="71">
        <f t="shared" si="11"/>
        <v>10.217370487407832</v>
      </c>
      <c r="AB29" s="71">
        <f t="shared" si="12"/>
        <v>18.882629512592167</v>
      </c>
      <c r="AC29" s="71">
        <f t="shared" si="13"/>
        <v>0.54109892272123561</v>
      </c>
      <c r="AD29" s="71">
        <v>20.9</v>
      </c>
      <c r="AE29" s="71">
        <f t="shared" si="28"/>
        <v>11.308967484873824</v>
      </c>
      <c r="AF29" s="71">
        <f t="shared" si="29"/>
        <v>9.5910325151261748</v>
      </c>
      <c r="AH29" s="71">
        <f t="shared" si="16"/>
        <v>0.54109892272123561</v>
      </c>
      <c r="AI29" s="71">
        <v>1.4</v>
      </c>
      <c r="AJ29" s="71">
        <f t="shared" si="17"/>
        <v>0.75753849180972976</v>
      </c>
      <c r="AL29" s="67">
        <v>48.6</v>
      </c>
      <c r="AM29" s="67">
        <v>29.2</v>
      </c>
      <c r="AN29" s="67">
        <f t="shared" si="18"/>
        <v>19.400000000000002</v>
      </c>
      <c r="AO29" s="70">
        <f t="shared" si="19"/>
        <v>10.252481726196178</v>
      </c>
      <c r="AP29" s="70">
        <f t="shared" si="20"/>
        <v>18.947518273803823</v>
      </c>
      <c r="AQ29" s="71">
        <f t="shared" si="21"/>
        <v>0.54109892272123583</v>
      </c>
      <c r="AR29" s="67">
        <v>2.9</v>
      </c>
      <c r="AS29" s="70">
        <f t="shared" si="22"/>
        <v>1.5691868758915839</v>
      </c>
      <c r="AU29" s="70">
        <v>83.1</v>
      </c>
      <c r="AV29" s="70">
        <v>47.9</v>
      </c>
      <c r="AW29" s="70">
        <f t="shared" si="23"/>
        <v>35.199999999999996</v>
      </c>
      <c r="AX29" s="70">
        <f t="shared" si="24"/>
        <v>16.818283379616332</v>
      </c>
      <c r="AY29" s="70">
        <f t="shared" si="25"/>
        <v>31.081716620383666</v>
      </c>
      <c r="AZ29" s="71">
        <f t="shared" si="26"/>
        <v>0.54109892272123583</v>
      </c>
      <c r="BA29" s="70">
        <v>8.9</v>
      </c>
      <c r="BB29" s="70">
        <f t="shared" si="27"/>
        <v>4.8157804122189987</v>
      </c>
      <c r="BD29" s="67" t="s">
        <v>16</v>
      </c>
      <c r="BE29" s="64">
        <v>-23.264856257689686</v>
      </c>
      <c r="BF29" s="64">
        <v>0.13578373542458771</v>
      </c>
      <c r="BG29" s="64">
        <v>5.2676662858407104</v>
      </c>
      <c r="BH29" s="66">
        <v>0.16561225428092893</v>
      </c>
      <c r="BI29" s="62">
        <v>1</v>
      </c>
      <c r="BJ29" s="63" t="s">
        <v>299</v>
      </c>
      <c r="BK29" s="64">
        <v>2.4442395081111341</v>
      </c>
      <c r="BL29" s="65">
        <v>0.25230332137198846</v>
      </c>
      <c r="BM29" s="61">
        <v>0.7827109328245867</v>
      </c>
      <c r="BN29" s="66">
        <v>1.1082304912925816E-2</v>
      </c>
      <c r="BO29" s="62">
        <v>1.6</v>
      </c>
      <c r="BP29" s="63" t="s">
        <v>299</v>
      </c>
    </row>
    <row r="30" spans="1:68" ht="14.5" x14ac:dyDescent="0.35">
      <c r="A30" s="67" t="s">
        <v>31</v>
      </c>
      <c r="B30" s="68" t="s">
        <v>62</v>
      </c>
      <c r="C30" s="67" t="str">
        <f t="shared" si="0"/>
        <v>DC2_4-24_G</v>
      </c>
      <c r="D30" s="73">
        <v>45392</v>
      </c>
      <c r="E30" s="73" t="s">
        <v>16</v>
      </c>
      <c r="F30" s="73">
        <v>45539</v>
      </c>
      <c r="H30" s="67" t="str">
        <f t="shared" si="1"/>
        <v>C,N,S</v>
      </c>
      <c r="I30" s="67">
        <v>128.30000000000001</v>
      </c>
      <c r="K30" s="67">
        <v>149.80000000000001</v>
      </c>
      <c r="L30" s="67">
        <f t="shared" si="30"/>
        <v>21.5</v>
      </c>
      <c r="M30" s="67">
        <f t="shared" si="3"/>
        <v>118.69999999999999</v>
      </c>
      <c r="O30" s="67">
        <f t="shared" si="4"/>
        <v>26.368997472620055</v>
      </c>
      <c r="P30" s="67">
        <f t="shared" si="5"/>
        <v>4.7761874107947024</v>
      </c>
      <c r="Q30" s="67"/>
      <c r="R30" s="67">
        <f t="shared" si="6"/>
        <v>25.273799494524013</v>
      </c>
      <c r="S30" s="67">
        <f t="shared" si="7"/>
        <v>4.5778154097073829</v>
      </c>
      <c r="T30" s="67"/>
      <c r="U30" s="67">
        <f t="shared" si="8"/>
        <v>48.357203032855942</v>
      </c>
      <c r="V30" s="67">
        <f t="shared" si="9"/>
        <v>8.7588868172401249</v>
      </c>
      <c r="W30" s="67"/>
      <c r="X30" s="71">
        <v>47.4</v>
      </c>
      <c r="Y30" s="71">
        <v>31.3</v>
      </c>
      <c r="Z30" s="71">
        <f t="shared" si="10"/>
        <v>16.099999999999998</v>
      </c>
      <c r="AA30" s="71">
        <f t="shared" si="11"/>
        <v>4.7761874107947024</v>
      </c>
      <c r="AB30" s="71">
        <f t="shared" si="12"/>
        <v>26.523812589205299</v>
      </c>
      <c r="AC30" s="71">
        <f t="shared" si="13"/>
        <v>0.18007167690283418</v>
      </c>
      <c r="AD30" s="71">
        <v>22.7</v>
      </c>
      <c r="AE30" s="71">
        <f t="shared" si="28"/>
        <v>4.0876270656943356</v>
      </c>
      <c r="AF30" s="71">
        <f t="shared" si="29"/>
        <v>18.612372934305665</v>
      </c>
      <c r="AG30" s="71">
        <v>23.9</v>
      </c>
      <c r="AH30" s="71">
        <f t="shared" si="16"/>
        <v>0.18007167690283418</v>
      </c>
      <c r="AI30" s="71">
        <v>2.2000000000000002</v>
      </c>
      <c r="AJ30" s="71">
        <f t="shared" si="17"/>
        <v>0.39615768918623523</v>
      </c>
      <c r="AL30" s="67">
        <v>44.7</v>
      </c>
      <c r="AM30" s="67">
        <v>30</v>
      </c>
      <c r="AN30" s="67">
        <f t="shared" si="18"/>
        <v>14.700000000000003</v>
      </c>
      <c r="AO30" s="70">
        <f t="shared" si="19"/>
        <v>4.5778154097073829</v>
      </c>
      <c r="AP30" s="70">
        <f t="shared" si="20"/>
        <v>25.422184590292616</v>
      </c>
      <c r="AQ30" s="71">
        <f t="shared" si="21"/>
        <v>0.18007167690283421</v>
      </c>
      <c r="AR30" s="67">
        <v>4.0999999999999996</v>
      </c>
      <c r="AS30" s="70">
        <f t="shared" si="22"/>
        <v>0.73829387530162016</v>
      </c>
      <c r="AU30" s="70">
        <v>82.8</v>
      </c>
      <c r="AV30" s="70">
        <v>57.4</v>
      </c>
      <c r="AW30" s="70">
        <f t="shared" si="23"/>
        <v>25.4</v>
      </c>
      <c r="AX30" s="70">
        <f t="shared" si="24"/>
        <v>8.7588868172401249</v>
      </c>
      <c r="AY30" s="70">
        <f t="shared" si="25"/>
        <v>48.641113182759874</v>
      </c>
      <c r="AZ30" s="71">
        <f t="shared" si="26"/>
        <v>0.18007167690283418</v>
      </c>
      <c r="BA30" s="70">
        <v>10.8</v>
      </c>
      <c r="BB30" s="70">
        <f t="shared" si="27"/>
        <v>1.9447741105506093</v>
      </c>
      <c r="BD30" s="67" t="s">
        <v>16</v>
      </c>
      <c r="BE30" s="64">
        <v>-25.628820111958802</v>
      </c>
      <c r="BF30" s="64">
        <v>0.13822638789861647</v>
      </c>
      <c r="BG30" s="64">
        <v>10.993013645109166</v>
      </c>
      <c r="BH30" s="66">
        <v>0.17873374273446865</v>
      </c>
      <c r="BI30" s="62">
        <v>0.8</v>
      </c>
      <c r="BJ30" s="63" t="s">
        <v>299</v>
      </c>
      <c r="BK30" s="64">
        <v>3.5182642182890866</v>
      </c>
      <c r="BM30" s="61">
        <v>1.4618541451398084</v>
      </c>
      <c r="BN30" s="66">
        <v>9.0071452340652995E-3</v>
      </c>
      <c r="BO30" s="62">
        <v>1.9</v>
      </c>
      <c r="BP30" s="63" t="s">
        <v>299</v>
      </c>
    </row>
    <row r="31" spans="1:68" ht="14.5" x14ac:dyDescent="0.35">
      <c r="A31" s="67" t="s">
        <v>31</v>
      </c>
      <c r="B31" s="68" t="s">
        <v>63</v>
      </c>
      <c r="C31" s="67" t="str">
        <f t="shared" si="0"/>
        <v>DC2_8-24_G</v>
      </c>
      <c r="D31" s="73">
        <v>45505</v>
      </c>
      <c r="E31" s="67" t="s">
        <v>16</v>
      </c>
      <c r="H31" s="67" t="str">
        <f t="shared" si="1"/>
        <v>C,N,S</v>
      </c>
      <c r="I31" s="67">
        <v>128.19999999999999</v>
      </c>
      <c r="K31" s="67">
        <v>151.80000000000001</v>
      </c>
      <c r="L31" s="67">
        <f t="shared" si="30"/>
        <v>23.600000000000023</v>
      </c>
      <c r="M31" s="67">
        <f t="shared" si="3"/>
        <v>97.300000000000011</v>
      </c>
      <c r="O31" s="67">
        <f t="shared" ref="O31:O62" si="31">(Y31/M31)*100</f>
        <v>26.824254881808834</v>
      </c>
      <c r="P31" s="67">
        <f t="shared" ref="P31:P62" si="32">((O31/M31)*L31)</f>
        <v>6.506191317684368</v>
      </c>
      <c r="Q31" s="67"/>
      <c r="R31" s="67">
        <f t="shared" ref="R31:R62" si="33">(AM31/M31)*100</f>
        <v>26.207605344295988</v>
      </c>
      <c r="S31" s="67">
        <f t="shared" ref="S31:S62" si="34">((R31/M31)*L31)</f>
        <v>6.3566237011858773</v>
      </c>
      <c r="T31" s="67"/>
      <c r="U31" s="67">
        <f t="shared" ref="U31:U62" si="35">(AV31/M31)*100</f>
        <v>46.968139773895167</v>
      </c>
      <c r="V31" s="67">
        <f t="shared" ref="V31:V62" si="36">((U31/M31)*L31)</f>
        <v>11.392066789968416</v>
      </c>
      <c r="W31" s="67"/>
      <c r="X31" s="71">
        <v>39.299999999999997</v>
      </c>
      <c r="Y31" s="71">
        <v>26.1</v>
      </c>
      <c r="Z31" s="71">
        <f t="shared" ref="Z31:Z62" si="37">X31-Y31</f>
        <v>13.199999999999996</v>
      </c>
      <c r="AA31" s="71">
        <f t="shared" ref="AA31:AA62" si="38">P31</f>
        <v>6.506191317684368</v>
      </c>
      <c r="AB31" s="71">
        <f t="shared" ref="AB31:AB62" si="39">Y31-AA31</f>
        <v>19.593808682315633</v>
      </c>
      <c r="AC31" s="71">
        <f t="shared" ref="AC31:AC62" si="40">AA31/AB31</f>
        <v>0.33205342683357536</v>
      </c>
      <c r="AD31" s="71">
        <v>20.100000000000001</v>
      </c>
      <c r="AE31" s="71">
        <f t="shared" si="28"/>
        <v>6.6742738793548648</v>
      </c>
      <c r="AF31" s="71">
        <f t="shared" si="29"/>
        <v>13.425726120645137</v>
      </c>
      <c r="AG31" s="71">
        <v>19.3</v>
      </c>
      <c r="AH31" s="71">
        <f t="shared" ref="AH31:AH62" si="41">AC31</f>
        <v>0.33205342683357536</v>
      </c>
      <c r="AI31" s="71">
        <v>3.5</v>
      </c>
      <c r="AJ31" s="71">
        <f t="shared" ref="AJ31:AJ62" si="42">AI31*AH31</f>
        <v>1.1621869939175138</v>
      </c>
      <c r="AL31" s="67">
        <v>38</v>
      </c>
      <c r="AM31" s="67">
        <v>25.5</v>
      </c>
      <c r="AN31" s="67">
        <f t="shared" ref="AN31:AN62" si="43">AL31-AM31</f>
        <v>12.5</v>
      </c>
      <c r="AO31" s="70">
        <f t="shared" ref="AO31:AO62" si="44">S31</f>
        <v>6.3566237011858773</v>
      </c>
      <c r="AP31" s="70">
        <f t="shared" ref="AP31:AP62" si="45">AM31-AO31</f>
        <v>19.143376298814122</v>
      </c>
      <c r="AQ31" s="71">
        <f t="shared" ref="AQ31:AQ62" si="46">AO31/AP31</f>
        <v>0.33205342683357542</v>
      </c>
      <c r="AR31" s="67">
        <v>4.7</v>
      </c>
      <c r="AS31" s="70">
        <f t="shared" ref="AS31:AS62" si="47">AR31*AQ31</f>
        <v>1.5606511061178046</v>
      </c>
      <c r="AU31" s="70">
        <v>74.8</v>
      </c>
      <c r="AV31" s="70">
        <v>45.7</v>
      </c>
      <c r="AW31" s="70">
        <f t="shared" ref="AW31:AW62" si="48">AU31-AV31</f>
        <v>29.099999999999994</v>
      </c>
      <c r="AX31" s="70">
        <f t="shared" ref="AX31:AX62" si="49">V31</f>
        <v>11.392066789968416</v>
      </c>
      <c r="AY31" s="70">
        <f t="shared" ref="AY31:AY62" si="50">AV31-AX31</f>
        <v>34.307933210031585</v>
      </c>
      <c r="AZ31" s="71">
        <f t="shared" ref="AZ31:AZ62" si="51">AX31/AY31</f>
        <v>0.33205342683357542</v>
      </c>
      <c r="BA31" s="70">
        <v>18.100000000000001</v>
      </c>
      <c r="BB31" s="70">
        <f t="shared" ref="BB31:BB62" si="52">BA31*AZ31</f>
        <v>6.0101670256877151</v>
      </c>
      <c r="BD31" s="67" t="s">
        <v>16</v>
      </c>
      <c r="BE31" s="64">
        <v>-24.256596115544657</v>
      </c>
      <c r="BF31" s="64">
        <v>0.21073845025002894</v>
      </c>
      <c r="BG31" s="64">
        <v>8.2831517166412585</v>
      </c>
      <c r="BH31" s="66">
        <v>1.8505047182971014E-2</v>
      </c>
      <c r="BI31" s="62">
        <v>0.9</v>
      </c>
      <c r="BJ31" s="63" t="s">
        <v>299</v>
      </c>
      <c r="BK31" s="64">
        <v>2.9239661009047992</v>
      </c>
      <c r="BL31" s="65">
        <v>0.30943015882514269</v>
      </c>
      <c r="BM31" s="61">
        <v>0.86477075991129493</v>
      </c>
      <c r="BN31" s="66">
        <v>5.1202567034143484E-2</v>
      </c>
      <c r="BO31" s="62">
        <v>1.9</v>
      </c>
      <c r="BP31" s="63" t="s">
        <v>299</v>
      </c>
    </row>
    <row r="32" spans="1:68" ht="14.5" x14ac:dyDescent="0.35">
      <c r="A32" s="67" t="s">
        <v>31</v>
      </c>
      <c r="B32" s="68" t="s">
        <v>14</v>
      </c>
      <c r="C32" s="67" t="str">
        <f t="shared" si="0"/>
        <v>DC2_9-23_G</v>
      </c>
      <c r="D32" s="73">
        <v>45195</v>
      </c>
      <c r="E32" s="73" t="s">
        <v>16</v>
      </c>
      <c r="F32" s="73">
        <v>45568</v>
      </c>
      <c r="H32" s="67" t="str">
        <f t="shared" si="1"/>
        <v>C,N,S</v>
      </c>
      <c r="J32" s="67">
        <v>130.50101010101005</v>
      </c>
      <c r="K32" s="67">
        <v>143.5</v>
      </c>
      <c r="L32" s="67">
        <f>K32-J32</f>
        <v>12.998989898989947</v>
      </c>
      <c r="M32" s="67">
        <f t="shared" si="3"/>
        <v>104.69999999999999</v>
      </c>
      <c r="O32" s="67">
        <f t="shared" si="31"/>
        <v>27.698185291308501</v>
      </c>
      <c r="P32" s="67">
        <f t="shared" si="32"/>
        <v>3.4388579830188273</v>
      </c>
      <c r="Q32" s="67"/>
      <c r="R32" s="67">
        <f t="shared" si="33"/>
        <v>23.209169054441265</v>
      </c>
      <c r="S32" s="67">
        <f t="shared" si="34"/>
        <v>2.8815258271502588</v>
      </c>
      <c r="T32" s="67"/>
      <c r="U32" s="67">
        <f t="shared" si="35"/>
        <v>49.092645654250248</v>
      </c>
      <c r="V32" s="67">
        <f t="shared" si="36"/>
        <v>6.095079321626474</v>
      </c>
      <c r="W32" s="67"/>
      <c r="X32" s="71">
        <v>37.799999999999997</v>
      </c>
      <c r="Y32" s="71">
        <v>29</v>
      </c>
      <c r="Z32" s="71">
        <f t="shared" si="37"/>
        <v>8.7999999999999972</v>
      </c>
      <c r="AA32" s="71">
        <f t="shared" si="38"/>
        <v>3.4388579830188273</v>
      </c>
      <c r="AB32" s="71">
        <f t="shared" si="39"/>
        <v>25.561142016981172</v>
      </c>
      <c r="AC32" s="71">
        <f t="shared" si="40"/>
        <v>0.13453459867850473</v>
      </c>
      <c r="AD32" s="71">
        <v>21.4</v>
      </c>
      <c r="AE32" s="71">
        <f t="shared" si="28"/>
        <v>2.879040411720001</v>
      </c>
      <c r="AF32" s="71">
        <f t="shared" si="29"/>
        <v>18.520959588279997</v>
      </c>
      <c r="AG32" s="71">
        <v>21.5</v>
      </c>
      <c r="AH32" s="71">
        <f t="shared" si="41"/>
        <v>0.13453459867850473</v>
      </c>
      <c r="AI32" s="71">
        <v>4.0999999999999996</v>
      </c>
      <c r="AJ32" s="71">
        <f t="shared" si="42"/>
        <v>0.55159185458186932</v>
      </c>
      <c r="AL32" s="67">
        <v>36.1</v>
      </c>
      <c r="AM32" s="67">
        <v>24.3</v>
      </c>
      <c r="AN32" s="67">
        <f t="shared" si="43"/>
        <v>11.8</v>
      </c>
      <c r="AO32" s="70">
        <f t="shared" si="44"/>
        <v>2.8815258271502588</v>
      </c>
      <c r="AP32" s="70">
        <f t="shared" si="45"/>
        <v>21.418474172849741</v>
      </c>
      <c r="AQ32" s="71">
        <f t="shared" si="46"/>
        <v>0.13453459867850476</v>
      </c>
      <c r="AR32" s="67">
        <v>6.6</v>
      </c>
      <c r="AS32" s="70">
        <f t="shared" si="47"/>
        <v>0.8879283512781313</v>
      </c>
      <c r="AU32" s="70">
        <v>77.599999999999994</v>
      </c>
      <c r="AV32" s="70">
        <v>51.4</v>
      </c>
      <c r="AW32" s="70">
        <f t="shared" si="48"/>
        <v>26.199999999999996</v>
      </c>
      <c r="AX32" s="70">
        <f t="shared" si="49"/>
        <v>6.095079321626474</v>
      </c>
      <c r="AY32" s="70">
        <f t="shared" si="50"/>
        <v>45.304920678373527</v>
      </c>
      <c r="AZ32" s="71">
        <f t="shared" si="51"/>
        <v>0.13453459867850476</v>
      </c>
      <c r="BA32" s="70">
        <v>22</v>
      </c>
      <c r="BB32" s="70">
        <f t="shared" si="52"/>
        <v>2.9597611709271048</v>
      </c>
      <c r="BD32" s="67" t="s">
        <v>16</v>
      </c>
      <c r="BE32" s="64">
        <v>-25.426479855843741</v>
      </c>
      <c r="BF32" s="64">
        <v>0.15072532661723931</v>
      </c>
      <c r="BG32" s="64">
        <v>12.417349483100825</v>
      </c>
      <c r="BH32" s="66">
        <v>3.2446256020138994E-2</v>
      </c>
      <c r="BI32" s="62">
        <v>0.9</v>
      </c>
      <c r="BJ32" s="63" t="s">
        <v>299</v>
      </c>
      <c r="BK32" s="64">
        <v>2.6666723003311059</v>
      </c>
      <c r="BL32" s="65">
        <v>0.30981504264897558</v>
      </c>
      <c r="BM32" s="61">
        <v>1.7437420434248749</v>
      </c>
      <c r="BN32" s="66">
        <v>6.3772589376787689E-2</v>
      </c>
      <c r="BO32" s="62">
        <v>1.5</v>
      </c>
      <c r="BP32" s="63" t="s">
        <v>299</v>
      </c>
    </row>
    <row r="33" spans="1:68" ht="14.5" x14ac:dyDescent="0.35">
      <c r="A33" s="67" t="s">
        <v>30</v>
      </c>
      <c r="B33" s="68" t="s">
        <v>62</v>
      </c>
      <c r="C33" s="67" t="str">
        <f t="shared" si="0"/>
        <v>DCM1_4-24_G</v>
      </c>
      <c r="D33" s="73">
        <v>45392</v>
      </c>
      <c r="E33" s="73" t="s">
        <v>16</v>
      </c>
      <c r="F33" s="73">
        <v>45544</v>
      </c>
      <c r="H33" s="67" t="str">
        <f t="shared" si="1"/>
        <v>C,N,S</v>
      </c>
      <c r="I33" s="67">
        <v>129.5</v>
      </c>
      <c r="K33" s="67">
        <v>174.4</v>
      </c>
      <c r="L33" s="67">
        <f t="shared" ref="L33:L39" si="53">K33-I33</f>
        <v>44.900000000000006</v>
      </c>
      <c r="M33" s="67">
        <f t="shared" si="3"/>
        <v>99.4</v>
      </c>
      <c r="O33" s="67">
        <f t="shared" si="31"/>
        <v>27.162977867203221</v>
      </c>
      <c r="P33" s="67">
        <f t="shared" si="32"/>
        <v>12.26979583739864</v>
      </c>
      <c r="Q33" s="67"/>
      <c r="R33" s="67">
        <f t="shared" si="33"/>
        <v>26.458752515090545</v>
      </c>
      <c r="S33" s="67">
        <f t="shared" si="34"/>
        <v>11.951690019392007</v>
      </c>
      <c r="T33" s="67"/>
      <c r="U33" s="67">
        <f t="shared" si="35"/>
        <v>46.378269617706238</v>
      </c>
      <c r="V33" s="67">
        <f t="shared" si="36"/>
        <v>20.949540300151007</v>
      </c>
      <c r="W33" s="67"/>
      <c r="X33" s="71">
        <v>36.9</v>
      </c>
      <c r="Y33" s="71">
        <v>27</v>
      </c>
      <c r="Z33" s="71">
        <f t="shared" si="37"/>
        <v>9.8999999999999986</v>
      </c>
      <c r="AA33" s="71">
        <f t="shared" si="38"/>
        <v>12.26979583739864</v>
      </c>
      <c r="AB33" s="71">
        <f t="shared" si="39"/>
        <v>14.73020416260136</v>
      </c>
      <c r="AC33" s="71">
        <f t="shared" si="40"/>
        <v>0.83296848447970107</v>
      </c>
      <c r="AD33" s="71">
        <v>17.5</v>
      </c>
      <c r="AE33" s="71">
        <f t="shared" si="28"/>
        <v>14.576948478394769</v>
      </c>
      <c r="AF33" s="71">
        <f t="shared" si="29"/>
        <v>2.9230515216052311</v>
      </c>
      <c r="AG33" s="71">
        <v>18.3</v>
      </c>
      <c r="AH33" s="71">
        <f t="shared" si="41"/>
        <v>0.83296848447970107</v>
      </c>
      <c r="AI33" s="71">
        <v>6.1</v>
      </c>
      <c r="AJ33" s="71">
        <f t="shared" si="42"/>
        <v>5.0811077553261761</v>
      </c>
      <c r="AL33" s="67">
        <v>36.6</v>
      </c>
      <c r="AM33" s="67">
        <v>26.3</v>
      </c>
      <c r="AN33" s="67">
        <f t="shared" si="43"/>
        <v>10.3</v>
      </c>
      <c r="AO33" s="70">
        <f t="shared" si="44"/>
        <v>11.951690019392007</v>
      </c>
      <c r="AP33" s="70">
        <f t="shared" si="45"/>
        <v>14.348309980607993</v>
      </c>
      <c r="AQ33" s="71">
        <f t="shared" si="46"/>
        <v>0.83296848447970095</v>
      </c>
      <c r="AR33" s="67">
        <v>12.9</v>
      </c>
      <c r="AS33" s="70">
        <f t="shared" si="47"/>
        <v>10.745293449788143</v>
      </c>
      <c r="AU33" s="70">
        <v>70</v>
      </c>
      <c r="AV33" s="70">
        <v>46.1</v>
      </c>
      <c r="AW33" s="70">
        <f t="shared" si="48"/>
        <v>23.9</v>
      </c>
      <c r="AX33" s="70">
        <f t="shared" si="49"/>
        <v>20.949540300151007</v>
      </c>
      <c r="AY33" s="70">
        <f t="shared" si="50"/>
        <v>25.150459699848994</v>
      </c>
      <c r="AZ33" s="71">
        <f t="shared" si="51"/>
        <v>0.83296848447970073</v>
      </c>
      <c r="BA33" s="70">
        <v>35.200000000000003</v>
      </c>
      <c r="BB33" s="70">
        <f t="shared" si="52"/>
        <v>29.320490653685468</v>
      </c>
      <c r="BD33" s="67" t="s">
        <v>16</v>
      </c>
      <c r="BE33" s="64">
        <v>-20.838582372112299</v>
      </c>
      <c r="BF33" s="64">
        <v>0.13756300390140069</v>
      </c>
      <c r="BG33" s="64">
        <v>8.057703937740218</v>
      </c>
      <c r="BH33" s="66">
        <v>0.14814924647429506</v>
      </c>
      <c r="BI33" s="62">
        <v>1</v>
      </c>
      <c r="BJ33" s="63" t="s">
        <v>299</v>
      </c>
      <c r="BK33" s="64">
        <v>3.0316811872606069</v>
      </c>
      <c r="BM33" s="61">
        <v>0.9568596268040418</v>
      </c>
      <c r="BN33" s="66">
        <v>1.7902307867110567E-2</v>
      </c>
      <c r="BO33" s="62">
        <v>1.2</v>
      </c>
      <c r="BP33" s="63" t="s">
        <v>299</v>
      </c>
    </row>
    <row r="34" spans="1:68" ht="14.5" x14ac:dyDescent="0.35">
      <c r="A34" s="67" t="s">
        <v>30</v>
      </c>
      <c r="B34" s="68" t="s">
        <v>63</v>
      </c>
      <c r="C34" s="67" t="str">
        <f t="shared" ref="C34:C65" si="54">A34&amp;"_"&amp;B34&amp;"_G"</f>
        <v>DCM1_8-24_G</v>
      </c>
      <c r="D34" s="73">
        <v>45505</v>
      </c>
      <c r="E34" s="67" t="s">
        <v>16</v>
      </c>
      <c r="F34" s="73">
        <v>45548</v>
      </c>
      <c r="H34" s="67" t="str">
        <f t="shared" ref="H34:H65" si="55">IF(OR(AI34&lt;&gt;"", AR34&lt;&gt;"", BA34&lt;&gt;""),
    IF(AI34&lt;&gt;"", "C", "") &amp;
    IF(BA34&lt;&gt;"", IF(AI34&lt;&gt;"", ",N", "N"), "") &amp;
    IF(BA34&lt;&gt;"", IF(OR(AI34&lt;&gt;"", AR34&lt;&gt;""), ",S", "S"), ""),
"")</f>
        <v>C,N,S</v>
      </c>
      <c r="I34" s="67">
        <v>133.4</v>
      </c>
      <c r="K34" s="67">
        <v>174</v>
      </c>
      <c r="L34" s="67">
        <f t="shared" si="53"/>
        <v>40.599999999999994</v>
      </c>
      <c r="M34" s="67">
        <f t="shared" ref="M34:M65" si="56">Y34+AM34+AV34</f>
        <v>109.4</v>
      </c>
      <c r="O34" s="67">
        <f t="shared" si="31"/>
        <v>25.502742230347348</v>
      </c>
      <c r="P34" s="67">
        <f t="shared" si="32"/>
        <v>9.4644546119936219</v>
      </c>
      <c r="Q34" s="67"/>
      <c r="R34" s="67">
        <f t="shared" si="33"/>
        <v>23.400365630712979</v>
      </c>
      <c r="S34" s="67">
        <f t="shared" si="34"/>
        <v>8.6842307550909226</v>
      </c>
      <c r="T34" s="67"/>
      <c r="U34" s="67">
        <f t="shared" si="35"/>
        <v>51.096892138939666</v>
      </c>
      <c r="V34" s="67">
        <f t="shared" si="36"/>
        <v>18.962832000374316</v>
      </c>
      <c r="W34" s="67"/>
      <c r="X34" s="71">
        <v>40.9</v>
      </c>
      <c r="Y34" s="71">
        <v>27.9</v>
      </c>
      <c r="Z34" s="71">
        <f t="shared" si="37"/>
        <v>13</v>
      </c>
      <c r="AA34" s="71">
        <f t="shared" si="38"/>
        <v>9.4644546119936219</v>
      </c>
      <c r="AB34" s="71">
        <f t="shared" si="39"/>
        <v>18.435545388006375</v>
      </c>
      <c r="AC34" s="71">
        <f t="shared" si="40"/>
        <v>0.51338077679822369</v>
      </c>
      <c r="AD34" s="71">
        <v>15.1</v>
      </c>
      <c r="AE34" s="71">
        <f t="shared" si="28"/>
        <v>7.7520497296531774</v>
      </c>
      <c r="AF34" s="71">
        <f t="shared" si="29"/>
        <v>7.3479502703468222</v>
      </c>
      <c r="AG34" s="71">
        <v>15.6</v>
      </c>
      <c r="AH34" s="71">
        <f t="shared" si="41"/>
        <v>0.51338077679822369</v>
      </c>
      <c r="AI34" s="71">
        <v>5.6</v>
      </c>
      <c r="AJ34" s="71">
        <f t="shared" si="42"/>
        <v>2.8749323500700523</v>
      </c>
      <c r="AL34" s="67">
        <v>37.9</v>
      </c>
      <c r="AM34" s="67">
        <v>25.6</v>
      </c>
      <c r="AN34" s="67">
        <f t="shared" si="43"/>
        <v>12.299999999999997</v>
      </c>
      <c r="AO34" s="70">
        <f t="shared" si="44"/>
        <v>8.6842307550909226</v>
      </c>
      <c r="AP34" s="70">
        <f t="shared" si="45"/>
        <v>16.915769244909079</v>
      </c>
      <c r="AQ34" s="71">
        <f t="shared" si="46"/>
        <v>0.51338077679822358</v>
      </c>
      <c r="AR34" s="67">
        <v>8.9</v>
      </c>
      <c r="AS34" s="70">
        <f t="shared" si="47"/>
        <v>4.5690889135041903</v>
      </c>
      <c r="AU34" s="70">
        <v>76.099999999999994</v>
      </c>
      <c r="AV34" s="70">
        <v>55.9</v>
      </c>
      <c r="AW34" s="70">
        <f t="shared" si="48"/>
        <v>20.199999999999996</v>
      </c>
      <c r="AX34" s="70">
        <f t="shared" si="49"/>
        <v>18.962832000374316</v>
      </c>
      <c r="AY34" s="70">
        <f t="shared" si="50"/>
        <v>36.937167999625686</v>
      </c>
      <c r="AZ34" s="71">
        <f t="shared" si="51"/>
        <v>0.51338077679822347</v>
      </c>
      <c r="BA34" s="70">
        <v>26.7</v>
      </c>
      <c r="BB34" s="70">
        <f t="shared" si="52"/>
        <v>13.707266740512566</v>
      </c>
      <c r="BD34" s="67" t="s">
        <v>16</v>
      </c>
      <c r="BE34" s="64">
        <v>-22.329918965056283</v>
      </c>
      <c r="BF34" s="64">
        <v>0.14913261207791809</v>
      </c>
      <c r="BG34" s="64">
        <v>11.046683622023691</v>
      </c>
      <c r="BH34" s="66">
        <v>2.9253696867266876E-2</v>
      </c>
      <c r="BI34" s="62">
        <v>1</v>
      </c>
      <c r="BJ34" s="63" t="s">
        <v>299</v>
      </c>
      <c r="BK34" s="64">
        <v>3.1973264744192385</v>
      </c>
      <c r="BM34" s="61">
        <v>1.4331606294729131</v>
      </c>
      <c r="BN34" s="66">
        <v>1.3674348875634068E-2</v>
      </c>
      <c r="BO34" s="62">
        <v>1.3</v>
      </c>
      <c r="BP34" s="63" t="s">
        <v>299</v>
      </c>
    </row>
    <row r="35" spans="1:68" ht="14.5" x14ac:dyDescent="0.35">
      <c r="A35" s="67" t="s">
        <v>32</v>
      </c>
      <c r="B35" s="68" t="s">
        <v>60</v>
      </c>
      <c r="C35" s="67" t="str">
        <f t="shared" si="54"/>
        <v>DCM2_1-24_G</v>
      </c>
      <c r="D35" s="73">
        <v>45302</v>
      </c>
      <c r="E35" s="73" t="s">
        <v>16</v>
      </c>
      <c r="H35" s="67" t="str">
        <f t="shared" si="55"/>
        <v>C,N,S</v>
      </c>
      <c r="I35" s="67">
        <v>134</v>
      </c>
      <c r="K35" s="67">
        <v>145.9</v>
      </c>
      <c r="L35" s="67">
        <f t="shared" si="53"/>
        <v>11.900000000000006</v>
      </c>
      <c r="M35" s="67">
        <f t="shared" si="56"/>
        <v>130.1</v>
      </c>
      <c r="O35" s="67">
        <f t="shared" si="31"/>
        <v>24.135280553420447</v>
      </c>
      <c r="P35" s="67">
        <f t="shared" si="32"/>
        <v>2.2076082904358452</v>
      </c>
      <c r="Q35" s="67"/>
      <c r="R35" s="67">
        <f t="shared" si="33"/>
        <v>22.982321291314374</v>
      </c>
      <c r="S35" s="67">
        <f t="shared" si="34"/>
        <v>2.1021492956698014</v>
      </c>
      <c r="T35" s="67"/>
      <c r="U35" s="67">
        <f t="shared" si="35"/>
        <v>52.882398155265179</v>
      </c>
      <c r="V35" s="67">
        <f t="shared" si="36"/>
        <v>4.8370525599358647</v>
      </c>
      <c r="W35" s="67"/>
      <c r="X35" s="71">
        <v>42.2</v>
      </c>
      <c r="Y35" s="71">
        <v>31.4</v>
      </c>
      <c r="Z35" s="71">
        <f t="shared" si="37"/>
        <v>10.800000000000004</v>
      </c>
      <c r="AA35" s="71">
        <f t="shared" si="38"/>
        <v>2.2076082904358452</v>
      </c>
      <c r="AB35" s="71">
        <f t="shared" si="39"/>
        <v>29.192391709564152</v>
      </c>
      <c r="AC35" s="71">
        <f t="shared" si="40"/>
        <v>7.5622727743564017E-2</v>
      </c>
      <c r="AD35" s="71">
        <v>22.4</v>
      </c>
      <c r="AE35" s="71">
        <f t="shared" si="28"/>
        <v>1.6939491014558339</v>
      </c>
      <c r="AF35" s="71">
        <f t="shared" si="29"/>
        <v>20.706050898544163</v>
      </c>
      <c r="AG35" s="71">
        <v>25.9</v>
      </c>
      <c r="AH35" s="71">
        <f t="shared" si="41"/>
        <v>7.5622727743564017E-2</v>
      </c>
      <c r="AI35" s="71">
        <v>2.1</v>
      </c>
      <c r="AJ35" s="71">
        <f t="shared" si="42"/>
        <v>0.15880772826148445</v>
      </c>
      <c r="AL35" s="67">
        <v>41.9</v>
      </c>
      <c r="AM35" s="67">
        <v>29.9</v>
      </c>
      <c r="AN35" s="67">
        <f t="shared" si="43"/>
        <v>12</v>
      </c>
      <c r="AO35" s="70">
        <f t="shared" si="44"/>
        <v>2.1021492956698014</v>
      </c>
      <c r="AP35" s="70">
        <f t="shared" si="45"/>
        <v>27.797850704330198</v>
      </c>
      <c r="AQ35" s="71">
        <f t="shared" si="46"/>
        <v>7.5622727743564003E-2</v>
      </c>
      <c r="AR35" s="67">
        <v>3.4</v>
      </c>
      <c r="AS35" s="70">
        <f t="shared" si="47"/>
        <v>0.2571172743281176</v>
      </c>
      <c r="AU35" s="70">
        <v>93.9</v>
      </c>
      <c r="AV35" s="70">
        <v>68.8</v>
      </c>
      <c r="AW35" s="70">
        <f t="shared" si="48"/>
        <v>25.100000000000009</v>
      </c>
      <c r="AX35" s="70">
        <f t="shared" si="49"/>
        <v>4.8370525599358647</v>
      </c>
      <c r="AY35" s="70">
        <f t="shared" si="50"/>
        <v>63.962947440064134</v>
      </c>
      <c r="AZ35" s="71">
        <f t="shared" si="51"/>
        <v>7.5622727743564017E-2</v>
      </c>
      <c r="BA35" s="70">
        <v>11.9</v>
      </c>
      <c r="BB35" s="70">
        <f t="shared" si="52"/>
        <v>0.89991046014841181</v>
      </c>
      <c r="BD35" s="67" t="s">
        <v>16</v>
      </c>
      <c r="BE35" s="64">
        <v>-26.525135563128188</v>
      </c>
      <c r="BF35" s="64">
        <v>0.13842207952342386</v>
      </c>
      <c r="BG35" s="64">
        <v>11.40816138426948</v>
      </c>
      <c r="BH35" s="66">
        <v>0.15043124032477201</v>
      </c>
      <c r="BI35" s="62">
        <v>0.9</v>
      </c>
      <c r="BJ35" s="63" t="s">
        <v>299</v>
      </c>
      <c r="BK35" s="64">
        <v>3.5186822971683647</v>
      </c>
      <c r="BL35" s="65">
        <v>0.25409411633578355</v>
      </c>
      <c r="BM35" s="61">
        <v>0.91065173909366659</v>
      </c>
      <c r="BN35" s="66">
        <v>1.4097471477141172E-2</v>
      </c>
      <c r="BO35" s="62">
        <v>1.7</v>
      </c>
      <c r="BP35" s="63" t="s">
        <v>299</v>
      </c>
    </row>
    <row r="36" spans="1:68" ht="14.5" x14ac:dyDescent="0.35">
      <c r="A36" s="67" t="s">
        <v>32</v>
      </c>
      <c r="B36" s="68" t="s">
        <v>63</v>
      </c>
      <c r="C36" s="67" t="str">
        <f t="shared" si="54"/>
        <v>DCM2_8-24_G</v>
      </c>
      <c r="D36" s="73">
        <v>45505</v>
      </c>
      <c r="E36" s="67" t="s">
        <v>16</v>
      </c>
      <c r="H36" s="67" t="str">
        <f t="shared" si="55"/>
        <v>C,N,S</v>
      </c>
      <c r="I36" s="67">
        <v>134.1</v>
      </c>
      <c r="K36" s="67">
        <v>176.7</v>
      </c>
      <c r="L36" s="67">
        <f t="shared" si="53"/>
        <v>42.599999999999994</v>
      </c>
      <c r="M36" s="67">
        <f t="shared" si="56"/>
        <v>119.69999999999999</v>
      </c>
      <c r="O36" s="67">
        <f t="shared" si="31"/>
        <v>21.888053467000837</v>
      </c>
      <c r="P36" s="67">
        <f t="shared" si="32"/>
        <v>7.7897333140704736</v>
      </c>
      <c r="Q36" s="67"/>
      <c r="R36" s="67">
        <f t="shared" si="33"/>
        <v>23.30827067669173</v>
      </c>
      <c r="S36" s="67">
        <f t="shared" si="34"/>
        <v>8.2951740252887856</v>
      </c>
      <c r="T36" s="67"/>
      <c r="U36" s="67">
        <f t="shared" si="35"/>
        <v>54.803675856307436</v>
      </c>
      <c r="V36" s="67">
        <f t="shared" si="36"/>
        <v>19.504065091718434</v>
      </c>
      <c r="W36" s="67"/>
      <c r="X36" s="71">
        <v>41.7</v>
      </c>
      <c r="Y36" s="71">
        <v>26.2</v>
      </c>
      <c r="Z36" s="71">
        <f t="shared" si="37"/>
        <v>15.500000000000004</v>
      </c>
      <c r="AA36" s="71">
        <f t="shared" si="38"/>
        <v>7.7897333140704736</v>
      </c>
      <c r="AB36" s="71">
        <f t="shared" si="39"/>
        <v>18.410266685929525</v>
      </c>
      <c r="AC36" s="71">
        <f t="shared" si="40"/>
        <v>0.42311898284580302</v>
      </c>
      <c r="AD36" s="71">
        <v>22.7</v>
      </c>
      <c r="AE36" s="71">
        <f t="shared" si="28"/>
        <v>9.6048009105997281</v>
      </c>
      <c r="AF36" s="71">
        <f t="shared" si="29"/>
        <v>13.095199089400271</v>
      </c>
      <c r="AG36" s="71">
        <v>24.6</v>
      </c>
      <c r="AH36" s="71">
        <f t="shared" si="41"/>
        <v>0.42311898284580302</v>
      </c>
      <c r="AI36" s="71">
        <v>2.5</v>
      </c>
      <c r="AJ36" s="71">
        <f t="shared" si="42"/>
        <v>1.0577974571145075</v>
      </c>
      <c r="AL36" s="67">
        <v>39.4</v>
      </c>
      <c r="AM36" s="67">
        <v>27.9</v>
      </c>
      <c r="AN36" s="67">
        <f t="shared" si="43"/>
        <v>11.5</v>
      </c>
      <c r="AO36" s="70">
        <f t="shared" si="44"/>
        <v>8.2951740252887856</v>
      </c>
      <c r="AP36" s="70">
        <f t="shared" si="45"/>
        <v>19.604825974711211</v>
      </c>
      <c r="AQ36" s="71">
        <f t="shared" si="46"/>
        <v>0.42311898284580296</v>
      </c>
      <c r="AR36" s="67">
        <v>4.8</v>
      </c>
      <c r="AS36" s="70">
        <f t="shared" si="47"/>
        <v>2.0309711176598539</v>
      </c>
      <c r="AU36" s="70">
        <v>82</v>
      </c>
      <c r="AV36" s="70">
        <v>65.599999999999994</v>
      </c>
      <c r="AW36" s="70">
        <f t="shared" si="48"/>
        <v>16.400000000000006</v>
      </c>
      <c r="AX36" s="70">
        <f t="shared" si="49"/>
        <v>19.504065091718434</v>
      </c>
      <c r="AY36" s="70">
        <f t="shared" si="50"/>
        <v>46.095934908281563</v>
      </c>
      <c r="AZ36" s="71">
        <f t="shared" si="51"/>
        <v>0.4231189828458029</v>
      </c>
      <c r="BA36" s="70">
        <v>15.2</v>
      </c>
      <c r="BB36" s="70">
        <f t="shared" si="52"/>
        <v>6.4314085392562035</v>
      </c>
      <c r="BD36" s="67" t="s">
        <v>16</v>
      </c>
      <c r="BE36" s="64">
        <v>-23.667391316046071</v>
      </c>
      <c r="BF36" s="64">
        <v>0.13787772460202496</v>
      </c>
      <c r="BG36" s="64">
        <v>5.6125658025751237</v>
      </c>
      <c r="BH36" s="66">
        <v>0.17047798894645586</v>
      </c>
      <c r="BI36" s="62">
        <v>1</v>
      </c>
      <c r="BJ36" s="63" t="s">
        <v>299</v>
      </c>
      <c r="BN36" s="66"/>
      <c r="BO36" s="62">
        <v>1.3</v>
      </c>
      <c r="BP36" s="63" t="s">
        <v>319</v>
      </c>
    </row>
    <row r="37" spans="1:68" ht="14.5" x14ac:dyDescent="0.35">
      <c r="A37" s="67" t="s">
        <v>20</v>
      </c>
      <c r="B37" s="68" t="s">
        <v>56</v>
      </c>
      <c r="C37" s="67" t="str">
        <f t="shared" si="54"/>
        <v>EP146_11_23_G</v>
      </c>
      <c r="D37" s="73">
        <v>45259</v>
      </c>
      <c r="E37" s="73" t="s">
        <v>16</v>
      </c>
      <c r="F37" s="73">
        <v>45544</v>
      </c>
      <c r="H37" s="67" t="str">
        <f t="shared" si="55"/>
        <v>C,N,S</v>
      </c>
      <c r="I37" s="67">
        <v>127.1</v>
      </c>
      <c r="K37" s="67">
        <v>164</v>
      </c>
      <c r="L37" s="67">
        <f t="shared" si="53"/>
        <v>36.900000000000006</v>
      </c>
      <c r="M37" s="67">
        <f t="shared" si="56"/>
        <v>116.4</v>
      </c>
      <c r="O37" s="67">
        <f t="shared" si="31"/>
        <v>27.40549828178694</v>
      </c>
      <c r="P37" s="67">
        <f t="shared" si="32"/>
        <v>8.6878254862365836</v>
      </c>
      <c r="Q37" s="67"/>
      <c r="R37" s="67">
        <f t="shared" si="33"/>
        <v>23.024054982817869</v>
      </c>
      <c r="S37" s="67">
        <f t="shared" si="34"/>
        <v>7.2988627909448409</v>
      </c>
      <c r="T37" s="67"/>
      <c r="U37" s="67">
        <f t="shared" si="35"/>
        <v>49.570446735395194</v>
      </c>
      <c r="V37" s="67">
        <f t="shared" si="36"/>
        <v>15.714342650653633</v>
      </c>
      <c r="W37" s="67"/>
      <c r="X37" s="71">
        <v>44.8</v>
      </c>
      <c r="Y37" s="71">
        <v>31.9</v>
      </c>
      <c r="Z37" s="71">
        <f t="shared" si="37"/>
        <v>12.899999999999999</v>
      </c>
      <c r="AA37" s="71">
        <f t="shared" si="38"/>
        <v>8.6878254862365836</v>
      </c>
      <c r="AB37" s="71">
        <f t="shared" si="39"/>
        <v>23.212174513763415</v>
      </c>
      <c r="AC37" s="71">
        <f t="shared" si="40"/>
        <v>0.3742788285985541</v>
      </c>
      <c r="AD37" s="71">
        <v>19.3</v>
      </c>
      <c r="AE37" s="71">
        <f t="shared" si="28"/>
        <v>7.2235813919520941</v>
      </c>
      <c r="AF37" s="71">
        <f t="shared" si="29"/>
        <v>12.076418608047906</v>
      </c>
      <c r="AG37" s="71">
        <v>19.7</v>
      </c>
      <c r="AH37" s="71">
        <f t="shared" si="41"/>
        <v>0.3742788285985541</v>
      </c>
      <c r="AI37" s="71">
        <v>3.9</v>
      </c>
      <c r="AJ37" s="71">
        <f t="shared" si="42"/>
        <v>1.4596874315343609</v>
      </c>
      <c r="AL37" s="67">
        <v>42.6</v>
      </c>
      <c r="AM37" s="67">
        <v>26.8</v>
      </c>
      <c r="AN37" s="67">
        <f t="shared" si="43"/>
        <v>15.8</v>
      </c>
      <c r="AO37" s="70">
        <f t="shared" si="44"/>
        <v>7.2988627909448409</v>
      </c>
      <c r="AP37" s="70">
        <f t="shared" si="45"/>
        <v>19.501137209055159</v>
      </c>
      <c r="AQ37" s="71">
        <f t="shared" si="46"/>
        <v>0.37427882859855405</v>
      </c>
      <c r="AR37" s="67">
        <v>5.3</v>
      </c>
      <c r="AS37" s="70">
        <f t="shared" si="47"/>
        <v>1.9836777915723365</v>
      </c>
      <c r="AU37" s="70">
        <v>68.5</v>
      </c>
      <c r="AV37" s="70">
        <v>57.7</v>
      </c>
      <c r="AW37" s="70">
        <f t="shared" si="48"/>
        <v>10.799999999999997</v>
      </c>
      <c r="AX37" s="70">
        <f t="shared" si="49"/>
        <v>15.714342650653633</v>
      </c>
      <c r="AY37" s="70">
        <f t="shared" si="50"/>
        <v>41.985657349346369</v>
      </c>
      <c r="AZ37" s="71">
        <f t="shared" si="51"/>
        <v>0.3742788285985541</v>
      </c>
      <c r="BA37" s="70">
        <v>20.6</v>
      </c>
      <c r="BB37" s="70">
        <f t="shared" si="52"/>
        <v>7.7101438691302153</v>
      </c>
      <c r="BD37" s="67" t="s">
        <v>16</v>
      </c>
      <c r="BE37" s="64">
        <v>-30.225240100002608</v>
      </c>
      <c r="BF37" s="64">
        <v>0.209219453514147</v>
      </c>
      <c r="BG37" s="64">
        <v>2.8761310577812784</v>
      </c>
      <c r="BH37" s="66">
        <v>0.22874313965999571</v>
      </c>
      <c r="BI37" s="62">
        <v>0.9</v>
      </c>
      <c r="BJ37" s="63" t="s">
        <v>302</v>
      </c>
      <c r="BK37" s="64">
        <v>3.9495289327864689</v>
      </c>
      <c r="BL37" s="65">
        <v>0.25425589360081041</v>
      </c>
      <c r="BM37" s="61">
        <v>1.4722795442032861</v>
      </c>
      <c r="BN37" s="66">
        <v>1.2201936549936733E-2</v>
      </c>
      <c r="BO37" s="62">
        <v>1.7</v>
      </c>
      <c r="BP37" s="63" t="s">
        <v>299</v>
      </c>
    </row>
    <row r="38" spans="1:68" ht="14.5" x14ac:dyDescent="0.35">
      <c r="A38" s="67" t="s">
        <v>20</v>
      </c>
      <c r="B38" s="68" t="s">
        <v>58</v>
      </c>
      <c r="C38" s="67" t="str">
        <f t="shared" si="54"/>
        <v>EP146_7-24_G</v>
      </c>
      <c r="D38" s="73">
        <v>45476</v>
      </c>
      <c r="E38" s="73" t="s">
        <v>16</v>
      </c>
      <c r="H38" s="67" t="str">
        <f t="shared" si="55"/>
        <v>C,N,S</v>
      </c>
      <c r="I38" s="67">
        <v>134.4</v>
      </c>
      <c r="K38" s="67">
        <v>162.30000000000001</v>
      </c>
      <c r="L38" s="67">
        <f t="shared" si="53"/>
        <v>27.900000000000006</v>
      </c>
      <c r="M38" s="67">
        <f t="shared" si="56"/>
        <v>115.3</v>
      </c>
      <c r="O38" s="67">
        <f t="shared" si="31"/>
        <v>24.544666088464876</v>
      </c>
      <c r="P38" s="67">
        <f t="shared" si="32"/>
        <v>5.9392557143813542</v>
      </c>
      <c r="Q38" s="67"/>
      <c r="R38" s="67">
        <f t="shared" si="33"/>
        <v>25.585429314830876</v>
      </c>
      <c r="S38" s="67">
        <f t="shared" si="34"/>
        <v>6.1910969460865708</v>
      </c>
      <c r="T38" s="67"/>
      <c r="U38" s="67">
        <f t="shared" si="35"/>
        <v>49.869904596704252</v>
      </c>
      <c r="V38" s="67">
        <f t="shared" si="36"/>
        <v>12.067392352541622</v>
      </c>
      <c r="W38" s="67"/>
      <c r="X38" s="71">
        <v>39.6</v>
      </c>
      <c r="Y38" s="71">
        <v>28.3</v>
      </c>
      <c r="Z38" s="71">
        <f t="shared" si="37"/>
        <v>11.3</v>
      </c>
      <c r="AA38" s="71">
        <f t="shared" si="38"/>
        <v>5.9392557143813542</v>
      </c>
      <c r="AB38" s="71">
        <f t="shared" si="39"/>
        <v>22.360744285618647</v>
      </c>
      <c r="AC38" s="71">
        <f t="shared" si="40"/>
        <v>0.26561082397428054</v>
      </c>
      <c r="AD38" s="71">
        <v>19.600000000000001</v>
      </c>
      <c r="AE38" s="71">
        <f t="shared" si="28"/>
        <v>5.2059721498958993</v>
      </c>
      <c r="AF38" s="71">
        <f t="shared" si="29"/>
        <v>14.394027850104102</v>
      </c>
      <c r="AG38" s="71">
        <v>25.2</v>
      </c>
      <c r="AH38" s="71">
        <f t="shared" si="41"/>
        <v>0.26561082397428054</v>
      </c>
      <c r="AI38" s="71">
        <v>4.3</v>
      </c>
      <c r="AJ38" s="71">
        <f t="shared" si="42"/>
        <v>1.1421265430894063</v>
      </c>
      <c r="AL38" s="67">
        <v>41.8</v>
      </c>
      <c r="AM38" s="67">
        <v>29.5</v>
      </c>
      <c r="AN38" s="67">
        <f t="shared" si="43"/>
        <v>12.299999999999997</v>
      </c>
      <c r="AO38" s="70">
        <f t="shared" si="44"/>
        <v>6.1910969460865708</v>
      </c>
      <c r="AP38" s="70">
        <f t="shared" si="45"/>
        <v>23.308903053913429</v>
      </c>
      <c r="AQ38" s="71">
        <f t="shared" si="46"/>
        <v>0.2656108239742806</v>
      </c>
      <c r="AR38" s="67">
        <v>5.7</v>
      </c>
      <c r="AS38" s="70">
        <f t="shared" si="47"/>
        <v>1.5139816966533994</v>
      </c>
      <c r="AU38" s="70">
        <v>72.8</v>
      </c>
      <c r="AV38" s="70">
        <v>57.5</v>
      </c>
      <c r="AW38" s="70">
        <f t="shared" si="48"/>
        <v>15.299999999999997</v>
      </c>
      <c r="AX38" s="70">
        <f t="shared" si="49"/>
        <v>12.067392352541622</v>
      </c>
      <c r="AY38" s="70">
        <f t="shared" si="50"/>
        <v>45.432607647458376</v>
      </c>
      <c r="AZ38" s="71">
        <f t="shared" si="51"/>
        <v>0.26561082397428065</v>
      </c>
      <c r="BA38" s="70">
        <v>20.3</v>
      </c>
      <c r="BB38" s="70">
        <f t="shared" si="52"/>
        <v>5.3918997266778979</v>
      </c>
      <c r="BD38" s="67" t="s">
        <v>16</v>
      </c>
      <c r="BE38" s="64">
        <v>-28.384192108374016</v>
      </c>
      <c r="BF38" s="64">
        <v>0.13890787289295753</v>
      </c>
      <c r="BG38" s="64">
        <v>3.9611537776269987</v>
      </c>
      <c r="BH38" s="66">
        <v>0.21526465499845282</v>
      </c>
      <c r="BI38" s="62">
        <v>0.9</v>
      </c>
      <c r="BJ38" s="63" t="s">
        <v>299</v>
      </c>
      <c r="BK38" s="64">
        <v>3.7218905489121115</v>
      </c>
      <c r="BL38" s="65">
        <v>0.25431402988749369</v>
      </c>
      <c r="BM38" s="61">
        <v>0.4908441173622119</v>
      </c>
      <c r="BN38" s="66">
        <v>1.6264740277694655E-2</v>
      </c>
      <c r="BO38" s="62">
        <v>1.8</v>
      </c>
      <c r="BP38" s="63" t="s">
        <v>299</v>
      </c>
    </row>
    <row r="39" spans="1:68" ht="14.5" x14ac:dyDescent="0.35">
      <c r="A39" s="67" t="s">
        <v>20</v>
      </c>
      <c r="B39" s="68" t="s">
        <v>14</v>
      </c>
      <c r="C39" s="67" t="str">
        <f t="shared" si="54"/>
        <v>EP146_9-23_G</v>
      </c>
      <c r="D39" s="73">
        <v>45184</v>
      </c>
      <c r="E39" s="73" t="s">
        <v>16</v>
      </c>
      <c r="F39" s="73">
        <v>45539</v>
      </c>
      <c r="H39" s="67" t="str">
        <f t="shared" si="55"/>
        <v>C,N,S</v>
      </c>
      <c r="I39" s="67">
        <v>128.9</v>
      </c>
      <c r="K39" s="67">
        <v>155.19999999999999</v>
      </c>
      <c r="L39" s="67">
        <f t="shared" si="53"/>
        <v>26.299999999999983</v>
      </c>
      <c r="M39" s="67">
        <f t="shared" si="56"/>
        <v>124.30000000000001</v>
      </c>
      <c r="O39" s="67">
        <f t="shared" si="31"/>
        <v>28.801287208366848</v>
      </c>
      <c r="P39" s="67">
        <f t="shared" si="32"/>
        <v>6.0939167625104389</v>
      </c>
      <c r="Q39" s="67"/>
      <c r="R39" s="67">
        <f t="shared" si="33"/>
        <v>27.43362831858407</v>
      </c>
      <c r="S39" s="67">
        <f t="shared" si="34"/>
        <v>5.804540826860503</v>
      </c>
      <c r="T39" s="67"/>
      <c r="U39" s="67">
        <f t="shared" si="35"/>
        <v>43.765084473049072</v>
      </c>
      <c r="V39" s="67">
        <f t="shared" si="36"/>
        <v>9.2600299407979865</v>
      </c>
      <c r="W39" s="67"/>
      <c r="X39" s="71">
        <v>43.9</v>
      </c>
      <c r="Y39" s="71">
        <v>35.799999999999997</v>
      </c>
      <c r="Z39" s="71">
        <f t="shared" si="37"/>
        <v>8.1000000000000014</v>
      </c>
      <c r="AA39" s="71">
        <f t="shared" si="38"/>
        <v>6.0939167625104389</v>
      </c>
      <c r="AB39" s="71">
        <f t="shared" si="39"/>
        <v>29.706083237489558</v>
      </c>
      <c r="AC39" s="71">
        <f t="shared" si="40"/>
        <v>0.20514036514984976</v>
      </c>
      <c r="AD39" s="71">
        <v>17.600000000000001</v>
      </c>
      <c r="AE39" s="71">
        <f t="shared" si="28"/>
        <v>3.610470426637356</v>
      </c>
      <c r="AF39" s="71">
        <f t="shared" si="29"/>
        <v>13.989529573362645</v>
      </c>
      <c r="AG39" s="71">
        <v>20.8</v>
      </c>
      <c r="AH39" s="71">
        <f t="shared" si="41"/>
        <v>0.20514036514984976</v>
      </c>
      <c r="AI39" s="71">
        <v>4.0999999999999996</v>
      </c>
      <c r="AJ39" s="71">
        <f t="shared" si="42"/>
        <v>0.84107549711438401</v>
      </c>
      <c r="AL39" s="67">
        <v>40.5</v>
      </c>
      <c r="AM39" s="67">
        <v>34.1</v>
      </c>
      <c r="AN39" s="67">
        <f t="shared" si="43"/>
        <v>6.3999999999999986</v>
      </c>
      <c r="AO39" s="70">
        <f t="shared" si="44"/>
        <v>5.804540826860503</v>
      </c>
      <c r="AP39" s="70">
        <f t="shared" si="45"/>
        <v>28.295459173139498</v>
      </c>
      <c r="AQ39" s="71">
        <f t="shared" si="46"/>
        <v>0.20514036514984976</v>
      </c>
      <c r="AR39" s="67">
        <v>7.3</v>
      </c>
      <c r="AS39" s="70">
        <f t="shared" si="47"/>
        <v>1.4975246655939032</v>
      </c>
      <c r="AU39" s="70">
        <v>76.2</v>
      </c>
      <c r="AV39" s="70">
        <v>54.4</v>
      </c>
      <c r="AW39" s="70">
        <f t="shared" si="48"/>
        <v>21.800000000000004</v>
      </c>
      <c r="AX39" s="70">
        <f t="shared" si="49"/>
        <v>9.2600299407979865</v>
      </c>
      <c r="AY39" s="70">
        <f t="shared" si="50"/>
        <v>45.139970059202014</v>
      </c>
      <c r="AZ39" s="71">
        <f t="shared" si="51"/>
        <v>0.20514036514984976</v>
      </c>
      <c r="BA39" s="70">
        <v>23</v>
      </c>
      <c r="BB39" s="70">
        <f t="shared" si="52"/>
        <v>4.718228398446545</v>
      </c>
      <c r="BD39" s="67" t="s">
        <v>16</v>
      </c>
      <c r="BE39" s="64">
        <v>-29.333112294767993</v>
      </c>
      <c r="BF39" s="64">
        <v>0.14008818347176866</v>
      </c>
      <c r="BG39" s="64">
        <v>6.4894120294980775</v>
      </c>
      <c r="BH39" s="66">
        <v>0.25513470229277552</v>
      </c>
      <c r="BI39" s="62">
        <v>0.9</v>
      </c>
      <c r="BO39" s="62">
        <v>1.9</v>
      </c>
      <c r="BP39" s="63" t="s">
        <v>320</v>
      </c>
    </row>
    <row r="40" spans="1:68" ht="14.5" x14ac:dyDescent="0.35">
      <c r="A40" s="67" t="s">
        <v>33</v>
      </c>
      <c r="B40" s="68" t="s">
        <v>109</v>
      </c>
      <c r="C40" s="67" t="str">
        <f t="shared" si="54"/>
        <v>GB1_1123E_G</v>
      </c>
      <c r="D40" s="73">
        <v>45258</v>
      </c>
      <c r="E40" s="73" t="s">
        <v>16</v>
      </c>
      <c r="F40" s="73">
        <v>45258</v>
      </c>
      <c r="H40" s="67" t="str">
        <f t="shared" si="55"/>
        <v>C,N,S</v>
      </c>
      <c r="J40" s="67">
        <v>130.50101010101005</v>
      </c>
      <c r="K40" s="67">
        <v>143.69999999999999</v>
      </c>
      <c r="L40" s="67">
        <f>K40-J40</f>
        <v>13.198989898989936</v>
      </c>
      <c r="M40" s="67">
        <f t="shared" si="56"/>
        <v>112.69999999999999</v>
      </c>
      <c r="O40" s="67">
        <f t="shared" si="31"/>
        <v>27.86157941437445</v>
      </c>
      <c r="P40" s="67">
        <f t="shared" si="32"/>
        <v>3.263040863001192</v>
      </c>
      <c r="Q40" s="67"/>
      <c r="R40" s="67">
        <f t="shared" si="33"/>
        <v>26.530612244897959</v>
      </c>
      <c r="S40" s="67">
        <f t="shared" si="34"/>
        <v>3.1071631147686505</v>
      </c>
      <c r="T40" s="67"/>
      <c r="U40" s="67">
        <f t="shared" si="35"/>
        <v>45.607808340727601</v>
      </c>
      <c r="V40" s="67">
        <f t="shared" si="36"/>
        <v>5.3414108394350714</v>
      </c>
      <c r="W40" s="67"/>
      <c r="X40" s="71">
        <v>40.4</v>
      </c>
      <c r="Y40" s="71">
        <v>31.4</v>
      </c>
      <c r="Z40" s="71">
        <f t="shared" si="37"/>
        <v>9</v>
      </c>
      <c r="AA40" s="71">
        <f t="shared" si="38"/>
        <v>3.263040863001192</v>
      </c>
      <c r="AB40" s="71">
        <f t="shared" si="39"/>
        <v>28.136959136998808</v>
      </c>
      <c r="AC40" s="71">
        <f t="shared" si="40"/>
        <v>0.11596991867932321</v>
      </c>
      <c r="AD40" s="71">
        <v>17.399999999999999</v>
      </c>
      <c r="AE40" s="71">
        <f t="shared" si="28"/>
        <v>2.0178765850202236</v>
      </c>
      <c r="AF40" s="71">
        <f t="shared" si="29"/>
        <v>15.382123414979775</v>
      </c>
      <c r="AG40" s="71">
        <v>18.899999999999999</v>
      </c>
      <c r="AH40" s="71">
        <f t="shared" si="41"/>
        <v>0.11596991867932321</v>
      </c>
      <c r="AI40" s="71">
        <v>4.3</v>
      </c>
      <c r="AJ40" s="71">
        <f t="shared" si="42"/>
        <v>0.49867065032108981</v>
      </c>
      <c r="AL40" s="67">
        <v>39.799999999999997</v>
      </c>
      <c r="AM40" s="67">
        <v>29.9</v>
      </c>
      <c r="AN40" s="67">
        <f t="shared" si="43"/>
        <v>9.8999999999999986</v>
      </c>
      <c r="AO40" s="70">
        <f t="shared" si="44"/>
        <v>3.1071631147686505</v>
      </c>
      <c r="AP40" s="70">
        <f t="shared" si="45"/>
        <v>26.792836885231349</v>
      </c>
      <c r="AQ40" s="71">
        <f t="shared" si="46"/>
        <v>0.1159699186793232</v>
      </c>
      <c r="AR40" s="67">
        <v>5.8</v>
      </c>
      <c r="AS40" s="70">
        <f t="shared" si="47"/>
        <v>0.6726255283400745</v>
      </c>
      <c r="AU40" s="70">
        <v>70.900000000000006</v>
      </c>
      <c r="AV40" s="70">
        <v>51.4</v>
      </c>
      <c r="AW40" s="70">
        <f t="shared" si="48"/>
        <v>19.500000000000007</v>
      </c>
      <c r="AX40" s="70">
        <f t="shared" si="49"/>
        <v>5.3414108394350714</v>
      </c>
      <c r="AY40" s="70">
        <f t="shared" si="50"/>
        <v>46.058589160564928</v>
      </c>
      <c r="AZ40" s="71">
        <f t="shared" si="51"/>
        <v>0.1159699186793232</v>
      </c>
      <c r="BA40" s="70">
        <v>23.6</v>
      </c>
      <c r="BB40" s="70">
        <f t="shared" si="52"/>
        <v>2.7368900808320276</v>
      </c>
      <c r="BD40" s="67" t="s">
        <v>16</v>
      </c>
      <c r="BE40" s="64">
        <v>-27.120068174753396</v>
      </c>
      <c r="BF40" s="64">
        <v>0.1516910328994793</v>
      </c>
      <c r="BG40" s="64">
        <v>9.986373202697143</v>
      </c>
      <c r="BH40" s="66">
        <v>3.4471832206065686E-2</v>
      </c>
      <c r="BI40" s="62">
        <v>0.9</v>
      </c>
      <c r="BJ40" s="63" t="s">
        <v>299</v>
      </c>
      <c r="BK40" s="64">
        <v>4.0628505080573394</v>
      </c>
      <c r="BL40" s="65">
        <v>0.30692826108153604</v>
      </c>
      <c r="BM40" s="61">
        <v>1.1162254365272275</v>
      </c>
      <c r="BN40" s="66">
        <v>4.5801472821280532E-2</v>
      </c>
      <c r="BO40" s="62">
        <v>2</v>
      </c>
      <c r="BP40" s="63" t="s">
        <v>299</v>
      </c>
    </row>
    <row r="41" spans="1:68" ht="14.5" x14ac:dyDescent="0.35">
      <c r="A41" s="75" t="s">
        <v>33</v>
      </c>
      <c r="B41" s="76" t="s">
        <v>110</v>
      </c>
      <c r="C41" s="75" t="str">
        <f t="shared" si="54"/>
        <v>GB1_11-24_G</v>
      </c>
      <c r="D41" s="77">
        <v>45612</v>
      </c>
      <c r="E41" s="67" t="s">
        <v>16</v>
      </c>
      <c r="F41" s="77"/>
      <c r="G41" s="75"/>
      <c r="H41" s="67" t="str">
        <f t="shared" si="55"/>
        <v>C,N,S</v>
      </c>
      <c r="I41" s="75">
        <v>134.30000000000001</v>
      </c>
      <c r="J41" s="75"/>
      <c r="K41" s="75">
        <v>151.19999999999999</v>
      </c>
      <c r="L41" s="75">
        <f>K41-I41</f>
        <v>16.899999999999977</v>
      </c>
      <c r="M41" s="75">
        <f t="shared" si="56"/>
        <v>107.5</v>
      </c>
      <c r="O41" s="67">
        <f t="shared" si="31"/>
        <v>21.953488372093023</v>
      </c>
      <c r="P41" s="67">
        <f t="shared" si="32"/>
        <v>3.4512925905895031</v>
      </c>
      <c r="Q41" s="67"/>
      <c r="R41" s="67">
        <f t="shared" si="33"/>
        <v>32.744186046511629</v>
      </c>
      <c r="S41" s="67">
        <f t="shared" si="34"/>
        <v>5.1476906435911234</v>
      </c>
      <c r="T41" s="67"/>
      <c r="U41" s="67">
        <f t="shared" si="35"/>
        <v>45.302325581395351</v>
      </c>
      <c r="V41" s="67">
        <f t="shared" si="36"/>
        <v>7.1219469983774921</v>
      </c>
      <c r="W41" s="67"/>
      <c r="X41" s="71">
        <v>33.299999999999997</v>
      </c>
      <c r="Y41" s="71">
        <v>23.6</v>
      </c>
      <c r="Z41" s="71">
        <f t="shared" si="37"/>
        <v>9.6999999999999957</v>
      </c>
      <c r="AA41" s="71">
        <f t="shared" si="38"/>
        <v>3.4512925905895031</v>
      </c>
      <c r="AB41" s="71">
        <f t="shared" si="39"/>
        <v>20.148707409410498</v>
      </c>
      <c r="AC41" s="71">
        <f t="shared" si="40"/>
        <v>0.17129101735715163</v>
      </c>
      <c r="AD41" s="71">
        <v>20</v>
      </c>
      <c r="AE41" s="71">
        <f t="shared" si="28"/>
        <v>3.4258203471430324</v>
      </c>
      <c r="AF41" s="71">
        <f t="shared" si="29"/>
        <v>16.574179652856969</v>
      </c>
      <c r="AG41" s="71">
        <v>25.3</v>
      </c>
      <c r="AH41" s="71">
        <f t="shared" si="41"/>
        <v>0.17129101735715163</v>
      </c>
      <c r="AI41" s="71">
        <v>4</v>
      </c>
      <c r="AJ41" s="71">
        <f t="shared" si="42"/>
        <v>0.68516406942860653</v>
      </c>
      <c r="AL41" s="67">
        <v>42</v>
      </c>
      <c r="AM41" s="67">
        <v>35.200000000000003</v>
      </c>
      <c r="AN41" s="67">
        <f t="shared" si="43"/>
        <v>6.7999999999999972</v>
      </c>
      <c r="AO41" s="70">
        <f t="shared" si="44"/>
        <v>5.1476906435911234</v>
      </c>
      <c r="AP41" s="70">
        <f t="shared" si="45"/>
        <v>30.05230935640888</v>
      </c>
      <c r="AQ41" s="71">
        <f t="shared" si="46"/>
        <v>0.1712910173571516</v>
      </c>
      <c r="AR41" s="67">
        <v>5.5</v>
      </c>
      <c r="AS41" s="70">
        <f t="shared" si="47"/>
        <v>0.94210059546433378</v>
      </c>
      <c r="AU41" s="70">
        <v>74.599999999999994</v>
      </c>
      <c r="AV41" s="70">
        <v>48.7</v>
      </c>
      <c r="AW41" s="70">
        <f t="shared" si="48"/>
        <v>25.899999999999991</v>
      </c>
      <c r="AX41" s="70">
        <f t="shared" si="49"/>
        <v>7.1219469983774921</v>
      </c>
      <c r="AY41" s="70">
        <f t="shared" si="50"/>
        <v>41.578053001622507</v>
      </c>
      <c r="AZ41" s="71">
        <f t="shared" si="51"/>
        <v>0.17129101735715166</v>
      </c>
      <c r="BA41" s="70">
        <v>21</v>
      </c>
      <c r="BB41" s="70">
        <f t="shared" si="52"/>
        <v>3.5971113645001846</v>
      </c>
      <c r="BD41" s="67" t="s">
        <v>16</v>
      </c>
      <c r="BE41" s="64">
        <v>-24.244581069753551</v>
      </c>
      <c r="BF41" s="64">
        <v>0.1387243505759139</v>
      </c>
      <c r="BG41" s="64">
        <v>4.1836991320478285</v>
      </c>
      <c r="BH41" s="66">
        <v>0.28732024739221496</v>
      </c>
      <c r="BI41" s="62">
        <v>0.9</v>
      </c>
      <c r="BK41" s="64">
        <v>3.7911193952313713</v>
      </c>
      <c r="BL41" s="65">
        <v>0.50822454571668296</v>
      </c>
      <c r="BM41" s="61">
        <v>0.49388566428456215</v>
      </c>
      <c r="BN41" s="66">
        <v>1.1658222046638885E-2</v>
      </c>
      <c r="BO41" s="62">
        <v>1.7</v>
      </c>
      <c r="BP41" s="63" t="s">
        <v>321</v>
      </c>
    </row>
    <row r="42" spans="1:68" ht="14.5" x14ac:dyDescent="0.35">
      <c r="A42" s="67" t="s">
        <v>33</v>
      </c>
      <c r="B42" s="68" t="s">
        <v>60</v>
      </c>
      <c r="C42" s="67" t="str">
        <f t="shared" si="54"/>
        <v>GB1_1-24_G</v>
      </c>
      <c r="D42" s="73">
        <v>45302</v>
      </c>
      <c r="E42" s="73" t="s">
        <v>16</v>
      </c>
      <c r="F42" s="73">
        <v>45546</v>
      </c>
      <c r="H42" s="67" t="str">
        <f t="shared" si="55"/>
        <v>C,N,S</v>
      </c>
      <c r="I42" s="67">
        <v>131.69999999999999</v>
      </c>
      <c r="K42" s="67">
        <v>169.7</v>
      </c>
      <c r="L42" s="67">
        <f>K42-I42</f>
        <v>38</v>
      </c>
      <c r="M42" s="67">
        <f t="shared" si="56"/>
        <v>108.39999999999999</v>
      </c>
      <c r="O42" s="67">
        <f t="shared" si="31"/>
        <v>26.199261992619927</v>
      </c>
      <c r="P42" s="67">
        <f t="shared" si="32"/>
        <v>9.1842431339442552</v>
      </c>
      <c r="Q42" s="67"/>
      <c r="R42" s="67">
        <f t="shared" si="33"/>
        <v>24.169741697416974</v>
      </c>
      <c r="S42" s="67">
        <f t="shared" si="34"/>
        <v>8.47278767990632</v>
      </c>
      <c r="T42" s="67"/>
      <c r="U42" s="67">
        <f t="shared" si="35"/>
        <v>49.630996309963102</v>
      </c>
      <c r="V42" s="67">
        <f t="shared" si="36"/>
        <v>17.398319739654966</v>
      </c>
      <c r="W42" s="67"/>
      <c r="X42" s="71">
        <v>45.2</v>
      </c>
      <c r="Y42" s="71">
        <v>28.4</v>
      </c>
      <c r="Z42" s="71">
        <f t="shared" si="37"/>
        <v>16.800000000000004</v>
      </c>
      <c r="AA42" s="71">
        <f t="shared" si="38"/>
        <v>9.1842431339442552</v>
      </c>
      <c r="AB42" s="71">
        <f t="shared" si="39"/>
        <v>19.215756866055742</v>
      </c>
      <c r="AC42" s="71">
        <f t="shared" si="40"/>
        <v>0.47795375420096209</v>
      </c>
      <c r="AD42" s="71">
        <v>17</v>
      </c>
      <c r="AE42" s="71">
        <f t="shared" si="28"/>
        <v>8.1252138214163558</v>
      </c>
      <c r="AF42" s="71">
        <f t="shared" si="29"/>
        <v>8.8747861785836442</v>
      </c>
      <c r="AG42" s="71">
        <v>17</v>
      </c>
      <c r="AH42" s="71">
        <f t="shared" si="41"/>
        <v>0.47795375420096209</v>
      </c>
      <c r="AI42" s="71">
        <v>3</v>
      </c>
      <c r="AJ42" s="71">
        <f t="shared" si="42"/>
        <v>1.4338612626028864</v>
      </c>
      <c r="AL42" s="67">
        <v>38.6</v>
      </c>
      <c r="AM42" s="67">
        <v>26.2</v>
      </c>
      <c r="AN42" s="67">
        <f t="shared" si="43"/>
        <v>12.400000000000002</v>
      </c>
      <c r="AO42" s="70">
        <f t="shared" si="44"/>
        <v>8.47278767990632</v>
      </c>
      <c r="AP42" s="70">
        <f t="shared" si="45"/>
        <v>17.727212320093678</v>
      </c>
      <c r="AQ42" s="71">
        <f t="shared" si="46"/>
        <v>0.47795375420096209</v>
      </c>
      <c r="AR42" s="67">
        <v>4.8</v>
      </c>
      <c r="AS42" s="70">
        <f t="shared" si="47"/>
        <v>2.294178020164618</v>
      </c>
      <c r="AU42" s="70">
        <v>76.3</v>
      </c>
      <c r="AV42" s="70">
        <v>53.8</v>
      </c>
      <c r="AW42" s="70">
        <f t="shared" si="48"/>
        <v>22.5</v>
      </c>
      <c r="AX42" s="70">
        <f t="shared" si="49"/>
        <v>17.398319739654966</v>
      </c>
      <c r="AY42" s="70">
        <f t="shared" si="50"/>
        <v>36.401680260345032</v>
      </c>
      <c r="AZ42" s="71">
        <f t="shared" si="51"/>
        <v>0.47795375420096214</v>
      </c>
      <c r="BA42" s="70">
        <v>15.3</v>
      </c>
      <c r="BB42" s="70">
        <f t="shared" si="52"/>
        <v>7.3126924392747208</v>
      </c>
      <c r="BD42" s="67" t="s">
        <v>16</v>
      </c>
      <c r="BE42" s="64">
        <v>-27.145144233519183</v>
      </c>
      <c r="BF42" s="64">
        <v>0.13944664142644533</v>
      </c>
      <c r="BG42" s="64">
        <v>12.877860226402795</v>
      </c>
      <c r="BH42" s="66">
        <v>0.23386615081429193</v>
      </c>
      <c r="BI42" s="62">
        <v>0.8</v>
      </c>
      <c r="BO42" s="62">
        <v>1.2</v>
      </c>
      <c r="BP42" s="63" t="s">
        <v>322</v>
      </c>
    </row>
    <row r="43" spans="1:68" ht="14.5" x14ac:dyDescent="0.35">
      <c r="A43" s="67" t="s">
        <v>33</v>
      </c>
      <c r="B43" s="68" t="s">
        <v>62</v>
      </c>
      <c r="C43" s="67" t="str">
        <f t="shared" si="54"/>
        <v>GB1_4-24_G</v>
      </c>
      <c r="D43" s="73">
        <v>45392</v>
      </c>
      <c r="E43" s="73" t="s">
        <v>16</v>
      </c>
      <c r="F43" s="73">
        <v>45540</v>
      </c>
      <c r="H43" s="67" t="str">
        <f t="shared" si="55"/>
        <v>C,N,S</v>
      </c>
      <c r="I43" s="67">
        <v>127.6</v>
      </c>
      <c r="K43" s="67">
        <v>158</v>
      </c>
      <c r="L43" s="67">
        <f>K43-I43</f>
        <v>30.400000000000006</v>
      </c>
      <c r="M43" s="67">
        <f t="shared" si="56"/>
        <v>108.9</v>
      </c>
      <c r="O43" s="67">
        <f t="shared" si="31"/>
        <v>27.731864095500459</v>
      </c>
      <c r="P43" s="67">
        <f t="shared" si="32"/>
        <v>7.7414937419946206</v>
      </c>
      <c r="Q43" s="67"/>
      <c r="R43" s="67">
        <f t="shared" si="33"/>
        <v>23.140495867768593</v>
      </c>
      <c r="S43" s="67">
        <f t="shared" si="34"/>
        <v>6.4597894800749796</v>
      </c>
      <c r="T43" s="67"/>
      <c r="U43" s="67">
        <f t="shared" si="35"/>
        <v>49.127640036730938</v>
      </c>
      <c r="V43" s="67">
        <f t="shared" si="36"/>
        <v>13.714235602540136</v>
      </c>
      <c r="W43" s="67"/>
      <c r="X43" s="71">
        <v>43.4</v>
      </c>
      <c r="Y43" s="71">
        <v>30.2</v>
      </c>
      <c r="Z43" s="71">
        <f t="shared" si="37"/>
        <v>13.2</v>
      </c>
      <c r="AA43" s="71">
        <f t="shared" si="38"/>
        <v>7.7414937419946206</v>
      </c>
      <c r="AB43" s="71">
        <f t="shared" si="39"/>
        <v>22.458506258005379</v>
      </c>
      <c r="AC43" s="71">
        <f t="shared" si="40"/>
        <v>0.34470207648984447</v>
      </c>
      <c r="AD43" s="71">
        <v>20.8</v>
      </c>
      <c r="AE43" s="71">
        <f t="shared" si="28"/>
        <v>7.1698031909887652</v>
      </c>
      <c r="AF43" s="71">
        <f t="shared" si="29"/>
        <v>13.630196809011235</v>
      </c>
      <c r="AG43" s="71">
        <v>21.1</v>
      </c>
      <c r="AH43" s="71">
        <f t="shared" si="41"/>
        <v>0.34470207648984447</v>
      </c>
      <c r="AI43" s="71">
        <v>3.6</v>
      </c>
      <c r="AJ43" s="71">
        <f t="shared" si="42"/>
        <v>1.2409274753634401</v>
      </c>
      <c r="AL43" s="67">
        <v>36</v>
      </c>
      <c r="AM43" s="67">
        <v>25.2</v>
      </c>
      <c r="AN43" s="67">
        <f t="shared" si="43"/>
        <v>10.8</v>
      </c>
      <c r="AO43" s="70">
        <f t="shared" si="44"/>
        <v>6.4597894800749796</v>
      </c>
      <c r="AP43" s="70">
        <f t="shared" si="45"/>
        <v>18.740210519925022</v>
      </c>
      <c r="AQ43" s="71">
        <f t="shared" si="46"/>
        <v>0.3447020764898443</v>
      </c>
      <c r="AR43" s="67">
        <v>4.9000000000000004</v>
      </c>
      <c r="AS43" s="70">
        <f t="shared" si="47"/>
        <v>1.6890401748002373</v>
      </c>
      <c r="AU43" s="70">
        <v>76.5</v>
      </c>
      <c r="AV43" s="70">
        <v>53.5</v>
      </c>
      <c r="AW43" s="70">
        <f t="shared" si="48"/>
        <v>23</v>
      </c>
      <c r="AX43" s="70">
        <f t="shared" si="49"/>
        <v>13.714235602540136</v>
      </c>
      <c r="AY43" s="70">
        <f t="shared" si="50"/>
        <v>39.785764397459864</v>
      </c>
      <c r="AZ43" s="71">
        <f t="shared" si="51"/>
        <v>0.34470207648984436</v>
      </c>
      <c r="BA43" s="70">
        <v>20.2</v>
      </c>
      <c r="BB43" s="70">
        <f t="shared" si="52"/>
        <v>6.9629819450948558</v>
      </c>
      <c r="BD43" s="67" t="s">
        <v>16</v>
      </c>
      <c r="BE43" s="64">
        <v>-23.833103863496799</v>
      </c>
      <c r="BF43" s="64">
        <v>0.22481627311843572</v>
      </c>
      <c r="BG43" s="64">
        <v>5.1238154897700294</v>
      </c>
      <c r="BH43" s="66">
        <v>5.9976861948867984E-2</v>
      </c>
      <c r="BI43" s="62">
        <v>0.7</v>
      </c>
      <c r="BJ43" s="63" t="s">
        <v>302</v>
      </c>
      <c r="BO43" s="62">
        <v>1.1000000000000001</v>
      </c>
      <c r="BP43" s="63" t="s">
        <v>320</v>
      </c>
    </row>
    <row r="44" spans="1:68" ht="14.5" x14ac:dyDescent="0.35">
      <c r="A44" s="67" t="s">
        <v>33</v>
      </c>
      <c r="B44" s="68" t="s">
        <v>63</v>
      </c>
      <c r="C44" s="67" t="str">
        <f t="shared" si="54"/>
        <v>GB1_8-24_G</v>
      </c>
      <c r="D44" s="73">
        <v>45505</v>
      </c>
      <c r="E44" s="67" t="s">
        <v>16</v>
      </c>
      <c r="H44" s="67" t="str">
        <f t="shared" si="55"/>
        <v>C,N,S</v>
      </c>
      <c r="I44" s="67">
        <v>130.1</v>
      </c>
      <c r="K44" s="67">
        <v>169.3</v>
      </c>
      <c r="L44" s="67">
        <f>K44-I44</f>
        <v>39.200000000000017</v>
      </c>
      <c r="M44" s="67">
        <f t="shared" si="56"/>
        <v>96.6</v>
      </c>
      <c r="O44" s="67">
        <f t="shared" si="31"/>
        <v>19.668737060041408</v>
      </c>
      <c r="P44" s="67">
        <f t="shared" si="32"/>
        <v>7.9815164881327485</v>
      </c>
      <c r="Q44" s="67"/>
      <c r="R44" s="67">
        <f t="shared" si="33"/>
        <v>31.780538302277435</v>
      </c>
      <c r="S44" s="67">
        <f t="shared" si="34"/>
        <v>12.896450325561863</v>
      </c>
      <c r="T44" s="67"/>
      <c r="U44" s="67">
        <f t="shared" si="35"/>
        <v>48.550724637681157</v>
      </c>
      <c r="V44" s="67">
        <f t="shared" si="36"/>
        <v>19.701743331232944</v>
      </c>
      <c r="W44" s="67"/>
      <c r="X44" s="71">
        <v>36.1</v>
      </c>
      <c r="Y44" s="71">
        <v>19</v>
      </c>
      <c r="Z44" s="71">
        <f t="shared" si="37"/>
        <v>17.100000000000001</v>
      </c>
      <c r="AA44" s="71">
        <f t="shared" si="38"/>
        <v>7.9815164881327485</v>
      </c>
      <c r="AB44" s="71">
        <f t="shared" si="39"/>
        <v>11.018483511867252</v>
      </c>
      <c r="AC44" s="71">
        <f t="shared" si="40"/>
        <v>0.72437522636725871</v>
      </c>
      <c r="AD44" s="71">
        <v>16.3</v>
      </c>
      <c r="AE44" s="71">
        <f t="shared" ref="AE44:AE75" si="57">AD44*AC44</f>
        <v>11.807316189786317</v>
      </c>
      <c r="AF44" s="71">
        <f t="shared" ref="AF44:AF75" si="58">AD44-AE44</f>
        <v>4.4926838102136841</v>
      </c>
      <c r="AG44" s="71">
        <v>16.2</v>
      </c>
      <c r="AH44" s="71">
        <f t="shared" si="41"/>
        <v>0.72437522636725871</v>
      </c>
      <c r="AI44" s="71">
        <v>2.5</v>
      </c>
      <c r="AJ44" s="71">
        <f t="shared" si="42"/>
        <v>1.8109380659181467</v>
      </c>
      <c r="AL44" s="67">
        <v>42.9</v>
      </c>
      <c r="AM44" s="67">
        <v>30.7</v>
      </c>
      <c r="AN44" s="67">
        <f t="shared" si="43"/>
        <v>12.2</v>
      </c>
      <c r="AO44" s="70">
        <f t="shared" si="44"/>
        <v>12.896450325561863</v>
      </c>
      <c r="AP44" s="70">
        <f t="shared" si="45"/>
        <v>17.803549674438138</v>
      </c>
      <c r="AQ44" s="71">
        <f t="shared" si="46"/>
        <v>0.72437522636725882</v>
      </c>
      <c r="AR44" s="67">
        <v>6.4</v>
      </c>
      <c r="AS44" s="70">
        <f t="shared" si="47"/>
        <v>4.6360014487504566</v>
      </c>
      <c r="AU44" s="70">
        <v>71.400000000000006</v>
      </c>
      <c r="AV44" s="70">
        <v>46.9</v>
      </c>
      <c r="AW44" s="70">
        <f t="shared" si="48"/>
        <v>24.500000000000007</v>
      </c>
      <c r="AX44" s="70">
        <f t="shared" si="49"/>
        <v>19.701743331232944</v>
      </c>
      <c r="AY44" s="70">
        <f t="shared" si="50"/>
        <v>27.198256668767055</v>
      </c>
      <c r="AZ44" s="71">
        <f t="shared" si="51"/>
        <v>0.72437522636725893</v>
      </c>
      <c r="BA44" s="70">
        <v>17.3</v>
      </c>
      <c r="BB44" s="70">
        <f t="shared" si="52"/>
        <v>12.53169141615358</v>
      </c>
      <c r="BD44" s="67" t="s">
        <v>16</v>
      </c>
      <c r="BE44" s="64">
        <v>-24.05357098193474</v>
      </c>
      <c r="BF44" s="64">
        <v>0.22498690886347331</v>
      </c>
      <c r="BG44" s="64">
        <v>3.7372714945523655</v>
      </c>
      <c r="BH44" s="66">
        <v>5.4447018377464101E-2</v>
      </c>
      <c r="BI44" s="62">
        <v>0.8</v>
      </c>
      <c r="BJ44" s="63" t="s">
        <v>302</v>
      </c>
      <c r="BN44" s="66"/>
      <c r="BO44" s="62">
        <v>1.6</v>
      </c>
      <c r="BP44" s="63" t="s">
        <v>323</v>
      </c>
    </row>
    <row r="45" spans="1:68" ht="14.5" x14ac:dyDescent="0.35">
      <c r="A45" s="67" t="s">
        <v>33</v>
      </c>
      <c r="B45" s="68" t="s">
        <v>14</v>
      </c>
      <c r="C45" s="67" t="str">
        <f t="shared" si="54"/>
        <v>GB1_9-23_G</v>
      </c>
      <c r="D45" s="73">
        <v>45195</v>
      </c>
      <c r="E45" s="73" t="s">
        <v>16</v>
      </c>
      <c r="F45" s="73">
        <v>45568</v>
      </c>
      <c r="H45" s="67" t="str">
        <f t="shared" si="55"/>
        <v>C,N,S</v>
      </c>
      <c r="J45" s="67">
        <v>130.50101010101005</v>
      </c>
      <c r="K45" s="67">
        <v>142.30000000000001</v>
      </c>
      <c r="L45" s="67">
        <f>K45-J45</f>
        <v>11.798989898989959</v>
      </c>
      <c r="M45" s="67">
        <f t="shared" si="56"/>
        <v>107.8</v>
      </c>
      <c r="O45" s="67">
        <f t="shared" si="31"/>
        <v>26.90166975881262</v>
      </c>
      <c r="P45" s="67">
        <f t="shared" si="32"/>
        <v>2.9444576043617232</v>
      </c>
      <c r="Q45" s="67"/>
      <c r="R45" s="67">
        <f t="shared" si="33"/>
        <v>25.324675324675326</v>
      </c>
      <c r="S45" s="67">
        <f t="shared" si="34"/>
        <v>2.7718514689336216</v>
      </c>
      <c r="T45" s="67"/>
      <c r="U45" s="67">
        <f t="shared" si="35"/>
        <v>47.773654916512058</v>
      </c>
      <c r="V45" s="67">
        <f t="shared" si="36"/>
        <v>5.2289505732630586</v>
      </c>
      <c r="W45" s="67"/>
      <c r="X45" s="71">
        <v>38</v>
      </c>
      <c r="Y45" s="71">
        <v>29</v>
      </c>
      <c r="Z45" s="71">
        <f t="shared" si="37"/>
        <v>9</v>
      </c>
      <c r="AA45" s="71">
        <f t="shared" si="38"/>
        <v>2.9444576043617232</v>
      </c>
      <c r="AB45" s="71">
        <f t="shared" si="39"/>
        <v>26.055542395638277</v>
      </c>
      <c r="AC45" s="71">
        <f t="shared" si="40"/>
        <v>0.11300695873652694</v>
      </c>
      <c r="AD45" s="71">
        <v>19.100000000000001</v>
      </c>
      <c r="AE45" s="71">
        <f t="shared" si="57"/>
        <v>2.1584329118676648</v>
      </c>
      <c r="AF45" s="71">
        <f t="shared" si="58"/>
        <v>16.941567088132338</v>
      </c>
      <c r="AG45" s="71">
        <v>19.2</v>
      </c>
      <c r="AH45" s="71">
        <f t="shared" si="41"/>
        <v>0.11300695873652694</v>
      </c>
      <c r="AI45" s="71">
        <v>4.5</v>
      </c>
      <c r="AJ45" s="71">
        <f t="shared" si="42"/>
        <v>0.50853131431437126</v>
      </c>
      <c r="AL45" s="67">
        <v>37.700000000000003</v>
      </c>
      <c r="AM45" s="67">
        <v>27.3</v>
      </c>
      <c r="AN45" s="67">
        <f t="shared" si="43"/>
        <v>10.400000000000002</v>
      </c>
      <c r="AO45" s="70">
        <f t="shared" si="44"/>
        <v>2.7718514689336216</v>
      </c>
      <c r="AP45" s="70">
        <f t="shared" si="45"/>
        <v>24.528148531066378</v>
      </c>
      <c r="AQ45" s="71">
        <f t="shared" si="46"/>
        <v>0.11300695873652691</v>
      </c>
      <c r="AR45" s="67">
        <v>8.5</v>
      </c>
      <c r="AS45" s="70">
        <f t="shared" si="47"/>
        <v>0.96055914926047881</v>
      </c>
      <c r="AU45" s="70">
        <v>74</v>
      </c>
      <c r="AV45" s="70">
        <v>51.5</v>
      </c>
      <c r="AW45" s="70">
        <f t="shared" si="48"/>
        <v>22.5</v>
      </c>
      <c r="AX45" s="70">
        <f t="shared" si="49"/>
        <v>5.2289505732630586</v>
      </c>
      <c r="AY45" s="70">
        <f t="shared" si="50"/>
        <v>46.271049426736944</v>
      </c>
      <c r="AZ45" s="71">
        <f t="shared" si="51"/>
        <v>0.1130069587365269</v>
      </c>
      <c r="BA45" s="70">
        <v>28.9</v>
      </c>
      <c r="BB45" s="70">
        <f t="shared" si="52"/>
        <v>3.2659011074856275</v>
      </c>
      <c r="BD45" s="67" t="s">
        <v>16</v>
      </c>
      <c r="BE45" s="64">
        <v>-25.701772781870151</v>
      </c>
      <c r="BF45" s="64">
        <v>0.14092196478390573</v>
      </c>
      <c r="BG45" s="64">
        <v>9.225447626809494</v>
      </c>
      <c r="BH45" s="66">
        <v>1.7817003468962041E-2</v>
      </c>
      <c r="BI45" s="62">
        <v>0.9</v>
      </c>
      <c r="BJ45" s="63" t="s">
        <v>299</v>
      </c>
      <c r="BK45" s="64">
        <v>3.3949994168934685</v>
      </c>
      <c r="BL45" s="65">
        <v>0.30831971396519142</v>
      </c>
      <c r="BM45" s="61">
        <v>1.091097203910623</v>
      </c>
      <c r="BN45" s="66">
        <v>4.8275828156610925E-2</v>
      </c>
      <c r="BO45" s="62">
        <v>1.9</v>
      </c>
      <c r="BP45" s="63" t="s">
        <v>299</v>
      </c>
    </row>
    <row r="46" spans="1:68" ht="14.5" x14ac:dyDescent="0.35">
      <c r="A46" s="67" t="s">
        <v>42</v>
      </c>
      <c r="B46" s="68" t="s">
        <v>109</v>
      </c>
      <c r="C46" s="67" t="str">
        <f t="shared" si="54"/>
        <v>GB2_1123E_G</v>
      </c>
      <c r="D46" s="73">
        <v>45260</v>
      </c>
      <c r="E46" s="73" t="s">
        <v>16</v>
      </c>
      <c r="F46" s="73">
        <v>45320</v>
      </c>
      <c r="H46" s="67" t="str">
        <f t="shared" si="55"/>
        <v>C,N,S</v>
      </c>
      <c r="I46" s="67">
        <v>129.69999999999999</v>
      </c>
      <c r="K46" s="67">
        <v>142.9</v>
      </c>
      <c r="L46" s="67">
        <f>K46-I46</f>
        <v>13.200000000000017</v>
      </c>
      <c r="M46" s="67">
        <f t="shared" si="56"/>
        <v>100.9</v>
      </c>
      <c r="O46" s="67">
        <f t="shared" si="31"/>
        <v>26.5609514370664</v>
      </c>
      <c r="P46" s="67">
        <f t="shared" si="32"/>
        <v>3.4747726359690478</v>
      </c>
      <c r="Q46" s="67"/>
      <c r="R46" s="67">
        <f t="shared" si="33"/>
        <v>26.5609514370664</v>
      </c>
      <c r="S46" s="67">
        <f t="shared" si="34"/>
        <v>3.4747726359690478</v>
      </c>
      <c r="T46" s="67"/>
      <c r="U46" s="67">
        <f t="shared" si="35"/>
        <v>46.878097125867193</v>
      </c>
      <c r="V46" s="67">
        <f t="shared" si="36"/>
        <v>6.1327143910946251</v>
      </c>
      <c r="W46" s="67"/>
      <c r="X46" s="71">
        <v>38.799999999999997</v>
      </c>
      <c r="Y46" s="71">
        <v>26.8</v>
      </c>
      <c r="Z46" s="71">
        <f t="shared" si="37"/>
        <v>11.999999999999996</v>
      </c>
      <c r="AA46" s="71">
        <f t="shared" si="38"/>
        <v>3.4747726359690478</v>
      </c>
      <c r="AB46" s="71">
        <f t="shared" si="39"/>
        <v>23.325227364030951</v>
      </c>
      <c r="AC46" s="71">
        <f t="shared" si="40"/>
        <v>0.14897057943912598</v>
      </c>
      <c r="AD46" s="71">
        <v>21</v>
      </c>
      <c r="AE46" s="71">
        <f t="shared" si="57"/>
        <v>3.1283821682216457</v>
      </c>
      <c r="AF46" s="71">
        <f t="shared" si="58"/>
        <v>17.871617831778355</v>
      </c>
      <c r="AG46" s="71">
        <v>21</v>
      </c>
      <c r="AH46" s="71">
        <f t="shared" si="41"/>
        <v>0.14897057943912598</v>
      </c>
      <c r="AI46" s="71">
        <v>5.3</v>
      </c>
      <c r="AJ46" s="71">
        <f t="shared" si="42"/>
        <v>0.78954407102736768</v>
      </c>
      <c r="AL46" s="67">
        <v>36.799999999999997</v>
      </c>
      <c r="AM46" s="67">
        <v>26.8</v>
      </c>
      <c r="AN46" s="67">
        <f t="shared" si="43"/>
        <v>9.9999999999999964</v>
      </c>
      <c r="AO46" s="70">
        <f t="shared" si="44"/>
        <v>3.4747726359690478</v>
      </c>
      <c r="AP46" s="70">
        <f t="shared" si="45"/>
        <v>23.325227364030951</v>
      </c>
      <c r="AQ46" s="71">
        <f t="shared" si="46"/>
        <v>0.14897057943912598</v>
      </c>
      <c r="AR46" s="67">
        <v>8.4</v>
      </c>
      <c r="AS46" s="70">
        <f t="shared" si="47"/>
        <v>1.2513528672886582</v>
      </c>
      <c r="AU46" s="70">
        <v>70.5</v>
      </c>
      <c r="AV46" s="70">
        <v>47.3</v>
      </c>
      <c r="AW46" s="70">
        <f t="shared" si="48"/>
        <v>23.200000000000003</v>
      </c>
      <c r="AX46" s="70">
        <f t="shared" si="49"/>
        <v>6.1327143910946251</v>
      </c>
      <c r="AY46" s="70">
        <f t="shared" si="50"/>
        <v>41.167285608905374</v>
      </c>
      <c r="AZ46" s="71">
        <f t="shared" si="51"/>
        <v>0.14897057943912598</v>
      </c>
      <c r="BA46" s="70">
        <v>30.3</v>
      </c>
      <c r="BB46" s="70">
        <f t="shared" si="52"/>
        <v>4.5138085570055173</v>
      </c>
      <c r="BD46" s="67" t="s">
        <v>16</v>
      </c>
      <c r="BE46" s="64">
        <v>-25.719842347784809</v>
      </c>
      <c r="BF46" s="64">
        <v>0.14091760254030516</v>
      </c>
      <c r="BG46" s="64">
        <v>10.071315757442227</v>
      </c>
      <c r="BH46" s="66">
        <v>2.0249770038250035E-2</v>
      </c>
      <c r="BI46" s="62">
        <v>0.8</v>
      </c>
      <c r="BJ46" s="63" t="s">
        <v>299</v>
      </c>
      <c r="BK46" s="64">
        <v>4.533835456433807</v>
      </c>
      <c r="BL46" s="65">
        <v>0.29634526700935543</v>
      </c>
      <c r="BM46" s="61">
        <v>0.86653528644671274</v>
      </c>
      <c r="BN46" s="66">
        <v>1.1191635294698811E-2</v>
      </c>
      <c r="BO46" s="62">
        <v>1.5</v>
      </c>
      <c r="BP46" s="63" t="s">
        <v>299</v>
      </c>
    </row>
    <row r="47" spans="1:68" ht="14.5" x14ac:dyDescent="0.35">
      <c r="A47" s="67" t="s">
        <v>42</v>
      </c>
      <c r="B47" s="68" t="s">
        <v>60</v>
      </c>
      <c r="C47" s="67" t="str">
        <f t="shared" si="54"/>
        <v>GB2_1-24_G</v>
      </c>
      <c r="D47" s="73">
        <v>45297</v>
      </c>
      <c r="E47" s="73" t="s">
        <v>16</v>
      </c>
      <c r="H47" s="67" t="str">
        <f t="shared" si="55"/>
        <v>C,N,S</v>
      </c>
      <c r="I47" s="67">
        <v>132.4</v>
      </c>
      <c r="J47" s="67">
        <v>130.50101010101005</v>
      </c>
      <c r="K47" s="67">
        <v>144.69999999999999</v>
      </c>
      <c r="L47" s="67">
        <f>K47-I47</f>
        <v>12.299999999999983</v>
      </c>
      <c r="M47" s="67">
        <f t="shared" si="56"/>
        <v>100.5</v>
      </c>
      <c r="O47" s="67">
        <f t="shared" si="31"/>
        <v>22.786069651741293</v>
      </c>
      <c r="P47" s="67">
        <f t="shared" si="32"/>
        <v>2.7887428528996767</v>
      </c>
      <c r="Q47" s="67"/>
      <c r="R47" s="67">
        <f t="shared" si="33"/>
        <v>24.278606965174131</v>
      </c>
      <c r="S47" s="67">
        <f t="shared" si="34"/>
        <v>2.9714115987228</v>
      </c>
      <c r="T47" s="67"/>
      <c r="U47" s="67">
        <f t="shared" si="35"/>
        <v>52.93532338308458</v>
      </c>
      <c r="V47" s="67">
        <f t="shared" si="36"/>
        <v>6.4786515185267604</v>
      </c>
      <c r="W47" s="67"/>
      <c r="X47" s="71">
        <v>34.1</v>
      </c>
      <c r="Y47" s="71">
        <v>22.9</v>
      </c>
      <c r="Z47" s="71">
        <f t="shared" si="37"/>
        <v>11.200000000000003</v>
      </c>
      <c r="AA47" s="71">
        <f t="shared" si="38"/>
        <v>2.7887428528996767</v>
      </c>
      <c r="AB47" s="71">
        <f t="shared" si="39"/>
        <v>20.111257147100321</v>
      </c>
      <c r="AC47" s="71">
        <f t="shared" si="40"/>
        <v>0.13866576477551346</v>
      </c>
      <c r="AD47" s="71">
        <v>20.7</v>
      </c>
      <c r="AE47" s="71">
        <f t="shared" si="57"/>
        <v>2.8703813308531285</v>
      </c>
      <c r="AF47" s="71">
        <f t="shared" si="58"/>
        <v>17.829618669146871</v>
      </c>
      <c r="AH47" s="71">
        <f t="shared" si="41"/>
        <v>0.13866576477551346</v>
      </c>
      <c r="AI47" s="71">
        <v>5.6</v>
      </c>
      <c r="AJ47" s="71">
        <f t="shared" si="42"/>
        <v>0.77652828274287533</v>
      </c>
      <c r="AL47" s="67">
        <v>36.299999999999997</v>
      </c>
      <c r="AM47" s="67">
        <v>24.4</v>
      </c>
      <c r="AN47" s="67">
        <f t="shared" si="43"/>
        <v>11.899999999999999</v>
      </c>
      <c r="AO47" s="70">
        <f t="shared" si="44"/>
        <v>2.9714115987228</v>
      </c>
      <c r="AP47" s="70">
        <f t="shared" si="45"/>
        <v>21.428588401277199</v>
      </c>
      <c r="AQ47" s="71">
        <f t="shared" si="46"/>
        <v>0.13866576477551346</v>
      </c>
      <c r="AR47" s="67">
        <v>11</v>
      </c>
      <c r="AS47" s="70">
        <f t="shared" si="47"/>
        <v>1.5253234125306481</v>
      </c>
      <c r="AU47" s="70">
        <v>72.7</v>
      </c>
      <c r="AV47" s="70">
        <v>53.2</v>
      </c>
      <c r="AW47" s="70">
        <f t="shared" si="48"/>
        <v>19.5</v>
      </c>
      <c r="AX47" s="70">
        <f t="shared" si="49"/>
        <v>6.4786515185267604</v>
      </c>
      <c r="AY47" s="70">
        <f t="shared" si="50"/>
        <v>46.721348481473242</v>
      </c>
      <c r="AZ47" s="71">
        <f t="shared" si="51"/>
        <v>0.13866576477551343</v>
      </c>
      <c r="BA47" s="70">
        <v>33.299999999999997</v>
      </c>
      <c r="BB47" s="70">
        <f t="shared" si="52"/>
        <v>4.6175699670245969</v>
      </c>
      <c r="BD47" s="67" t="s">
        <v>16</v>
      </c>
      <c r="BE47" s="64">
        <v>-24.856473169544316</v>
      </c>
      <c r="BF47" s="64">
        <v>0.20397466223641367</v>
      </c>
      <c r="BG47" s="64">
        <v>4.4085011368244</v>
      </c>
      <c r="BH47" s="66">
        <v>0.16995069305508831</v>
      </c>
      <c r="BI47" s="62">
        <v>1</v>
      </c>
      <c r="BJ47" s="63" t="s">
        <v>302</v>
      </c>
      <c r="BK47" s="64">
        <v>3.7345204073239255</v>
      </c>
      <c r="BL47" s="65">
        <v>0.25402449017011031</v>
      </c>
      <c r="BM47" s="61">
        <v>0.45891757027191932</v>
      </c>
      <c r="BN47" s="66">
        <v>1.0338362329003861E-2</v>
      </c>
      <c r="BO47" s="62">
        <v>1.9</v>
      </c>
      <c r="BP47" s="63" t="s">
        <v>299</v>
      </c>
    </row>
    <row r="48" spans="1:68" ht="14.5" x14ac:dyDescent="0.35">
      <c r="A48" s="67" t="s">
        <v>42</v>
      </c>
      <c r="B48" s="68" t="s">
        <v>62</v>
      </c>
      <c r="C48" s="67" t="str">
        <f t="shared" si="54"/>
        <v>GB2_4-24_G</v>
      </c>
      <c r="D48" s="73">
        <v>45393</v>
      </c>
      <c r="E48" s="73" t="s">
        <v>16</v>
      </c>
      <c r="F48" s="73">
        <v>45539</v>
      </c>
      <c r="H48" s="67" t="str">
        <f t="shared" si="55"/>
        <v>C,N,S</v>
      </c>
      <c r="I48" s="67">
        <v>128.19999999999999</v>
      </c>
      <c r="K48" s="67">
        <v>165.8</v>
      </c>
      <c r="L48" s="67">
        <f>K48-I48</f>
        <v>37.600000000000023</v>
      </c>
      <c r="M48" s="67">
        <f t="shared" si="56"/>
        <v>104</v>
      </c>
      <c r="O48" s="67">
        <f t="shared" si="31"/>
        <v>26.53846153846154</v>
      </c>
      <c r="P48" s="67">
        <f t="shared" si="32"/>
        <v>9.5946745562130236</v>
      </c>
      <c r="Q48" s="67"/>
      <c r="R48" s="67">
        <f t="shared" si="33"/>
        <v>22.403846153846153</v>
      </c>
      <c r="S48" s="67">
        <f t="shared" si="34"/>
        <v>8.0998520710059214</v>
      </c>
      <c r="T48" s="67"/>
      <c r="U48" s="67">
        <f t="shared" si="35"/>
        <v>51.057692307692307</v>
      </c>
      <c r="V48" s="67">
        <f t="shared" si="36"/>
        <v>18.45931952662723</v>
      </c>
      <c r="W48" s="67"/>
      <c r="X48" s="71">
        <v>37.200000000000003</v>
      </c>
      <c r="Y48" s="71">
        <v>27.6</v>
      </c>
      <c r="Z48" s="71">
        <f t="shared" si="37"/>
        <v>9.6000000000000014</v>
      </c>
      <c r="AA48" s="71">
        <f t="shared" si="38"/>
        <v>9.5946745562130236</v>
      </c>
      <c r="AB48" s="71">
        <f t="shared" si="39"/>
        <v>18.00532544378698</v>
      </c>
      <c r="AC48" s="71">
        <f t="shared" si="40"/>
        <v>0.53287981859410471</v>
      </c>
      <c r="AD48" s="71">
        <v>16.5</v>
      </c>
      <c r="AE48" s="71">
        <f t="shared" si="57"/>
        <v>8.7925170068027274</v>
      </c>
      <c r="AF48" s="71">
        <f t="shared" si="58"/>
        <v>7.7074829931972726</v>
      </c>
      <c r="AG48" s="71">
        <v>17.8</v>
      </c>
      <c r="AH48" s="71">
        <f t="shared" si="41"/>
        <v>0.53287981859410471</v>
      </c>
      <c r="AI48" s="71">
        <v>7.4</v>
      </c>
      <c r="AJ48" s="71">
        <f t="shared" si="42"/>
        <v>3.943310657596375</v>
      </c>
      <c r="AL48" s="67">
        <v>32.9</v>
      </c>
      <c r="AM48" s="67">
        <v>23.3</v>
      </c>
      <c r="AN48" s="67">
        <f t="shared" si="43"/>
        <v>9.5999999999999979</v>
      </c>
      <c r="AO48" s="70">
        <f t="shared" si="44"/>
        <v>8.0998520710059214</v>
      </c>
      <c r="AP48" s="70">
        <f t="shared" si="45"/>
        <v>15.200147928994079</v>
      </c>
      <c r="AQ48" s="71">
        <f t="shared" si="46"/>
        <v>0.53287981859410471</v>
      </c>
      <c r="AR48" s="67">
        <v>15</v>
      </c>
      <c r="AS48" s="70">
        <f t="shared" si="47"/>
        <v>7.9931972789115706</v>
      </c>
      <c r="AU48" s="70">
        <v>75.8</v>
      </c>
      <c r="AV48" s="70">
        <v>53.1</v>
      </c>
      <c r="AW48" s="70">
        <f t="shared" si="48"/>
        <v>22.699999999999996</v>
      </c>
      <c r="AX48" s="70">
        <f t="shared" si="49"/>
        <v>18.45931952662723</v>
      </c>
      <c r="AY48" s="70">
        <f t="shared" si="50"/>
        <v>34.640680473372768</v>
      </c>
      <c r="AZ48" s="71">
        <f t="shared" si="51"/>
        <v>0.53287981859410483</v>
      </c>
      <c r="BA48" s="70">
        <v>37.200000000000003</v>
      </c>
      <c r="BB48" s="70">
        <f t="shared" si="52"/>
        <v>19.823129251700703</v>
      </c>
      <c r="BD48" s="67" t="s">
        <v>16</v>
      </c>
      <c r="BE48" s="64">
        <v>-21.838878564899048</v>
      </c>
      <c r="BF48" s="64">
        <v>0.14890097037828351</v>
      </c>
      <c r="BG48" s="64">
        <v>3.8497951546085112</v>
      </c>
      <c r="BH48" s="66">
        <v>4.1306298978678005E-2</v>
      </c>
      <c r="BI48" s="62">
        <v>1</v>
      </c>
      <c r="BJ48" s="63" t="s">
        <v>299</v>
      </c>
      <c r="BO48" s="62">
        <v>1.3</v>
      </c>
      <c r="BP48" s="63" t="s">
        <v>324</v>
      </c>
    </row>
    <row r="49" spans="1:305" ht="14.5" x14ac:dyDescent="0.35">
      <c r="A49" s="67" t="s">
        <v>42</v>
      </c>
      <c r="B49" s="68" t="s">
        <v>63</v>
      </c>
      <c r="C49" s="67" t="str">
        <f t="shared" si="54"/>
        <v>GB2_8-24_G</v>
      </c>
      <c r="D49" s="73">
        <v>45505</v>
      </c>
      <c r="E49" s="67" t="s">
        <v>16</v>
      </c>
      <c r="H49" s="67" t="str">
        <f t="shared" si="55"/>
        <v>C,N,S</v>
      </c>
      <c r="I49" s="67">
        <v>132.4</v>
      </c>
      <c r="K49" s="67">
        <v>161</v>
      </c>
      <c r="L49" s="67">
        <f>K49-I49</f>
        <v>28.599999999999994</v>
      </c>
      <c r="M49" s="67">
        <f t="shared" si="56"/>
        <v>140.19999999999999</v>
      </c>
      <c r="O49" s="67">
        <f t="shared" si="31"/>
        <v>26.462196861626254</v>
      </c>
      <c r="P49" s="67">
        <f t="shared" si="32"/>
        <v>5.3981371629280375</v>
      </c>
      <c r="Q49" s="67"/>
      <c r="R49" s="67">
        <f t="shared" si="33"/>
        <v>23.965763195435098</v>
      </c>
      <c r="S49" s="67">
        <f t="shared" si="34"/>
        <v>4.8888789400102981</v>
      </c>
      <c r="T49" s="67"/>
      <c r="U49" s="67">
        <f t="shared" si="35"/>
        <v>49.572039942938659</v>
      </c>
      <c r="V49" s="67">
        <f t="shared" si="36"/>
        <v>10.11241328365225</v>
      </c>
      <c r="W49" s="67"/>
      <c r="X49" s="71">
        <v>43.3</v>
      </c>
      <c r="Y49" s="71">
        <v>37.1</v>
      </c>
      <c r="Z49" s="71">
        <f t="shared" si="37"/>
        <v>6.1999999999999957</v>
      </c>
      <c r="AA49" s="71">
        <f t="shared" si="38"/>
        <v>5.3981371629280375</v>
      </c>
      <c r="AB49" s="71">
        <f t="shared" si="39"/>
        <v>31.701862837071964</v>
      </c>
      <c r="AC49" s="71">
        <f t="shared" si="40"/>
        <v>0.17027823224998276</v>
      </c>
      <c r="AD49" s="71">
        <v>22.6</v>
      </c>
      <c r="AE49" s="71">
        <f t="shared" si="57"/>
        <v>3.8482880488496107</v>
      </c>
      <c r="AF49" s="71">
        <f t="shared" si="58"/>
        <v>18.751711951150391</v>
      </c>
      <c r="AG49" s="71">
        <v>24.1</v>
      </c>
      <c r="AH49" s="71">
        <f t="shared" si="41"/>
        <v>0.17027823224998276</v>
      </c>
      <c r="AI49" s="71">
        <v>3.9</v>
      </c>
      <c r="AJ49" s="71">
        <f t="shared" si="42"/>
        <v>0.66408510577493274</v>
      </c>
      <c r="AL49" s="67">
        <v>43.1</v>
      </c>
      <c r="AM49" s="67">
        <v>33.6</v>
      </c>
      <c r="AN49" s="67">
        <f t="shared" si="43"/>
        <v>9.5</v>
      </c>
      <c r="AO49" s="70">
        <f t="shared" si="44"/>
        <v>4.8888789400102981</v>
      </c>
      <c r="AP49" s="70">
        <f t="shared" si="45"/>
        <v>28.711121059989704</v>
      </c>
      <c r="AQ49" s="71">
        <f t="shared" si="46"/>
        <v>0.17027823224998276</v>
      </c>
      <c r="AR49" s="67">
        <v>8.1999999999999993</v>
      </c>
      <c r="AS49" s="70">
        <f t="shared" si="47"/>
        <v>1.3962815044498584</v>
      </c>
      <c r="AU49" s="70">
        <v>83</v>
      </c>
      <c r="AV49" s="70">
        <v>69.5</v>
      </c>
      <c r="AW49" s="70">
        <f t="shared" si="48"/>
        <v>13.5</v>
      </c>
      <c r="AX49" s="70">
        <f t="shared" si="49"/>
        <v>10.11241328365225</v>
      </c>
      <c r="AY49" s="70">
        <f t="shared" si="50"/>
        <v>59.387586716347748</v>
      </c>
      <c r="AZ49" s="71">
        <f t="shared" si="51"/>
        <v>0.1702782322499827</v>
      </c>
      <c r="BA49" s="70">
        <v>22.9</v>
      </c>
      <c r="BB49" s="70">
        <f t="shared" si="52"/>
        <v>3.8993715185246036</v>
      </c>
      <c r="BD49" s="67" t="s">
        <v>16</v>
      </c>
      <c r="BE49" s="64">
        <v>-20.542221449385998</v>
      </c>
      <c r="BF49" s="64">
        <v>0.20337640304678109</v>
      </c>
      <c r="BG49" s="64">
        <v>4.2136466940965329</v>
      </c>
      <c r="BH49" s="66">
        <v>0.17094847388388576</v>
      </c>
      <c r="BI49" s="62">
        <v>1</v>
      </c>
      <c r="BJ49" s="63" t="s">
        <v>302</v>
      </c>
      <c r="BN49" s="66"/>
      <c r="BO49" s="62">
        <v>1.8</v>
      </c>
      <c r="BP49" s="63" t="s">
        <v>325</v>
      </c>
    </row>
    <row r="50" spans="1:305" ht="14.5" x14ac:dyDescent="0.35">
      <c r="A50" s="67" t="s">
        <v>42</v>
      </c>
      <c r="B50" s="68" t="s">
        <v>14</v>
      </c>
      <c r="C50" s="67" t="str">
        <f t="shared" si="54"/>
        <v>GB2_9-23_G</v>
      </c>
      <c r="D50" s="73">
        <v>45196</v>
      </c>
      <c r="E50" s="73" t="s">
        <v>16</v>
      </c>
      <c r="F50" s="73">
        <v>45275</v>
      </c>
      <c r="H50" s="67" t="str">
        <f t="shared" si="55"/>
        <v>C,N,S</v>
      </c>
      <c r="J50" s="67">
        <v>130.50101010101005</v>
      </c>
      <c r="K50" s="67">
        <v>149.5</v>
      </c>
      <c r="L50" s="67">
        <f>K50-J50</f>
        <v>18.998989898989947</v>
      </c>
      <c r="M50" s="67">
        <f t="shared" si="56"/>
        <v>107.8</v>
      </c>
      <c r="O50" s="67">
        <f t="shared" si="31"/>
        <v>26.159554730983302</v>
      </c>
      <c r="P50" s="67">
        <f t="shared" si="32"/>
        <v>4.6104370695364238</v>
      </c>
      <c r="Q50" s="67"/>
      <c r="R50" s="67">
        <f t="shared" si="33"/>
        <v>23.933209647495364</v>
      </c>
      <c r="S50" s="67">
        <f t="shared" si="34"/>
        <v>4.2180594465971541</v>
      </c>
      <c r="T50" s="67"/>
      <c r="U50" s="67">
        <f t="shared" si="35"/>
        <v>49.907235621521338</v>
      </c>
      <c r="V50" s="67">
        <f t="shared" si="36"/>
        <v>8.7957983808886375</v>
      </c>
      <c r="W50" s="67"/>
      <c r="X50" s="71">
        <v>41.7</v>
      </c>
      <c r="Y50" s="71">
        <v>28.2</v>
      </c>
      <c r="Z50" s="71">
        <f t="shared" si="37"/>
        <v>13.500000000000004</v>
      </c>
      <c r="AA50" s="71">
        <f t="shared" si="38"/>
        <v>4.6104370695364238</v>
      </c>
      <c r="AB50" s="71">
        <f t="shared" si="39"/>
        <v>23.589562930463575</v>
      </c>
      <c r="AC50" s="71">
        <f t="shared" si="40"/>
        <v>0.19544393777565514</v>
      </c>
      <c r="AD50" s="71">
        <v>17.600000000000001</v>
      </c>
      <c r="AE50" s="71">
        <f t="shared" si="57"/>
        <v>3.4398133048515307</v>
      </c>
      <c r="AF50" s="71">
        <f t="shared" si="58"/>
        <v>14.160186695148472</v>
      </c>
      <c r="AG50" s="71">
        <v>19.100000000000001</v>
      </c>
      <c r="AH50" s="71">
        <f t="shared" si="41"/>
        <v>0.19544393777565514</v>
      </c>
      <c r="AI50" s="71">
        <v>3.3</v>
      </c>
      <c r="AJ50" s="71">
        <f t="shared" si="42"/>
        <v>0.64496499465966195</v>
      </c>
      <c r="AL50" s="67">
        <v>42.3</v>
      </c>
      <c r="AM50" s="67">
        <v>25.8</v>
      </c>
      <c r="AN50" s="67">
        <f t="shared" si="43"/>
        <v>16.499999999999996</v>
      </c>
      <c r="AO50" s="70">
        <f t="shared" si="44"/>
        <v>4.2180594465971541</v>
      </c>
      <c r="AP50" s="70">
        <f t="shared" si="45"/>
        <v>21.581940553402845</v>
      </c>
      <c r="AQ50" s="71">
        <f t="shared" si="46"/>
        <v>0.19544393777565516</v>
      </c>
      <c r="AR50" s="67">
        <v>4.9000000000000004</v>
      </c>
      <c r="AS50" s="70">
        <f t="shared" si="47"/>
        <v>0.95767529510071037</v>
      </c>
      <c r="AU50" s="70">
        <v>74.599999999999994</v>
      </c>
      <c r="AV50" s="70">
        <v>53.8</v>
      </c>
      <c r="AW50" s="70">
        <f t="shared" si="48"/>
        <v>20.799999999999997</v>
      </c>
      <c r="AX50" s="70">
        <f t="shared" si="49"/>
        <v>8.7957983808886375</v>
      </c>
      <c r="AY50" s="70">
        <f t="shared" si="50"/>
        <v>45.004201619111356</v>
      </c>
      <c r="AZ50" s="71">
        <f t="shared" si="51"/>
        <v>0.19544393777565514</v>
      </c>
      <c r="BA50" s="70">
        <v>14.3</v>
      </c>
      <c r="BB50" s="70">
        <f t="shared" si="52"/>
        <v>2.7948483101918686</v>
      </c>
      <c r="BD50" s="67" t="s">
        <v>16</v>
      </c>
      <c r="BE50" s="64">
        <v>-23.352018405109035</v>
      </c>
      <c r="BF50" s="64">
        <v>0.14024240714678221</v>
      </c>
      <c r="BG50" s="64">
        <v>3.175801373397749</v>
      </c>
      <c r="BH50" s="66">
        <v>2.8028267188911347E-2</v>
      </c>
      <c r="BI50" s="62">
        <v>0.8</v>
      </c>
      <c r="BJ50" s="63" t="s">
        <v>299</v>
      </c>
      <c r="BK50" s="64"/>
      <c r="BL50" s="65"/>
      <c r="BN50" s="66"/>
      <c r="BO50" s="62">
        <v>2</v>
      </c>
      <c r="BP50" s="63" t="s">
        <v>326</v>
      </c>
    </row>
    <row r="51" spans="1:305" ht="14.5" x14ac:dyDescent="0.35">
      <c r="A51" s="67" t="s">
        <v>28</v>
      </c>
      <c r="B51" s="68" t="s">
        <v>60</v>
      </c>
      <c r="C51" s="67" t="str">
        <f t="shared" si="54"/>
        <v>GBHM_1-24_G</v>
      </c>
      <c r="D51" s="73">
        <v>45302</v>
      </c>
      <c r="E51" s="73" t="s">
        <v>16</v>
      </c>
      <c r="H51" s="67" t="str">
        <f t="shared" si="55"/>
        <v>C,N,S</v>
      </c>
      <c r="I51" s="67">
        <v>135.1</v>
      </c>
      <c r="K51" s="67">
        <v>148.6</v>
      </c>
      <c r="L51" s="67">
        <f>K51-I51</f>
        <v>13.5</v>
      </c>
      <c r="M51" s="67">
        <f t="shared" si="56"/>
        <v>113</v>
      </c>
      <c r="O51" s="67">
        <f t="shared" si="31"/>
        <v>26.371681415929203</v>
      </c>
      <c r="P51" s="67">
        <f t="shared" si="32"/>
        <v>3.150599107212781</v>
      </c>
      <c r="Q51" s="67"/>
      <c r="R51" s="67">
        <f t="shared" si="33"/>
        <v>25.309734513274339</v>
      </c>
      <c r="S51" s="67">
        <f t="shared" si="34"/>
        <v>3.0237293445062261</v>
      </c>
      <c r="T51" s="67"/>
      <c r="U51" s="67">
        <f t="shared" si="35"/>
        <v>48.318584070796462</v>
      </c>
      <c r="V51" s="67">
        <f t="shared" si="36"/>
        <v>5.7725742031482499</v>
      </c>
      <c r="W51" s="67"/>
      <c r="X51" s="71">
        <v>39.4</v>
      </c>
      <c r="Y51" s="71">
        <v>29.8</v>
      </c>
      <c r="Z51" s="71">
        <f t="shared" si="37"/>
        <v>9.5999999999999979</v>
      </c>
      <c r="AA51" s="71">
        <f t="shared" si="38"/>
        <v>3.150599107212781</v>
      </c>
      <c r="AB51" s="71">
        <f t="shared" si="39"/>
        <v>26.64940089278722</v>
      </c>
      <c r="AC51" s="71">
        <f t="shared" si="40"/>
        <v>0.11822401261056134</v>
      </c>
      <c r="AD51" s="71">
        <v>20.6</v>
      </c>
      <c r="AE51" s="71">
        <f t="shared" si="57"/>
        <v>2.4354146597775639</v>
      </c>
      <c r="AF51" s="71">
        <f t="shared" si="58"/>
        <v>18.164585340222438</v>
      </c>
      <c r="AG51" s="71">
        <v>20.7</v>
      </c>
      <c r="AH51" s="71">
        <f t="shared" si="41"/>
        <v>0.11822401261056134</v>
      </c>
      <c r="AI51" s="71">
        <v>3.8</v>
      </c>
      <c r="AJ51" s="71">
        <f t="shared" si="42"/>
        <v>0.4492512479201331</v>
      </c>
      <c r="AL51" s="67">
        <v>38.799999999999997</v>
      </c>
      <c r="AM51" s="67">
        <v>28.6</v>
      </c>
      <c r="AN51" s="67">
        <f t="shared" si="43"/>
        <v>10.199999999999996</v>
      </c>
      <c r="AO51" s="70">
        <f t="shared" si="44"/>
        <v>3.0237293445062261</v>
      </c>
      <c r="AP51" s="70">
        <f t="shared" si="45"/>
        <v>25.576270655493776</v>
      </c>
      <c r="AQ51" s="71">
        <f t="shared" si="46"/>
        <v>0.11822401261056134</v>
      </c>
      <c r="AR51" s="67">
        <v>7.5</v>
      </c>
      <c r="AS51" s="70">
        <f t="shared" si="47"/>
        <v>0.88668009457921004</v>
      </c>
      <c r="AU51" s="70">
        <v>74.5</v>
      </c>
      <c r="AV51" s="70">
        <v>54.6</v>
      </c>
      <c r="AW51" s="70">
        <f t="shared" si="48"/>
        <v>19.899999999999999</v>
      </c>
      <c r="AX51" s="70">
        <f t="shared" si="49"/>
        <v>5.7725742031482499</v>
      </c>
      <c r="AY51" s="70">
        <f t="shared" si="50"/>
        <v>48.827425796851749</v>
      </c>
      <c r="AZ51" s="71">
        <f t="shared" si="51"/>
        <v>0.11822401261056135</v>
      </c>
      <c r="BA51" s="70">
        <v>21.4</v>
      </c>
      <c r="BB51" s="70">
        <f t="shared" si="52"/>
        <v>2.5299938698660127</v>
      </c>
      <c r="BD51" s="67" t="s">
        <v>16</v>
      </c>
      <c r="BE51" s="64">
        <v>-27.295692494614279</v>
      </c>
      <c r="BF51" s="64">
        <v>0.13948813597717843</v>
      </c>
      <c r="BG51" s="64">
        <v>13.156797614502549</v>
      </c>
      <c r="BH51" s="66">
        <v>0.20156035937871236</v>
      </c>
      <c r="BI51" s="62">
        <v>0.9</v>
      </c>
      <c r="BK51" s="64">
        <v>5.4232964353099193</v>
      </c>
      <c r="BL51" s="65">
        <v>0.25539418544859976</v>
      </c>
      <c r="BM51" s="61">
        <v>1.6771784185120642</v>
      </c>
      <c r="BN51" s="66">
        <v>1.1859314553545415E-2</v>
      </c>
      <c r="BO51" s="62">
        <v>2</v>
      </c>
      <c r="BP51" s="63" t="s">
        <v>299</v>
      </c>
    </row>
    <row r="52" spans="1:305" ht="14.5" x14ac:dyDescent="0.35">
      <c r="A52" s="67" t="s">
        <v>28</v>
      </c>
      <c r="B52" s="68" t="s">
        <v>14</v>
      </c>
      <c r="C52" s="67" t="str">
        <f t="shared" si="54"/>
        <v>GBHM_9-23_G</v>
      </c>
      <c r="D52" s="73">
        <v>45195</v>
      </c>
      <c r="E52" s="73" t="s">
        <v>16</v>
      </c>
      <c r="F52" s="73">
        <v>45568</v>
      </c>
      <c r="H52" s="67" t="str">
        <f t="shared" si="55"/>
        <v>C,N,S</v>
      </c>
      <c r="J52" s="67">
        <v>130.50101010101005</v>
      </c>
      <c r="K52" s="67">
        <v>154.4</v>
      </c>
      <c r="L52" s="67">
        <f>K52-J52</f>
        <v>23.898989898989953</v>
      </c>
      <c r="M52" s="67">
        <f t="shared" si="56"/>
        <v>114.1</v>
      </c>
      <c r="O52" s="67">
        <f t="shared" si="31"/>
        <v>23.488168273444348</v>
      </c>
      <c r="P52" s="67">
        <f t="shared" si="32"/>
        <v>4.9197501867907345</v>
      </c>
      <c r="Q52" s="67"/>
      <c r="R52" s="67">
        <f t="shared" si="33"/>
        <v>27.870289219982475</v>
      </c>
      <c r="S52" s="67">
        <f t="shared" si="34"/>
        <v>5.8376140276099013</v>
      </c>
      <c r="T52" s="67"/>
      <c r="U52" s="67">
        <f t="shared" si="35"/>
        <v>48.641542506573181</v>
      </c>
      <c r="V52" s="67">
        <f t="shared" si="36"/>
        <v>10.188288633092752</v>
      </c>
      <c r="W52" s="67"/>
      <c r="X52" s="71">
        <v>36.799999999999997</v>
      </c>
      <c r="Y52" s="71">
        <v>26.8</v>
      </c>
      <c r="Z52" s="71">
        <f t="shared" si="37"/>
        <v>9.9999999999999964</v>
      </c>
      <c r="AA52" s="71">
        <f t="shared" si="38"/>
        <v>4.9197501867907345</v>
      </c>
      <c r="AB52" s="71">
        <f t="shared" si="39"/>
        <v>21.880249813209268</v>
      </c>
      <c r="AC52" s="71">
        <f t="shared" si="40"/>
        <v>0.22484890386492046</v>
      </c>
      <c r="AD52" s="71">
        <v>17</v>
      </c>
      <c r="AE52" s="71">
        <f t="shared" si="57"/>
        <v>3.8224313657036477</v>
      </c>
      <c r="AF52" s="71">
        <f t="shared" si="58"/>
        <v>13.177568634296353</v>
      </c>
      <c r="AG52" s="71">
        <v>17.3</v>
      </c>
      <c r="AH52" s="71">
        <f t="shared" si="41"/>
        <v>0.22484890386492046</v>
      </c>
      <c r="AI52" s="71">
        <v>4.3</v>
      </c>
      <c r="AJ52" s="71">
        <f t="shared" si="42"/>
        <v>0.96685028661915795</v>
      </c>
      <c r="AL52" s="67">
        <v>39.9</v>
      </c>
      <c r="AM52" s="67">
        <v>31.8</v>
      </c>
      <c r="AN52" s="67">
        <f t="shared" si="43"/>
        <v>8.0999999999999979</v>
      </c>
      <c r="AO52" s="70">
        <f t="shared" si="44"/>
        <v>5.8376140276099013</v>
      </c>
      <c r="AP52" s="70">
        <f t="shared" si="45"/>
        <v>25.962385972390098</v>
      </c>
      <c r="AQ52" s="71">
        <f t="shared" si="46"/>
        <v>0.22484890386492049</v>
      </c>
      <c r="AR52" s="67">
        <v>6.9</v>
      </c>
      <c r="AS52" s="70">
        <f t="shared" si="47"/>
        <v>1.5514574366679514</v>
      </c>
      <c r="AU52" s="70">
        <v>74.3</v>
      </c>
      <c r="AV52" s="70">
        <v>55.5</v>
      </c>
      <c r="AW52" s="70">
        <f t="shared" si="48"/>
        <v>18.799999999999997</v>
      </c>
      <c r="AX52" s="70">
        <f t="shared" si="49"/>
        <v>10.188288633092752</v>
      </c>
      <c r="AY52" s="70">
        <f t="shared" si="50"/>
        <v>45.311711366907247</v>
      </c>
      <c r="AZ52" s="71">
        <f t="shared" si="51"/>
        <v>0.22484890386492046</v>
      </c>
      <c r="BA52" s="70">
        <v>19.600000000000001</v>
      </c>
      <c r="BB52" s="70">
        <f t="shared" si="52"/>
        <v>4.4070385157524417</v>
      </c>
      <c r="BD52" s="67" t="s">
        <v>16</v>
      </c>
      <c r="BE52" s="64">
        <v>-26.345422791145936</v>
      </c>
      <c r="BF52" s="64">
        <v>0.14111585019738132</v>
      </c>
      <c r="BG52" s="64">
        <v>8.4756305103365186</v>
      </c>
      <c r="BH52" s="66">
        <v>2.1556205218572051E-2</v>
      </c>
      <c r="BI52" s="62">
        <v>0.8</v>
      </c>
      <c r="BJ52" s="63" t="s">
        <v>299</v>
      </c>
      <c r="BK52" s="64">
        <v>3.8208632647818845</v>
      </c>
      <c r="BL52" s="65">
        <v>0.29757237581135049</v>
      </c>
      <c r="BM52" s="61">
        <v>1.1539857808152607</v>
      </c>
      <c r="BN52" s="66">
        <v>1.2210139799640293E-2</v>
      </c>
      <c r="BO52" s="62">
        <v>1.3</v>
      </c>
      <c r="BP52" s="63" t="s">
        <v>299</v>
      </c>
    </row>
    <row r="53" spans="1:305" ht="14.5" x14ac:dyDescent="0.35">
      <c r="A53" s="67" t="s">
        <v>54</v>
      </c>
      <c r="B53" s="68" t="s">
        <v>109</v>
      </c>
      <c r="C53" s="67" t="str">
        <f t="shared" si="54"/>
        <v>JB_1123E_G</v>
      </c>
      <c r="D53" s="73">
        <v>45260</v>
      </c>
      <c r="E53" s="73" t="s">
        <v>16</v>
      </c>
      <c r="F53" s="73">
        <v>45320</v>
      </c>
      <c r="H53" s="67" t="str">
        <f t="shared" si="55"/>
        <v>C,N,S</v>
      </c>
      <c r="J53" s="67">
        <v>130.50101010101005</v>
      </c>
      <c r="K53" s="67">
        <v>156.30000000000001</v>
      </c>
      <c r="L53" s="67">
        <f>K53-J53</f>
        <v>25.798989898989959</v>
      </c>
      <c r="M53" s="67">
        <f t="shared" si="56"/>
        <v>104.9</v>
      </c>
      <c r="O53" s="88">
        <f t="shared" si="31"/>
        <v>28.122020972354623</v>
      </c>
      <c r="P53" s="88">
        <f t="shared" si="32"/>
        <v>6.9162987131073459</v>
      </c>
      <c r="Q53" s="88"/>
      <c r="R53" s="88">
        <f t="shared" si="33"/>
        <v>24.499523355576738</v>
      </c>
      <c r="S53" s="88">
        <f t="shared" si="34"/>
        <v>6.0253856585375862</v>
      </c>
      <c r="T53" s="88"/>
      <c r="U53" s="88">
        <f t="shared" si="35"/>
        <v>47.37845567206864</v>
      </c>
      <c r="V53" s="88">
        <f t="shared" si="36"/>
        <v>11.652204950557124</v>
      </c>
      <c r="W53" s="88"/>
      <c r="X53" s="90">
        <v>38.700000000000003</v>
      </c>
      <c r="Y53" s="90">
        <v>29.5</v>
      </c>
      <c r="Z53" s="90">
        <f t="shared" si="37"/>
        <v>9.2000000000000028</v>
      </c>
      <c r="AA53" s="90">
        <f t="shared" si="38"/>
        <v>6.9162987131073459</v>
      </c>
      <c r="AB53" s="90">
        <f t="shared" si="39"/>
        <v>22.583701286892655</v>
      </c>
      <c r="AC53" s="90">
        <f t="shared" si="40"/>
        <v>0.30625177977896356</v>
      </c>
      <c r="AD53" s="90">
        <v>19.600000000000001</v>
      </c>
      <c r="AE53" s="90">
        <f t="shared" si="57"/>
        <v>6.0025348836676864</v>
      </c>
      <c r="AF53" s="90">
        <f t="shared" si="58"/>
        <v>13.597465116332316</v>
      </c>
      <c r="AG53" s="90">
        <v>19.899999999999999</v>
      </c>
      <c r="AH53" s="90">
        <f t="shared" si="41"/>
        <v>0.30625177977896356</v>
      </c>
      <c r="AI53" s="90">
        <v>6.9</v>
      </c>
      <c r="AJ53" s="90">
        <f t="shared" si="42"/>
        <v>2.1131372804748487</v>
      </c>
      <c r="AK53" s="88"/>
      <c r="AL53" s="88">
        <v>34.799999999999997</v>
      </c>
      <c r="AM53" s="88">
        <v>25.7</v>
      </c>
      <c r="AN53" s="88">
        <f t="shared" si="43"/>
        <v>9.0999999999999979</v>
      </c>
      <c r="AO53" s="91">
        <f t="shared" si="44"/>
        <v>6.0253856585375862</v>
      </c>
      <c r="AP53" s="91">
        <f t="shared" si="45"/>
        <v>19.674614341462412</v>
      </c>
      <c r="AQ53" s="90">
        <f t="shared" si="46"/>
        <v>0.30625177977896362</v>
      </c>
      <c r="AR53" s="88">
        <v>11.7</v>
      </c>
      <c r="AS53" s="91">
        <f t="shared" si="47"/>
        <v>3.583145823413874</v>
      </c>
      <c r="AT53" s="88"/>
      <c r="AU53" s="91">
        <v>73.3</v>
      </c>
      <c r="AV53" s="91">
        <v>49.7</v>
      </c>
      <c r="AW53" s="91">
        <f t="shared" si="48"/>
        <v>23.599999999999994</v>
      </c>
      <c r="AX53" s="91">
        <f t="shared" si="49"/>
        <v>11.652204950557124</v>
      </c>
      <c r="AY53" s="91">
        <f t="shared" si="50"/>
        <v>38.047795049442882</v>
      </c>
      <c r="AZ53" s="90">
        <f t="shared" si="51"/>
        <v>0.30625177977896362</v>
      </c>
      <c r="BA53" s="91">
        <v>39.9</v>
      </c>
      <c r="BB53" s="91">
        <f t="shared" si="52"/>
        <v>12.219446013180647</v>
      </c>
      <c r="BC53" s="88"/>
      <c r="BD53" s="67" t="s">
        <v>16</v>
      </c>
      <c r="BG53" s="64">
        <v>1.2420834493494155</v>
      </c>
      <c r="BH53" s="66">
        <v>2.4354324846602816E-2</v>
      </c>
      <c r="BI53" s="62">
        <v>1</v>
      </c>
      <c r="BJ53" s="93" t="s">
        <v>303</v>
      </c>
      <c r="BN53" s="66"/>
      <c r="BO53" s="62">
        <v>1.4</v>
      </c>
      <c r="BP53" s="63" t="s">
        <v>327</v>
      </c>
    </row>
    <row r="54" spans="1:305" ht="14.5" x14ac:dyDescent="0.35">
      <c r="A54" s="75" t="s">
        <v>54</v>
      </c>
      <c r="B54" s="76" t="s">
        <v>110</v>
      </c>
      <c r="C54" s="75" t="str">
        <f t="shared" si="54"/>
        <v>JB_11-24_G</v>
      </c>
      <c r="D54" s="77">
        <v>45612</v>
      </c>
      <c r="E54" s="67" t="s">
        <v>16</v>
      </c>
      <c r="F54" s="77"/>
      <c r="G54" s="75"/>
      <c r="H54" s="67" t="str">
        <f t="shared" si="55"/>
        <v>C,N,S</v>
      </c>
      <c r="I54" s="75">
        <v>133.4</v>
      </c>
      <c r="J54" s="75"/>
      <c r="K54" s="75">
        <v>159.19999999999999</v>
      </c>
      <c r="L54" s="75">
        <f>K54-I54</f>
        <v>25.799999999999983</v>
      </c>
      <c r="M54" s="75">
        <f t="shared" si="56"/>
        <v>110.4</v>
      </c>
      <c r="O54" s="67">
        <f t="shared" si="31"/>
        <v>27.717391304347828</v>
      </c>
      <c r="P54" s="67">
        <f t="shared" si="32"/>
        <v>6.4774338374291078</v>
      </c>
      <c r="Q54" s="67"/>
      <c r="R54" s="67">
        <f t="shared" si="33"/>
        <v>24.637681159420289</v>
      </c>
      <c r="S54" s="67">
        <f t="shared" si="34"/>
        <v>5.7577189666036501</v>
      </c>
      <c r="T54" s="67"/>
      <c r="U54" s="67">
        <f t="shared" si="35"/>
        <v>47.644927536231883</v>
      </c>
      <c r="V54" s="67">
        <f t="shared" si="36"/>
        <v>11.134412413358529</v>
      </c>
      <c r="W54" s="67"/>
      <c r="X54" s="71">
        <v>42.1</v>
      </c>
      <c r="Y54" s="71">
        <v>30.6</v>
      </c>
      <c r="Z54" s="71">
        <f t="shared" si="37"/>
        <v>11.5</v>
      </c>
      <c r="AA54" s="71">
        <f t="shared" si="38"/>
        <v>6.4774338374291078</v>
      </c>
      <c r="AB54" s="71">
        <f t="shared" si="39"/>
        <v>24.122566162570894</v>
      </c>
      <c r="AC54" s="71">
        <f t="shared" si="40"/>
        <v>0.26852175650696886</v>
      </c>
      <c r="AD54" s="71">
        <v>18.7</v>
      </c>
      <c r="AE54" s="71">
        <f t="shared" si="57"/>
        <v>5.0213568466803178</v>
      </c>
      <c r="AF54" s="71">
        <f t="shared" si="58"/>
        <v>13.678643153319682</v>
      </c>
      <c r="AG54" s="71">
        <v>21.1</v>
      </c>
      <c r="AH54" s="71">
        <f t="shared" si="41"/>
        <v>0.26852175650696886</v>
      </c>
      <c r="AI54" s="71">
        <v>2.5</v>
      </c>
      <c r="AJ54" s="71">
        <f t="shared" si="42"/>
        <v>0.67130439126742214</v>
      </c>
      <c r="AL54" s="67">
        <v>38.1</v>
      </c>
      <c r="AM54" s="67">
        <v>27.2</v>
      </c>
      <c r="AN54" s="67">
        <f t="shared" si="43"/>
        <v>10.900000000000002</v>
      </c>
      <c r="AO54" s="70">
        <f t="shared" si="44"/>
        <v>5.7577189666036501</v>
      </c>
      <c r="AP54" s="70">
        <f t="shared" si="45"/>
        <v>21.442281033396348</v>
      </c>
      <c r="AQ54" s="71">
        <f t="shared" si="46"/>
        <v>0.2685217565069688</v>
      </c>
      <c r="AR54" s="67">
        <v>4.7</v>
      </c>
      <c r="AS54" s="70">
        <f t="shared" si="47"/>
        <v>1.2620522555827534</v>
      </c>
      <c r="AU54" s="70">
        <v>79.400000000000006</v>
      </c>
      <c r="AV54" s="70">
        <v>52.6</v>
      </c>
      <c r="AW54" s="70">
        <f t="shared" si="48"/>
        <v>26.800000000000004</v>
      </c>
      <c r="AX54" s="70">
        <f t="shared" si="49"/>
        <v>11.134412413358529</v>
      </c>
      <c r="AY54" s="70">
        <f t="shared" si="50"/>
        <v>41.465587586641476</v>
      </c>
      <c r="AZ54" s="71">
        <f t="shared" si="51"/>
        <v>0.26852175650696875</v>
      </c>
      <c r="BA54" s="70">
        <v>15.3</v>
      </c>
      <c r="BB54" s="70">
        <f t="shared" si="52"/>
        <v>4.1083828745566224</v>
      </c>
      <c r="BD54" s="67" t="s">
        <v>16</v>
      </c>
      <c r="BE54" s="64">
        <v>-22.990012227294372</v>
      </c>
      <c r="BF54" s="64">
        <v>0.13845774232833782</v>
      </c>
      <c r="BG54" s="64">
        <v>5.5577938235891535</v>
      </c>
      <c r="BH54" s="66">
        <v>0.31078193024964296</v>
      </c>
      <c r="BI54" s="62">
        <v>0.8</v>
      </c>
      <c r="BK54" s="64">
        <v>2.0679955453266214</v>
      </c>
      <c r="BL54" s="65">
        <v>0.37791461810472859</v>
      </c>
      <c r="BM54" s="61">
        <v>0.61272561680938131</v>
      </c>
      <c r="BN54" s="66">
        <v>1.2926432976255432E-2</v>
      </c>
      <c r="BO54" s="62">
        <v>1.5</v>
      </c>
      <c r="BP54" s="63" t="s">
        <v>317</v>
      </c>
    </row>
    <row r="55" spans="1:305" ht="14.5" x14ac:dyDescent="0.35">
      <c r="A55" s="67" t="s">
        <v>54</v>
      </c>
      <c r="B55" s="68" t="s">
        <v>60</v>
      </c>
      <c r="C55" s="67" t="str">
        <f t="shared" si="54"/>
        <v>JB_1-24_G</v>
      </c>
      <c r="D55" s="73">
        <v>45297</v>
      </c>
      <c r="E55" s="73" t="s">
        <v>16</v>
      </c>
      <c r="F55" s="73">
        <v>45545</v>
      </c>
      <c r="H55" s="67" t="str">
        <f t="shared" si="55"/>
        <v>C,N,S</v>
      </c>
      <c r="I55" s="67">
        <v>128.69999999999999</v>
      </c>
      <c r="K55" s="67">
        <v>152</v>
      </c>
      <c r="L55" s="67">
        <f>K55-I55</f>
        <v>23.300000000000011</v>
      </c>
      <c r="M55" s="67">
        <f t="shared" si="56"/>
        <v>115.5</v>
      </c>
      <c r="N55" s="67"/>
      <c r="O55" s="67">
        <f t="shared" si="31"/>
        <v>25.194805194805198</v>
      </c>
      <c r="P55" s="67">
        <f t="shared" si="32"/>
        <v>5.0825884072637351</v>
      </c>
      <c r="Q55" s="67"/>
      <c r="R55" s="67">
        <f t="shared" si="33"/>
        <v>25.194805194805198</v>
      </c>
      <c r="S55" s="67">
        <f t="shared" si="34"/>
        <v>5.0825884072637351</v>
      </c>
      <c r="T55" s="67"/>
      <c r="U55" s="67">
        <f t="shared" si="35"/>
        <v>49.61038961038961</v>
      </c>
      <c r="V55" s="67">
        <f t="shared" si="36"/>
        <v>10.007983358632714</v>
      </c>
      <c r="W55" s="67"/>
      <c r="X55" s="71">
        <v>36.1</v>
      </c>
      <c r="Y55" s="71">
        <v>29.1</v>
      </c>
      <c r="Z55" s="71">
        <f t="shared" si="37"/>
        <v>7</v>
      </c>
      <c r="AA55" s="71">
        <f t="shared" si="38"/>
        <v>5.0825884072637351</v>
      </c>
      <c r="AB55" s="71">
        <f t="shared" si="39"/>
        <v>24.017411592736266</v>
      </c>
      <c r="AC55" s="71">
        <f t="shared" si="40"/>
        <v>0.21162098953248124</v>
      </c>
      <c r="AD55" s="71">
        <v>16.899999999999999</v>
      </c>
      <c r="AE55" s="71">
        <f t="shared" si="57"/>
        <v>3.5763947230989324</v>
      </c>
      <c r="AF55" s="71">
        <f t="shared" si="58"/>
        <v>13.323605276901066</v>
      </c>
      <c r="AG55" s="71">
        <v>17.3</v>
      </c>
      <c r="AH55" s="71">
        <f t="shared" si="41"/>
        <v>0.21162098953248124</v>
      </c>
      <c r="AI55" s="71">
        <v>6.9</v>
      </c>
      <c r="AJ55" s="71">
        <f t="shared" si="42"/>
        <v>1.4601848277741205</v>
      </c>
      <c r="AL55" s="67">
        <v>37.6</v>
      </c>
      <c r="AM55" s="67">
        <v>29.1</v>
      </c>
      <c r="AN55" s="67">
        <f t="shared" si="43"/>
        <v>8.5</v>
      </c>
      <c r="AO55" s="70">
        <f t="shared" si="44"/>
        <v>5.0825884072637351</v>
      </c>
      <c r="AP55" s="70">
        <f t="shared" si="45"/>
        <v>24.017411592736266</v>
      </c>
      <c r="AQ55" s="71">
        <f t="shared" si="46"/>
        <v>0.21162098953248124</v>
      </c>
      <c r="AR55" s="67">
        <v>13.5</v>
      </c>
      <c r="AS55" s="70">
        <f t="shared" si="47"/>
        <v>2.8568833586884965</v>
      </c>
      <c r="AU55" s="70">
        <v>72.099999999999994</v>
      </c>
      <c r="AV55" s="70">
        <v>57.3</v>
      </c>
      <c r="AW55" s="70">
        <f t="shared" si="48"/>
        <v>14.799999999999997</v>
      </c>
      <c r="AX55" s="70">
        <f t="shared" si="49"/>
        <v>10.007983358632714</v>
      </c>
      <c r="AY55" s="70">
        <f t="shared" si="50"/>
        <v>47.292016641367283</v>
      </c>
      <c r="AZ55" s="71">
        <f t="shared" si="51"/>
        <v>0.21162098953248124</v>
      </c>
      <c r="BA55" s="70">
        <v>43.6</v>
      </c>
      <c r="BB55" s="70">
        <f t="shared" si="52"/>
        <v>9.2266751436161822</v>
      </c>
      <c r="BD55" s="67" t="s">
        <v>16</v>
      </c>
      <c r="BE55" s="64">
        <v>-27.987871303256171</v>
      </c>
      <c r="BF55" s="64">
        <v>0.1387991961377486</v>
      </c>
      <c r="BG55" s="64">
        <v>1.3194751812246241</v>
      </c>
      <c r="BH55" s="66">
        <v>0.24906466102693575</v>
      </c>
      <c r="BI55" s="62">
        <v>0.9</v>
      </c>
      <c r="BJ55" s="63" t="s">
        <v>299</v>
      </c>
      <c r="BK55" s="64">
        <v>3.274032454364991</v>
      </c>
      <c r="BL55" s="65">
        <v>0.25402961576646393</v>
      </c>
      <c r="BM55" s="61">
        <v>0.55334331259666558</v>
      </c>
      <c r="BN55" s="66">
        <v>1.6915282451339803E-2</v>
      </c>
      <c r="BO55" s="62">
        <v>1.7</v>
      </c>
      <c r="BP55" s="63" t="s">
        <v>299</v>
      </c>
    </row>
    <row r="56" spans="1:305" ht="14.5" x14ac:dyDescent="0.35">
      <c r="A56" s="67" t="s">
        <v>54</v>
      </c>
      <c r="B56" s="68" t="s">
        <v>62</v>
      </c>
      <c r="C56" s="67" t="str">
        <f t="shared" si="54"/>
        <v>JB_4-24_G</v>
      </c>
      <c r="D56" s="73">
        <v>45393</v>
      </c>
      <c r="E56" s="73" t="s">
        <v>16</v>
      </c>
      <c r="F56" s="73">
        <v>45541</v>
      </c>
      <c r="H56" s="67" t="str">
        <f t="shared" si="55"/>
        <v>C,N,S</v>
      </c>
      <c r="I56" s="67">
        <v>130.80000000000001</v>
      </c>
      <c r="K56" s="67">
        <v>167.1</v>
      </c>
      <c r="L56" s="67">
        <f>K56-I56</f>
        <v>36.299999999999983</v>
      </c>
      <c r="M56" s="67">
        <f t="shared" si="56"/>
        <v>97.5</v>
      </c>
      <c r="O56" s="67">
        <f t="shared" si="31"/>
        <v>27.487179487179485</v>
      </c>
      <c r="P56" s="67">
        <f t="shared" si="32"/>
        <v>10.233688362919127</v>
      </c>
      <c r="Q56" s="67"/>
      <c r="R56" s="67">
        <f t="shared" si="33"/>
        <v>27.384615384615387</v>
      </c>
      <c r="S56" s="67">
        <f t="shared" si="34"/>
        <v>10.195502958579878</v>
      </c>
      <c r="T56" s="67"/>
      <c r="U56" s="67">
        <f t="shared" si="35"/>
        <v>45.128205128205131</v>
      </c>
      <c r="V56" s="67">
        <f t="shared" si="36"/>
        <v>16.801577909270211</v>
      </c>
      <c r="W56" s="67"/>
      <c r="X56" s="71">
        <v>39</v>
      </c>
      <c r="Y56" s="71">
        <v>26.8</v>
      </c>
      <c r="Z56" s="71">
        <f t="shared" si="37"/>
        <v>12.2</v>
      </c>
      <c r="AA56" s="71">
        <f t="shared" si="38"/>
        <v>10.233688362919127</v>
      </c>
      <c r="AB56" s="71">
        <f t="shared" si="39"/>
        <v>16.566311637080872</v>
      </c>
      <c r="AC56" s="71">
        <f t="shared" si="40"/>
        <v>0.61774090619017186</v>
      </c>
      <c r="AD56" s="71">
        <v>17.600000000000001</v>
      </c>
      <c r="AE56" s="71">
        <f t="shared" si="57"/>
        <v>10.872239948947026</v>
      </c>
      <c r="AF56" s="71">
        <f t="shared" si="58"/>
        <v>6.7277600510529751</v>
      </c>
      <c r="AG56" s="71">
        <v>19.7</v>
      </c>
      <c r="AH56" s="71">
        <f t="shared" si="41"/>
        <v>0.61774090619017186</v>
      </c>
      <c r="AI56" s="71">
        <v>5.2</v>
      </c>
      <c r="AJ56" s="71">
        <f t="shared" si="42"/>
        <v>3.212252712188894</v>
      </c>
      <c r="AL56" s="67">
        <v>36.4</v>
      </c>
      <c r="AM56" s="67">
        <v>26.7</v>
      </c>
      <c r="AN56" s="67">
        <f t="shared" si="43"/>
        <v>9.6999999999999993</v>
      </c>
      <c r="AO56" s="70">
        <f t="shared" si="44"/>
        <v>10.195502958579878</v>
      </c>
      <c r="AP56" s="70">
        <f t="shared" si="45"/>
        <v>16.504497041420123</v>
      </c>
      <c r="AQ56" s="71">
        <f t="shared" si="46"/>
        <v>0.61774090619017186</v>
      </c>
      <c r="AR56" s="67">
        <v>12.3</v>
      </c>
      <c r="AS56" s="70">
        <f t="shared" si="47"/>
        <v>7.5982131461391145</v>
      </c>
      <c r="AU56" s="70">
        <v>69.900000000000006</v>
      </c>
      <c r="AV56" s="70">
        <v>44</v>
      </c>
      <c r="AW56" s="70">
        <f t="shared" si="48"/>
        <v>25.900000000000006</v>
      </c>
      <c r="AX56" s="70">
        <f t="shared" si="49"/>
        <v>16.801577909270211</v>
      </c>
      <c r="AY56" s="70">
        <f t="shared" si="50"/>
        <v>27.198422090729789</v>
      </c>
      <c r="AZ56" s="71">
        <f t="shared" si="51"/>
        <v>0.61774090619017197</v>
      </c>
      <c r="BA56" s="70">
        <v>32</v>
      </c>
      <c r="BB56" s="70">
        <f t="shared" si="52"/>
        <v>19.767708998085503</v>
      </c>
      <c r="BD56" s="67" t="s">
        <v>16</v>
      </c>
      <c r="BE56" s="64">
        <v>-26.889579823659187</v>
      </c>
      <c r="BF56" s="64">
        <v>0.30311147555900231</v>
      </c>
      <c r="BG56" s="64">
        <v>1.3762789720707078</v>
      </c>
      <c r="BH56" s="66">
        <v>6.1031523992146154E-2</v>
      </c>
      <c r="BI56" s="62">
        <v>0.8</v>
      </c>
      <c r="BJ56" s="63" t="s">
        <v>301</v>
      </c>
      <c r="BN56" s="66"/>
      <c r="BO56" s="62">
        <v>1.5</v>
      </c>
      <c r="BP56" s="63" t="s">
        <v>327</v>
      </c>
    </row>
    <row r="57" spans="1:305" ht="14.5" x14ac:dyDescent="0.35">
      <c r="A57" s="67" t="s">
        <v>54</v>
      </c>
      <c r="B57" s="68" t="s">
        <v>63</v>
      </c>
      <c r="C57" s="67" t="str">
        <f t="shared" si="54"/>
        <v>JB_8-24_G</v>
      </c>
      <c r="D57" s="73">
        <v>45505</v>
      </c>
      <c r="E57" s="67" t="s">
        <v>16</v>
      </c>
      <c r="H57" s="67" t="str">
        <f t="shared" si="55"/>
        <v>C,N,S</v>
      </c>
      <c r="I57" s="67">
        <v>133.4</v>
      </c>
      <c r="K57" s="67">
        <v>146.69999999999999</v>
      </c>
      <c r="L57" s="67">
        <f>K57-I57</f>
        <v>13.299999999999983</v>
      </c>
      <c r="M57" s="67">
        <f t="shared" si="56"/>
        <v>110.4</v>
      </c>
      <c r="O57" s="67">
        <f t="shared" si="31"/>
        <v>26.086956521739129</v>
      </c>
      <c r="P57" s="67">
        <f t="shared" si="32"/>
        <v>3.1427221172022644</v>
      </c>
      <c r="Q57" s="67"/>
      <c r="R57" s="67">
        <f t="shared" si="33"/>
        <v>24.275362318840578</v>
      </c>
      <c r="S57" s="67">
        <f t="shared" si="34"/>
        <v>2.924477525729885</v>
      </c>
      <c r="T57" s="67"/>
      <c r="U57" s="67">
        <f t="shared" si="35"/>
        <v>49.637681159420282</v>
      </c>
      <c r="V57" s="67">
        <f t="shared" si="36"/>
        <v>5.9799018063431957</v>
      </c>
      <c r="W57" s="67"/>
      <c r="X57" s="71">
        <v>36.700000000000003</v>
      </c>
      <c r="Y57" s="71">
        <v>28.8</v>
      </c>
      <c r="Z57" s="71">
        <f t="shared" si="37"/>
        <v>7.9000000000000021</v>
      </c>
      <c r="AA57" s="71">
        <f t="shared" si="38"/>
        <v>3.1427221172022644</v>
      </c>
      <c r="AB57" s="71">
        <f t="shared" si="39"/>
        <v>25.657277882797736</v>
      </c>
      <c r="AC57" s="71">
        <f t="shared" si="40"/>
        <v>0.12248852475925921</v>
      </c>
      <c r="AD57" s="71">
        <v>22.7</v>
      </c>
      <c r="AE57" s="71">
        <f t="shared" si="57"/>
        <v>2.7804895120351842</v>
      </c>
      <c r="AF57" s="71">
        <f t="shared" si="58"/>
        <v>19.919510487964814</v>
      </c>
      <c r="AG57" s="71">
        <v>19.5</v>
      </c>
      <c r="AH57" s="71">
        <f t="shared" si="41"/>
        <v>0.12248852475925921</v>
      </c>
      <c r="AI57" s="71">
        <v>6.8</v>
      </c>
      <c r="AJ57" s="71">
        <f t="shared" si="42"/>
        <v>0.83292196836296262</v>
      </c>
      <c r="AL57" s="67">
        <v>37.200000000000003</v>
      </c>
      <c r="AM57" s="67">
        <v>26.8</v>
      </c>
      <c r="AN57" s="67">
        <f t="shared" si="43"/>
        <v>10.400000000000002</v>
      </c>
      <c r="AO57" s="70">
        <f t="shared" si="44"/>
        <v>2.924477525729885</v>
      </c>
      <c r="AP57" s="70">
        <f t="shared" si="45"/>
        <v>23.875522474270117</v>
      </c>
      <c r="AQ57" s="71">
        <f t="shared" si="46"/>
        <v>0.12248852475925921</v>
      </c>
      <c r="AR57" s="67">
        <v>12.6</v>
      </c>
      <c r="AS57" s="70">
        <f t="shared" si="47"/>
        <v>1.5433554119666659</v>
      </c>
      <c r="AU57" s="70">
        <v>71.2</v>
      </c>
      <c r="AV57" s="70">
        <v>54.8</v>
      </c>
      <c r="AW57" s="70">
        <f t="shared" si="48"/>
        <v>16.400000000000006</v>
      </c>
      <c r="AX57" s="70">
        <f t="shared" si="49"/>
        <v>5.9799018063431957</v>
      </c>
      <c r="AY57" s="70">
        <f t="shared" si="50"/>
        <v>48.820098193656804</v>
      </c>
      <c r="AZ57" s="71">
        <f t="shared" si="51"/>
        <v>0.12248852475925917</v>
      </c>
      <c r="BA57" s="70">
        <v>40</v>
      </c>
      <c r="BB57" s="70">
        <f t="shared" si="52"/>
        <v>4.8995409903703671</v>
      </c>
      <c r="BD57" s="67" t="s">
        <v>16</v>
      </c>
      <c r="BE57" s="64">
        <v>-26.037852082336578</v>
      </c>
      <c r="BF57" s="64">
        <v>0.20747749072266652</v>
      </c>
      <c r="BG57" s="64">
        <v>2.3593024810450394</v>
      </c>
      <c r="BH57" s="66">
        <v>0.18707593628082975</v>
      </c>
      <c r="BI57" s="62">
        <v>1.1000000000000001</v>
      </c>
      <c r="BJ57" s="63" t="s">
        <v>302</v>
      </c>
      <c r="BN57" s="66"/>
      <c r="BO57" s="62">
        <v>1.7</v>
      </c>
      <c r="BP57" s="63" t="s">
        <v>328</v>
      </c>
    </row>
    <row r="58" spans="1:305" ht="14.5" x14ac:dyDescent="0.35">
      <c r="A58" s="67" t="s">
        <v>54</v>
      </c>
      <c r="B58" s="68" t="s">
        <v>14</v>
      </c>
      <c r="C58" s="67" t="str">
        <f t="shared" si="54"/>
        <v>JB_9-23_G</v>
      </c>
      <c r="D58" s="73">
        <v>45204</v>
      </c>
      <c r="E58" s="73" t="s">
        <v>16</v>
      </c>
      <c r="F58" s="73">
        <v>45275</v>
      </c>
      <c r="H58" s="67" t="str">
        <f t="shared" si="55"/>
        <v>C,N,S</v>
      </c>
      <c r="J58" s="67">
        <v>130.50101010101005</v>
      </c>
      <c r="K58" s="67">
        <v>208.5</v>
      </c>
      <c r="L58" s="67">
        <f>K58-J58</f>
        <v>77.998989898989947</v>
      </c>
      <c r="M58" s="67">
        <f t="shared" si="56"/>
        <v>127.49999999999999</v>
      </c>
      <c r="O58" s="67">
        <f t="shared" si="31"/>
        <v>27.372549019607845</v>
      </c>
      <c r="P58" s="67">
        <f t="shared" si="32"/>
        <v>16.745342545019607</v>
      </c>
      <c r="Q58" s="67"/>
      <c r="R58" s="67">
        <f t="shared" si="33"/>
        <v>26.117647058823529</v>
      </c>
      <c r="S58" s="67">
        <f t="shared" si="34"/>
        <v>15.977647757855383</v>
      </c>
      <c r="T58" s="67"/>
      <c r="U58" s="67">
        <f t="shared" si="35"/>
        <v>46.509803921568633</v>
      </c>
      <c r="V58" s="67">
        <f t="shared" si="36"/>
        <v>28.452688049274002</v>
      </c>
      <c r="W58" s="67"/>
      <c r="X58" s="71">
        <v>42.6</v>
      </c>
      <c r="Y58" s="71">
        <v>34.9</v>
      </c>
      <c r="Z58" s="71">
        <f t="shared" si="37"/>
        <v>7.7000000000000028</v>
      </c>
      <c r="AA58" s="71">
        <f t="shared" si="38"/>
        <v>16.745342545019607</v>
      </c>
      <c r="AB58" s="71">
        <f t="shared" si="39"/>
        <v>18.154657454980391</v>
      </c>
      <c r="AC58" s="71">
        <f t="shared" si="40"/>
        <v>0.92237171571782173</v>
      </c>
      <c r="AD58" s="71">
        <v>19.3</v>
      </c>
      <c r="AE58" s="71">
        <f t="shared" si="57"/>
        <v>17.801774113353961</v>
      </c>
      <c r="AF58" s="71">
        <f t="shared" si="58"/>
        <v>1.4982258866460398</v>
      </c>
      <c r="AG58" s="71">
        <v>21.9</v>
      </c>
      <c r="AH58" s="71">
        <f t="shared" si="41"/>
        <v>0.92237171571782173</v>
      </c>
      <c r="AI58" s="71">
        <v>2.8</v>
      </c>
      <c r="AJ58" s="71">
        <f t="shared" si="42"/>
        <v>2.5826408040099005</v>
      </c>
      <c r="AL58" s="67">
        <v>48.4</v>
      </c>
      <c r="AM58" s="67">
        <v>33.299999999999997</v>
      </c>
      <c r="AN58" s="67">
        <f t="shared" si="43"/>
        <v>15.100000000000001</v>
      </c>
      <c r="AO58" s="70">
        <f t="shared" si="44"/>
        <v>15.977647757855383</v>
      </c>
      <c r="AP58" s="70">
        <f t="shared" si="45"/>
        <v>17.322352242144614</v>
      </c>
      <c r="AQ58" s="71">
        <f t="shared" si="46"/>
        <v>0.92237171571782173</v>
      </c>
      <c r="AR58" s="67">
        <v>4.5999999999999996</v>
      </c>
      <c r="AS58" s="70">
        <f t="shared" si="47"/>
        <v>4.2429098923019799</v>
      </c>
      <c r="AU58" s="70">
        <v>78.099999999999994</v>
      </c>
      <c r="AV58" s="70">
        <v>59.3</v>
      </c>
      <c r="AW58" s="70">
        <f t="shared" si="48"/>
        <v>18.799999999999997</v>
      </c>
      <c r="AX58" s="70">
        <f t="shared" si="49"/>
        <v>28.452688049274002</v>
      </c>
      <c r="AY58" s="70">
        <f t="shared" si="50"/>
        <v>30.847311950725995</v>
      </c>
      <c r="AZ58" s="71">
        <f t="shared" si="51"/>
        <v>0.92237171571782173</v>
      </c>
      <c r="BA58" s="70">
        <v>18</v>
      </c>
      <c r="BB58" s="70">
        <f t="shared" si="52"/>
        <v>16.60269088292079</v>
      </c>
      <c r="BD58" s="67" t="s">
        <v>16</v>
      </c>
      <c r="BE58" s="64">
        <v>-14.609997820112005</v>
      </c>
      <c r="BF58" s="64">
        <v>0.13851242100173031</v>
      </c>
      <c r="BG58" s="64">
        <v>3.6726138591035746</v>
      </c>
      <c r="BH58" s="66">
        <v>2.3716037717979963E-2</v>
      </c>
      <c r="BI58" s="62">
        <v>0.9</v>
      </c>
      <c r="BJ58" s="63" t="s">
        <v>299</v>
      </c>
      <c r="BK58" s="64">
        <v>3.4571686073549595</v>
      </c>
      <c r="BL58" s="65">
        <v>0.2540339827343297</v>
      </c>
      <c r="BM58" s="61">
        <v>0.95349273748598462</v>
      </c>
      <c r="BN58" s="66">
        <v>1.2748119990031908E-2</v>
      </c>
      <c r="BO58" s="62">
        <v>1.8</v>
      </c>
      <c r="BP58" s="63" t="s">
        <v>299</v>
      </c>
    </row>
    <row r="59" spans="1:305" ht="14.5" x14ac:dyDescent="0.35">
      <c r="A59" s="75" t="s">
        <v>34</v>
      </c>
      <c r="B59" s="76" t="s">
        <v>110</v>
      </c>
      <c r="C59" s="75" t="str">
        <f t="shared" si="54"/>
        <v>MCS1_11-24_G</v>
      </c>
      <c r="D59" s="77">
        <v>45612</v>
      </c>
      <c r="E59" s="67" t="s">
        <v>16</v>
      </c>
      <c r="F59" s="77"/>
      <c r="G59" s="75"/>
      <c r="H59" s="67" t="str">
        <f t="shared" si="55"/>
        <v>C,N,S</v>
      </c>
      <c r="I59" s="75">
        <v>133.1</v>
      </c>
      <c r="J59" s="75"/>
      <c r="K59" s="75">
        <v>152.4</v>
      </c>
      <c r="L59" s="75">
        <f t="shared" ref="L59:L79" si="59">K59-I59</f>
        <v>19.300000000000011</v>
      </c>
      <c r="M59" s="75">
        <f t="shared" si="56"/>
        <v>119.5</v>
      </c>
      <c r="O59" s="67">
        <f t="shared" si="31"/>
        <v>23.682008368200837</v>
      </c>
      <c r="P59" s="67">
        <f t="shared" si="32"/>
        <v>3.8247929833161205</v>
      </c>
      <c r="Q59" s="67"/>
      <c r="R59" s="67">
        <f t="shared" si="33"/>
        <v>26.694560669456063</v>
      </c>
      <c r="S59" s="67">
        <f t="shared" si="34"/>
        <v>4.3113390872008566</v>
      </c>
      <c r="T59" s="67"/>
      <c r="U59" s="67">
        <f t="shared" si="35"/>
        <v>49.623430962343093</v>
      </c>
      <c r="V59" s="67">
        <f t="shared" si="36"/>
        <v>8.0144955445457935</v>
      </c>
      <c r="W59" s="67"/>
      <c r="X59" s="71">
        <v>39.299999999999997</v>
      </c>
      <c r="Y59" s="71">
        <v>28.3</v>
      </c>
      <c r="Z59" s="71">
        <f t="shared" si="37"/>
        <v>10.999999999999996</v>
      </c>
      <c r="AA59" s="71">
        <f t="shared" si="38"/>
        <v>3.8247929833161205</v>
      </c>
      <c r="AB59" s="71">
        <f t="shared" si="39"/>
        <v>24.475207016683882</v>
      </c>
      <c r="AC59" s="71">
        <f t="shared" si="40"/>
        <v>0.15627214024007618</v>
      </c>
      <c r="AD59" s="71">
        <v>21.3</v>
      </c>
      <c r="AE59" s="71">
        <f t="shared" si="57"/>
        <v>3.3285965871136227</v>
      </c>
      <c r="AF59" s="71">
        <f t="shared" si="58"/>
        <v>17.971403412886378</v>
      </c>
      <c r="AG59" s="71">
        <v>23.1</v>
      </c>
      <c r="AH59" s="71">
        <f t="shared" si="41"/>
        <v>0.15627214024007618</v>
      </c>
      <c r="AI59" s="71">
        <v>4.5999999999999996</v>
      </c>
      <c r="AJ59" s="71">
        <f t="shared" si="42"/>
        <v>0.71885184510435041</v>
      </c>
      <c r="AL59" s="67">
        <v>38.200000000000003</v>
      </c>
      <c r="AM59" s="67">
        <v>31.9</v>
      </c>
      <c r="AN59" s="67">
        <f t="shared" si="43"/>
        <v>6.3000000000000043</v>
      </c>
      <c r="AO59" s="70">
        <f t="shared" si="44"/>
        <v>4.3113390872008566</v>
      </c>
      <c r="AP59" s="70">
        <f t="shared" si="45"/>
        <v>27.588660912799142</v>
      </c>
      <c r="AQ59" s="71">
        <f t="shared" si="46"/>
        <v>0.15627214024007621</v>
      </c>
      <c r="AR59" s="67">
        <v>10</v>
      </c>
      <c r="AS59" s="70">
        <f t="shared" si="47"/>
        <v>1.5627214024007621</v>
      </c>
      <c r="AU59" s="70">
        <v>79.900000000000006</v>
      </c>
      <c r="AV59" s="70">
        <v>59.3</v>
      </c>
      <c r="AW59" s="70">
        <f t="shared" si="48"/>
        <v>20.600000000000009</v>
      </c>
      <c r="AX59" s="70">
        <f t="shared" si="49"/>
        <v>8.0144955445457935</v>
      </c>
      <c r="AY59" s="70">
        <f t="shared" si="50"/>
        <v>51.285504455454202</v>
      </c>
      <c r="AZ59" s="71">
        <f t="shared" si="51"/>
        <v>0.15627214024007624</v>
      </c>
      <c r="BA59" s="70">
        <v>26.2</v>
      </c>
      <c r="BB59" s="70">
        <f t="shared" si="52"/>
        <v>4.0943300742899975</v>
      </c>
      <c r="BD59" s="67" t="s">
        <v>16</v>
      </c>
      <c r="BE59" s="64">
        <v>-27.433946769976224</v>
      </c>
      <c r="BF59" s="64">
        <v>0.27286863869509259</v>
      </c>
      <c r="BG59" s="64">
        <v>1.9092484003688988</v>
      </c>
      <c r="BH59" s="66">
        <v>0.1830998969888466</v>
      </c>
      <c r="BI59" s="62">
        <v>1</v>
      </c>
      <c r="BJ59" s="63" t="s">
        <v>301</v>
      </c>
      <c r="BO59" s="62">
        <v>1.4</v>
      </c>
      <c r="BP59" s="63" t="s">
        <v>322</v>
      </c>
    </row>
    <row r="60" spans="1:305" ht="14.5" x14ac:dyDescent="0.35">
      <c r="A60" s="67" t="s">
        <v>34</v>
      </c>
      <c r="B60" s="68" t="s">
        <v>63</v>
      </c>
      <c r="C60" s="67" t="str">
        <f t="shared" si="54"/>
        <v>MCS1_8-24_G</v>
      </c>
      <c r="D60" s="73">
        <v>45505</v>
      </c>
      <c r="E60" s="67" t="s">
        <v>16</v>
      </c>
      <c r="H60" s="67" t="str">
        <f t="shared" si="55"/>
        <v>C,N,S</v>
      </c>
      <c r="I60" s="67">
        <v>128.69999999999999</v>
      </c>
      <c r="K60" s="67">
        <v>144.1</v>
      </c>
      <c r="L60" s="67">
        <f t="shared" si="59"/>
        <v>15.400000000000006</v>
      </c>
      <c r="M60" s="67">
        <f t="shared" si="56"/>
        <v>101.5</v>
      </c>
      <c r="O60" s="67">
        <f t="shared" si="31"/>
        <v>25.911330049261082</v>
      </c>
      <c r="P60" s="67">
        <f t="shared" si="32"/>
        <v>3.9313742143706483</v>
      </c>
      <c r="Q60" s="67"/>
      <c r="R60" s="67">
        <f t="shared" si="33"/>
        <v>26.699507389162562</v>
      </c>
      <c r="S60" s="67">
        <f t="shared" si="34"/>
        <v>4.0509597418039762</v>
      </c>
      <c r="T60" s="67"/>
      <c r="U60" s="67">
        <f t="shared" si="35"/>
        <v>47.389162561576356</v>
      </c>
      <c r="V60" s="67">
        <f t="shared" si="36"/>
        <v>7.1900798369288292</v>
      </c>
      <c r="W60" s="67"/>
      <c r="X60" s="71">
        <v>37.5</v>
      </c>
      <c r="Y60" s="71">
        <v>26.3</v>
      </c>
      <c r="Z60" s="71">
        <f t="shared" si="37"/>
        <v>11.2</v>
      </c>
      <c r="AA60" s="71">
        <f t="shared" si="38"/>
        <v>3.9313742143706483</v>
      </c>
      <c r="AB60" s="71">
        <f t="shared" si="39"/>
        <v>22.368625785629352</v>
      </c>
      <c r="AC60" s="71">
        <f t="shared" si="40"/>
        <v>0.17575394447773124</v>
      </c>
      <c r="AD60" s="71">
        <v>16.5</v>
      </c>
      <c r="AE60" s="71">
        <f t="shared" si="57"/>
        <v>2.8999400838825653</v>
      </c>
      <c r="AF60" s="71">
        <f t="shared" si="58"/>
        <v>13.600059916117434</v>
      </c>
      <c r="AG60" s="71">
        <v>16.8</v>
      </c>
      <c r="AH60" s="71">
        <f t="shared" si="41"/>
        <v>0.17575394447773124</v>
      </c>
      <c r="AI60" s="71">
        <v>6.7</v>
      </c>
      <c r="AJ60" s="71">
        <f t="shared" si="42"/>
        <v>1.1775514280007993</v>
      </c>
      <c r="AL60" s="67">
        <v>37.200000000000003</v>
      </c>
      <c r="AM60" s="67">
        <v>27.1</v>
      </c>
      <c r="AN60" s="67">
        <f t="shared" si="43"/>
        <v>10.100000000000001</v>
      </c>
      <c r="AO60" s="70">
        <f t="shared" si="44"/>
        <v>4.0509597418039762</v>
      </c>
      <c r="AP60" s="70">
        <f t="shared" si="45"/>
        <v>23.049040258196026</v>
      </c>
      <c r="AQ60" s="71">
        <f t="shared" si="46"/>
        <v>0.17575394447773124</v>
      </c>
      <c r="AR60" s="67">
        <v>12.7</v>
      </c>
      <c r="AS60" s="70">
        <f t="shared" si="47"/>
        <v>2.2320750948671866</v>
      </c>
      <c r="AU60" s="70">
        <v>70.599999999999994</v>
      </c>
      <c r="AV60" s="70">
        <v>48.1</v>
      </c>
      <c r="AW60" s="70">
        <f t="shared" si="48"/>
        <v>22.499999999999993</v>
      </c>
      <c r="AX60" s="70">
        <f t="shared" si="49"/>
        <v>7.1900798369288292</v>
      </c>
      <c r="AY60" s="70">
        <f t="shared" si="50"/>
        <v>40.90992016307117</v>
      </c>
      <c r="AZ60" s="71">
        <f t="shared" si="51"/>
        <v>0.17575394447773127</v>
      </c>
      <c r="BA60" s="70">
        <v>40.700000000000003</v>
      </c>
      <c r="BB60" s="70">
        <f t="shared" si="52"/>
        <v>7.1531855402436628</v>
      </c>
      <c r="BD60" s="67" t="s">
        <v>16</v>
      </c>
      <c r="BE60" s="64">
        <v>-25.138505362426407</v>
      </c>
      <c r="BF60" s="64">
        <v>0.13812884745987605</v>
      </c>
      <c r="BG60" s="64">
        <v>9.0531931136416617</v>
      </c>
      <c r="BH60" s="66">
        <v>0.16385899894362035</v>
      </c>
      <c r="BI60" s="62">
        <v>0.9</v>
      </c>
      <c r="BJ60" s="63" t="s">
        <v>299</v>
      </c>
      <c r="BN60" s="66"/>
      <c r="BO60" s="62">
        <v>1.5</v>
      </c>
      <c r="BP60" s="63" t="s">
        <v>329</v>
      </c>
    </row>
    <row r="61" spans="1:305" ht="14.5" x14ac:dyDescent="0.35">
      <c r="A61" s="67" t="s">
        <v>34</v>
      </c>
      <c r="B61" s="68" t="s">
        <v>14</v>
      </c>
      <c r="C61" s="67" t="str">
        <f t="shared" si="54"/>
        <v>MCS1_9-23_G</v>
      </c>
      <c r="D61" s="73">
        <v>45196</v>
      </c>
      <c r="E61" s="73" t="s">
        <v>108</v>
      </c>
      <c r="F61" s="73">
        <v>45275</v>
      </c>
      <c r="H61" s="67" t="str">
        <f t="shared" si="55"/>
        <v>C,N,S</v>
      </c>
      <c r="I61" s="67">
        <v>133.30000000000001</v>
      </c>
      <c r="K61" s="67">
        <v>170.8</v>
      </c>
      <c r="L61" s="67">
        <f t="shared" si="59"/>
        <v>37.5</v>
      </c>
      <c r="M61" s="67">
        <f t="shared" si="56"/>
        <v>120</v>
      </c>
      <c r="O61" s="67">
        <f t="shared" si="31"/>
        <v>24.583333333333332</v>
      </c>
      <c r="P61" s="67">
        <f t="shared" si="32"/>
        <v>7.6822916666666661</v>
      </c>
      <c r="Q61" s="67"/>
      <c r="R61" s="67">
        <f t="shared" si="33"/>
        <v>26.75</v>
      </c>
      <c r="S61" s="67">
        <f t="shared" si="34"/>
        <v>8.359375</v>
      </c>
      <c r="T61" s="67"/>
      <c r="U61" s="67">
        <f t="shared" si="35"/>
        <v>48.666666666666664</v>
      </c>
      <c r="V61" s="67">
        <f t="shared" si="36"/>
        <v>15.208333333333334</v>
      </c>
      <c r="W61" s="67"/>
      <c r="X61" s="71">
        <v>38.1</v>
      </c>
      <c r="Y61" s="71">
        <v>29.5</v>
      </c>
      <c r="Z61" s="71">
        <f t="shared" si="37"/>
        <v>8.6000000000000014</v>
      </c>
      <c r="AA61" s="71">
        <f t="shared" si="38"/>
        <v>7.6822916666666661</v>
      </c>
      <c r="AB61" s="71">
        <f t="shared" si="39"/>
        <v>21.817708333333336</v>
      </c>
      <c r="AC61" s="71">
        <f t="shared" si="40"/>
        <v>0.35211267605633795</v>
      </c>
      <c r="AD61" s="71">
        <v>23.6</v>
      </c>
      <c r="AE61" s="71">
        <f t="shared" si="57"/>
        <v>8.3098591549295762</v>
      </c>
      <c r="AF61" s="71">
        <f t="shared" si="58"/>
        <v>15.290140845070425</v>
      </c>
      <c r="AG61" s="71">
        <v>23.8</v>
      </c>
      <c r="AH61" s="71">
        <f t="shared" si="41"/>
        <v>0.35211267605633795</v>
      </c>
      <c r="AI61" s="71">
        <v>9.1</v>
      </c>
      <c r="AJ61" s="71">
        <f t="shared" si="42"/>
        <v>3.2042253521126751</v>
      </c>
      <c r="AL61" s="67">
        <v>38.5</v>
      </c>
      <c r="AM61" s="67">
        <v>32.1</v>
      </c>
      <c r="AN61" s="67">
        <f t="shared" si="43"/>
        <v>6.3999999999999986</v>
      </c>
      <c r="AO61" s="70">
        <f t="shared" si="44"/>
        <v>8.359375</v>
      </c>
      <c r="AP61" s="70">
        <f t="shared" si="45"/>
        <v>23.740625000000001</v>
      </c>
      <c r="AQ61" s="71">
        <f t="shared" si="46"/>
        <v>0.352112676056338</v>
      </c>
      <c r="AR61" s="67">
        <v>19.399999999999999</v>
      </c>
      <c r="AS61" s="70">
        <f t="shared" si="47"/>
        <v>6.8309859154929571</v>
      </c>
      <c r="AU61" s="70">
        <v>71.8</v>
      </c>
      <c r="AV61" s="70">
        <v>58.4</v>
      </c>
      <c r="AW61" s="70">
        <f t="shared" si="48"/>
        <v>13.399999999999999</v>
      </c>
      <c r="AX61" s="70">
        <f t="shared" si="49"/>
        <v>15.208333333333334</v>
      </c>
      <c r="AY61" s="70">
        <f t="shared" si="50"/>
        <v>43.191666666666663</v>
      </c>
      <c r="AZ61" s="71">
        <f t="shared" si="51"/>
        <v>0.35211267605633806</v>
      </c>
      <c r="BA61" s="70">
        <v>50.7</v>
      </c>
      <c r="BB61" s="70">
        <f t="shared" si="52"/>
        <v>17.85211267605634</v>
      </c>
      <c r="BD61" s="67" t="s">
        <v>16</v>
      </c>
      <c r="BE61" s="64">
        <v>-27.35706326463486</v>
      </c>
      <c r="BF61" s="64">
        <v>0.27283665701507587</v>
      </c>
      <c r="BG61" s="64">
        <v>2.815058242238984</v>
      </c>
      <c r="BH61" s="66">
        <v>0.1782497527328239</v>
      </c>
      <c r="BI61" s="62">
        <v>1</v>
      </c>
      <c r="BJ61" s="63" t="s">
        <v>301</v>
      </c>
      <c r="BK61" s="64">
        <v>3.1820601958763652</v>
      </c>
      <c r="BL61" s="65">
        <v>0.25325537764315442</v>
      </c>
      <c r="BM61" s="61">
        <v>0.44906396094887779</v>
      </c>
      <c r="BN61" s="66">
        <v>1.0391895914834158E-2</v>
      </c>
      <c r="BO61" s="62">
        <v>1.9</v>
      </c>
      <c r="BP61" s="63" t="s">
        <v>299</v>
      </c>
    </row>
    <row r="62" spans="1:305" s="46" customFormat="1" ht="14.5" x14ac:dyDescent="0.35">
      <c r="A62" s="67" t="s">
        <v>35</v>
      </c>
      <c r="B62" s="68" t="s">
        <v>60</v>
      </c>
      <c r="C62" s="67" t="str">
        <f t="shared" si="54"/>
        <v>MCS2_1-24_G</v>
      </c>
      <c r="D62" s="73">
        <v>45298</v>
      </c>
      <c r="E62" s="73" t="s">
        <v>16</v>
      </c>
      <c r="F62" s="67"/>
      <c r="G62" s="67"/>
      <c r="H62" s="67" t="str">
        <f t="shared" si="55"/>
        <v>C,N,S</v>
      </c>
      <c r="I62" s="67">
        <v>133.5</v>
      </c>
      <c r="J62" s="67"/>
      <c r="K62" s="67">
        <v>146.1</v>
      </c>
      <c r="L62" s="67">
        <f t="shared" si="59"/>
        <v>12.599999999999994</v>
      </c>
      <c r="M62" s="67">
        <f t="shared" si="56"/>
        <v>108.4</v>
      </c>
      <c r="N62" s="69"/>
      <c r="O62" s="67">
        <f t="shared" si="31"/>
        <v>25.553505535055347</v>
      </c>
      <c r="P62" s="67">
        <f t="shared" si="32"/>
        <v>2.9702414182813395</v>
      </c>
      <c r="Q62" s="67"/>
      <c r="R62" s="67">
        <f t="shared" si="33"/>
        <v>29.15129151291513</v>
      </c>
      <c r="S62" s="67">
        <f t="shared" si="34"/>
        <v>3.3884342533462219</v>
      </c>
      <c r="T62" s="67"/>
      <c r="U62" s="67">
        <f t="shared" si="35"/>
        <v>45.29520295202952</v>
      </c>
      <c r="V62" s="67">
        <f t="shared" si="36"/>
        <v>5.2649405645347942</v>
      </c>
      <c r="W62" s="67"/>
      <c r="X62" s="71">
        <v>40</v>
      </c>
      <c r="Y62" s="71">
        <v>27.7</v>
      </c>
      <c r="Z62" s="71">
        <f t="shared" si="37"/>
        <v>12.3</v>
      </c>
      <c r="AA62" s="71">
        <f t="shared" si="38"/>
        <v>2.9702414182813395</v>
      </c>
      <c r="AB62" s="71">
        <f t="shared" si="39"/>
        <v>24.729758581718659</v>
      </c>
      <c r="AC62" s="71">
        <f t="shared" si="40"/>
        <v>0.12010798279596123</v>
      </c>
      <c r="AD62" s="71">
        <v>15.8</v>
      </c>
      <c r="AE62" s="71">
        <f t="shared" si="57"/>
        <v>1.8977061281761876</v>
      </c>
      <c r="AF62" s="71">
        <f t="shared" si="58"/>
        <v>13.902293871823813</v>
      </c>
      <c r="AG62" s="71">
        <v>17.3</v>
      </c>
      <c r="AH62" s="71">
        <f t="shared" si="41"/>
        <v>0.12010798279596123</v>
      </c>
      <c r="AI62" s="71">
        <v>3.4</v>
      </c>
      <c r="AJ62" s="71">
        <f t="shared" si="42"/>
        <v>0.40836714150626818</v>
      </c>
      <c r="AK62" s="67"/>
      <c r="AL62" s="67">
        <v>42.4</v>
      </c>
      <c r="AM62" s="67">
        <v>31.6</v>
      </c>
      <c r="AN62" s="67">
        <f t="shared" si="43"/>
        <v>10.799999999999997</v>
      </c>
      <c r="AO62" s="70">
        <f t="shared" si="44"/>
        <v>3.3884342533462219</v>
      </c>
      <c r="AP62" s="70">
        <f t="shared" si="45"/>
        <v>28.211565746653779</v>
      </c>
      <c r="AQ62" s="71">
        <f t="shared" si="46"/>
        <v>0.12010798279596126</v>
      </c>
      <c r="AR62" s="67">
        <v>5.9</v>
      </c>
      <c r="AS62" s="70">
        <f t="shared" si="47"/>
        <v>0.70863709849617151</v>
      </c>
      <c r="AT62" s="67"/>
      <c r="AU62" s="70">
        <v>79.3</v>
      </c>
      <c r="AV62" s="70">
        <v>49.1</v>
      </c>
      <c r="AW62" s="70">
        <f t="shared" si="48"/>
        <v>30.199999999999996</v>
      </c>
      <c r="AX62" s="70">
        <f t="shared" si="49"/>
        <v>5.2649405645347942</v>
      </c>
      <c r="AY62" s="70">
        <f t="shared" si="50"/>
        <v>43.835059435465205</v>
      </c>
      <c r="AZ62" s="71">
        <f t="shared" si="51"/>
        <v>0.12010798279596126</v>
      </c>
      <c r="BA62" s="70">
        <v>16.2</v>
      </c>
      <c r="BB62" s="70">
        <f t="shared" si="52"/>
        <v>1.9457493212945722</v>
      </c>
      <c r="BC62" s="67"/>
      <c r="BD62" s="67" t="s">
        <v>16</v>
      </c>
      <c r="BE62" s="64">
        <v>-29.108753249699262</v>
      </c>
      <c r="BF62" s="64">
        <v>0.13912054977568569</v>
      </c>
      <c r="BG62" s="64">
        <v>5.7219135851906895</v>
      </c>
      <c r="BH62" s="66">
        <v>0.2272761069637339</v>
      </c>
      <c r="BI62" s="62">
        <v>0.8</v>
      </c>
      <c r="BJ62" s="63" t="s">
        <v>299</v>
      </c>
      <c r="BK62"/>
      <c r="BL62"/>
      <c r="BM62"/>
      <c r="BN62" s="66"/>
      <c r="BO62" s="62">
        <v>1.9</v>
      </c>
      <c r="BP62" s="63" t="s">
        <v>330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</row>
    <row r="63" spans="1:305" ht="14.5" x14ac:dyDescent="0.35">
      <c r="A63" s="67" t="s">
        <v>35</v>
      </c>
      <c r="B63" s="68" t="s">
        <v>63</v>
      </c>
      <c r="C63" s="67" t="str">
        <f t="shared" si="54"/>
        <v>MCS2_8-24_G</v>
      </c>
      <c r="D63" s="73">
        <v>45505</v>
      </c>
      <c r="E63" s="67" t="s">
        <v>16</v>
      </c>
      <c r="F63" s="73">
        <v>45552</v>
      </c>
      <c r="H63" s="67" t="str">
        <f t="shared" si="55"/>
        <v>C,N,S</v>
      </c>
      <c r="I63" s="67">
        <v>131.9</v>
      </c>
      <c r="K63" s="67">
        <v>146.5</v>
      </c>
      <c r="L63" s="67">
        <f t="shared" si="59"/>
        <v>14.599999999999994</v>
      </c>
      <c r="M63" s="67">
        <f t="shared" si="56"/>
        <v>122.5</v>
      </c>
      <c r="O63" s="67">
        <f t="shared" ref="O63:O94" si="60">(Y63/M63)*100</f>
        <v>25.632653061224488</v>
      </c>
      <c r="P63" s="67">
        <f t="shared" ref="P63:P94" si="61">((O63/M63)*L63)</f>
        <v>3.0549937526030808</v>
      </c>
      <c r="Q63" s="67"/>
      <c r="R63" s="67">
        <f t="shared" ref="R63:R94" si="62">(AM63/M63)*100</f>
        <v>25.061224489795919</v>
      </c>
      <c r="S63" s="67">
        <f t="shared" ref="S63:S94" si="63">((R63/M63)*L63)</f>
        <v>2.9868887963348594</v>
      </c>
      <c r="T63" s="67"/>
      <c r="U63" s="67">
        <f t="shared" ref="U63:U94" si="64">(AV63/M63)*100</f>
        <v>49.306122448979586</v>
      </c>
      <c r="V63" s="67">
        <f t="shared" ref="V63:V94" si="65">((U63/M63)*L63)</f>
        <v>5.8764847980008295</v>
      </c>
      <c r="W63" s="67"/>
      <c r="X63" s="71">
        <v>50.2</v>
      </c>
      <c r="Y63" s="71">
        <v>31.4</v>
      </c>
      <c r="Z63" s="71">
        <f t="shared" ref="Z63:Z94" si="66">X63-Y63</f>
        <v>18.800000000000004</v>
      </c>
      <c r="AA63" s="71">
        <f t="shared" ref="AA63:AA94" si="67">P63</f>
        <v>3.0549937526030808</v>
      </c>
      <c r="AB63" s="71">
        <f t="shared" ref="AB63:AB94" si="68">Y63-AA63</f>
        <v>28.345006247396917</v>
      </c>
      <c r="AC63" s="71">
        <f t="shared" ref="AC63:AC94" si="69">AA63/AB63</f>
        <v>0.1077789056011811</v>
      </c>
      <c r="AD63" s="71">
        <v>18.899999999999999</v>
      </c>
      <c r="AE63" s="71">
        <f t="shared" si="57"/>
        <v>2.0370213158623227</v>
      </c>
      <c r="AF63" s="71">
        <f t="shared" si="58"/>
        <v>16.862978684137676</v>
      </c>
      <c r="AG63" s="71">
        <v>17.8</v>
      </c>
      <c r="AH63" s="71">
        <f t="shared" ref="AH63:AH94" si="70">AC63</f>
        <v>0.1077789056011811</v>
      </c>
      <c r="AI63" s="71">
        <v>2.1</v>
      </c>
      <c r="AJ63" s="71">
        <f t="shared" ref="AJ63:AJ94" si="71">AI63*AH63</f>
        <v>0.22633570176248033</v>
      </c>
      <c r="AL63" s="67">
        <v>36.9</v>
      </c>
      <c r="AM63" s="67">
        <v>30.7</v>
      </c>
      <c r="AN63" s="67">
        <f t="shared" ref="AN63:AN94" si="72">AL63-AM63</f>
        <v>6.1999999999999993</v>
      </c>
      <c r="AO63" s="70">
        <f t="shared" ref="AO63:AO94" si="73">S63</f>
        <v>2.9868887963348594</v>
      </c>
      <c r="AP63" s="70">
        <f t="shared" ref="AP63:AP94" si="74">AM63-AO63</f>
        <v>27.713111203665139</v>
      </c>
      <c r="AQ63" s="71">
        <f t="shared" ref="AQ63:AQ94" si="75">AO63/AP63</f>
        <v>0.1077789056011811</v>
      </c>
      <c r="AR63" s="67">
        <v>4.5999999999999996</v>
      </c>
      <c r="AS63" s="70">
        <f t="shared" ref="AS63:AS81" si="76">AR63*AQ63</f>
        <v>0.49578296576543301</v>
      </c>
      <c r="AU63" s="70">
        <v>85.1</v>
      </c>
      <c r="AV63" s="70">
        <v>60.4</v>
      </c>
      <c r="AW63" s="70">
        <f t="shared" ref="AW63:AW94" si="77">AU63-AV63</f>
        <v>24.699999999999996</v>
      </c>
      <c r="AX63" s="70">
        <f t="shared" ref="AX63:AX94" si="78">V63</f>
        <v>5.8764847980008295</v>
      </c>
      <c r="AY63" s="70">
        <f t="shared" ref="AY63:AY94" si="79">AV63-AX63</f>
        <v>54.523515201999167</v>
      </c>
      <c r="AZ63" s="71">
        <f t="shared" ref="AZ63:AZ94" si="80">AX63/AY63</f>
        <v>0.10777890560118107</v>
      </c>
      <c r="BA63" s="70">
        <v>12.8</v>
      </c>
      <c r="BB63" s="70">
        <f t="shared" ref="BB63:BB94" si="81">BA63*AZ63</f>
        <v>1.3795699916951178</v>
      </c>
      <c r="BD63" s="67" t="s">
        <v>16</v>
      </c>
      <c r="BE63" s="64">
        <v>-25.716123432594628</v>
      </c>
      <c r="BF63" s="64">
        <v>0.14091950614480389</v>
      </c>
      <c r="BG63" s="64">
        <v>8.3397775364232523</v>
      </c>
      <c r="BH63" s="66">
        <v>2.5997922982043592E-2</v>
      </c>
      <c r="BI63" s="62">
        <v>0.7</v>
      </c>
      <c r="BJ63" s="63" t="s">
        <v>299</v>
      </c>
      <c r="BK63" s="64">
        <v>1.8193113343408336</v>
      </c>
      <c r="BL63" s="65">
        <v>0.30150471470714507</v>
      </c>
      <c r="BM63" s="61">
        <v>0.9972599125887337</v>
      </c>
      <c r="BN63" s="66">
        <v>8.2737634287201479E-3</v>
      </c>
      <c r="BO63" s="62">
        <v>1.8</v>
      </c>
      <c r="BP63" s="63" t="s">
        <v>299</v>
      </c>
    </row>
    <row r="64" spans="1:305" ht="14.5" x14ac:dyDescent="0.35">
      <c r="A64" s="67" t="s">
        <v>35</v>
      </c>
      <c r="B64" s="68" t="s">
        <v>14</v>
      </c>
      <c r="C64" s="67" t="str">
        <f t="shared" si="54"/>
        <v>MCS2_9-23_G</v>
      </c>
      <c r="D64" s="73">
        <v>45196</v>
      </c>
      <c r="E64" s="73" t="s">
        <v>108</v>
      </c>
      <c r="F64" s="73">
        <v>45275</v>
      </c>
      <c r="H64" s="67" t="str">
        <f t="shared" si="55"/>
        <v>C,N,S</v>
      </c>
      <c r="I64" s="67">
        <v>133.4</v>
      </c>
      <c r="K64" s="67">
        <v>155.9</v>
      </c>
      <c r="L64" s="67">
        <f t="shared" si="59"/>
        <v>22.5</v>
      </c>
      <c r="M64" s="67">
        <f t="shared" si="56"/>
        <v>106.3</v>
      </c>
      <c r="O64" s="67">
        <f t="shared" si="60"/>
        <v>19.379115710253998</v>
      </c>
      <c r="P64" s="67">
        <f t="shared" si="61"/>
        <v>4.1018824410227186</v>
      </c>
      <c r="Q64" s="67"/>
      <c r="R64" s="67">
        <f t="shared" si="62"/>
        <v>31.420507996237063</v>
      </c>
      <c r="S64" s="67">
        <f t="shared" si="63"/>
        <v>6.6506249286484849</v>
      </c>
      <c r="T64" s="67"/>
      <c r="U64" s="67">
        <f t="shared" si="64"/>
        <v>49.200376293508938</v>
      </c>
      <c r="V64" s="67">
        <f t="shared" si="65"/>
        <v>10.414002508033407</v>
      </c>
      <c r="W64" s="67"/>
      <c r="X64" s="71">
        <v>39.6</v>
      </c>
      <c r="Y64" s="71">
        <v>20.6</v>
      </c>
      <c r="Z64" s="71">
        <f t="shared" si="66"/>
        <v>19</v>
      </c>
      <c r="AA64" s="71">
        <f t="shared" si="67"/>
        <v>4.1018824410227186</v>
      </c>
      <c r="AB64" s="71">
        <f t="shared" si="68"/>
        <v>16.498117558977285</v>
      </c>
      <c r="AC64" s="71">
        <f t="shared" si="69"/>
        <v>0.24862730104567116</v>
      </c>
      <c r="AD64" s="71">
        <v>15.3</v>
      </c>
      <c r="AE64" s="71">
        <f t="shared" si="57"/>
        <v>3.8039977059987691</v>
      </c>
      <c r="AF64" s="71">
        <f t="shared" si="58"/>
        <v>11.496002294001231</v>
      </c>
      <c r="AG64" s="71">
        <v>16.8</v>
      </c>
      <c r="AH64" s="71">
        <f t="shared" si="70"/>
        <v>0.24862730104567116</v>
      </c>
      <c r="AI64" s="71">
        <v>4.5999999999999996</v>
      </c>
      <c r="AJ64" s="71">
        <f t="shared" si="71"/>
        <v>1.1436855848100873</v>
      </c>
      <c r="AL64" s="67">
        <v>41.2</v>
      </c>
      <c r="AM64" s="67">
        <v>33.4</v>
      </c>
      <c r="AN64" s="67">
        <f t="shared" si="72"/>
        <v>7.8000000000000043</v>
      </c>
      <c r="AO64" s="70">
        <f t="shared" si="73"/>
        <v>6.6506249286484849</v>
      </c>
      <c r="AP64" s="70">
        <f t="shared" si="74"/>
        <v>26.749375071351515</v>
      </c>
      <c r="AQ64" s="71">
        <f t="shared" si="75"/>
        <v>0.24862730104567116</v>
      </c>
      <c r="AR64" s="67">
        <v>5.7</v>
      </c>
      <c r="AS64" s="70">
        <f t="shared" si="76"/>
        <v>1.4171756159603257</v>
      </c>
      <c r="AU64" s="70">
        <v>72.5</v>
      </c>
      <c r="AV64" s="70">
        <v>52.3</v>
      </c>
      <c r="AW64" s="70">
        <f t="shared" si="77"/>
        <v>20.200000000000003</v>
      </c>
      <c r="AX64" s="70">
        <f t="shared" si="78"/>
        <v>10.414002508033407</v>
      </c>
      <c r="AY64" s="70">
        <f t="shared" si="79"/>
        <v>41.885997491966592</v>
      </c>
      <c r="AZ64" s="71">
        <f t="shared" si="80"/>
        <v>0.24862730104567121</v>
      </c>
      <c r="BA64" s="70">
        <v>19.2</v>
      </c>
      <c r="BB64" s="70">
        <f t="shared" si="81"/>
        <v>4.7736441800768867</v>
      </c>
      <c r="BD64" s="67" t="s">
        <v>16</v>
      </c>
      <c r="BE64" s="64">
        <v>-27.773552419073688</v>
      </c>
      <c r="BF64" s="64">
        <v>0.13650450487259017</v>
      </c>
      <c r="BG64" s="64">
        <v>5.4182808143039587</v>
      </c>
      <c r="BH64" s="66">
        <v>0.18619459762652402</v>
      </c>
      <c r="BI64" s="62">
        <v>0.9</v>
      </c>
      <c r="BJ64" s="63" t="s">
        <v>299</v>
      </c>
      <c r="BK64" s="64">
        <v>2.8184809826533215</v>
      </c>
      <c r="BL64" s="65">
        <v>0.25271672113459026</v>
      </c>
      <c r="BM64" s="61">
        <v>0.85630879221974987</v>
      </c>
      <c r="BN64" s="66">
        <v>9.9134217369404119E-3</v>
      </c>
      <c r="BO64" s="62">
        <v>1.7</v>
      </c>
      <c r="BP64" s="63" t="s">
        <v>299</v>
      </c>
    </row>
    <row r="65" spans="1:68" ht="14.5" x14ac:dyDescent="0.35">
      <c r="A65" s="67" t="s">
        <v>36</v>
      </c>
      <c r="B65" s="68" t="s">
        <v>63</v>
      </c>
      <c r="C65" s="67" t="str">
        <f t="shared" si="54"/>
        <v>MCS3_8-24_G</v>
      </c>
      <c r="D65" s="73">
        <v>45505</v>
      </c>
      <c r="E65" s="67" t="s">
        <v>16</v>
      </c>
      <c r="H65" s="67" t="str">
        <f t="shared" si="55"/>
        <v>C,N,S</v>
      </c>
      <c r="I65" s="67">
        <v>133.30000000000001</v>
      </c>
      <c r="K65" s="67">
        <v>149</v>
      </c>
      <c r="L65" s="67">
        <f t="shared" si="59"/>
        <v>15.699999999999989</v>
      </c>
      <c r="M65" s="67">
        <f t="shared" si="56"/>
        <v>114.6</v>
      </c>
      <c r="O65" s="67">
        <f t="shared" si="60"/>
        <v>25.043630017452006</v>
      </c>
      <c r="P65" s="67">
        <f t="shared" si="61"/>
        <v>3.4309336062303335</v>
      </c>
      <c r="Q65" s="67"/>
      <c r="R65" s="67">
        <f t="shared" si="62"/>
        <v>27.748691099476442</v>
      </c>
      <c r="S65" s="67">
        <f t="shared" si="63"/>
        <v>3.8015222535931925</v>
      </c>
      <c r="T65" s="67"/>
      <c r="U65" s="67">
        <f t="shared" si="64"/>
        <v>47.207678883071559</v>
      </c>
      <c r="V65" s="67">
        <f t="shared" si="65"/>
        <v>6.4673696201066573</v>
      </c>
      <c r="W65" s="67"/>
      <c r="X65" s="71">
        <v>40.1</v>
      </c>
      <c r="Y65" s="71">
        <v>28.7</v>
      </c>
      <c r="Z65" s="71">
        <f t="shared" si="66"/>
        <v>11.400000000000002</v>
      </c>
      <c r="AA65" s="71">
        <f t="shared" si="67"/>
        <v>3.4309336062303335</v>
      </c>
      <c r="AB65" s="71">
        <f t="shared" si="68"/>
        <v>25.269066393769666</v>
      </c>
      <c r="AC65" s="71">
        <f t="shared" si="69"/>
        <v>0.13577603354100426</v>
      </c>
      <c r="AD65" s="71">
        <v>23.9</v>
      </c>
      <c r="AE65" s="71">
        <f t="shared" si="57"/>
        <v>3.2450472016300016</v>
      </c>
      <c r="AF65" s="71">
        <f t="shared" si="58"/>
        <v>20.654952798369997</v>
      </c>
      <c r="AG65" s="71">
        <v>23.6</v>
      </c>
      <c r="AH65" s="71">
        <f t="shared" si="70"/>
        <v>0.13577603354100426</v>
      </c>
      <c r="AI65" s="71">
        <v>2.7</v>
      </c>
      <c r="AJ65" s="71">
        <f t="shared" si="71"/>
        <v>0.36659529056071155</v>
      </c>
      <c r="AL65" s="67">
        <v>42.1</v>
      </c>
      <c r="AM65" s="67">
        <v>31.8</v>
      </c>
      <c r="AN65" s="67">
        <f t="shared" si="72"/>
        <v>10.3</v>
      </c>
      <c r="AO65" s="70">
        <f t="shared" si="73"/>
        <v>3.8015222535931925</v>
      </c>
      <c r="AP65" s="70">
        <f t="shared" si="74"/>
        <v>27.99847774640681</v>
      </c>
      <c r="AQ65" s="71">
        <f t="shared" si="75"/>
        <v>0.13577603354100426</v>
      </c>
      <c r="AR65" s="67">
        <v>5.4</v>
      </c>
      <c r="AS65" s="70">
        <f t="shared" si="76"/>
        <v>0.7331905811214231</v>
      </c>
      <c r="AU65" s="70">
        <v>79.099999999999994</v>
      </c>
      <c r="AV65" s="70">
        <v>54.1</v>
      </c>
      <c r="AW65" s="70">
        <f t="shared" si="77"/>
        <v>24.999999999999993</v>
      </c>
      <c r="AX65" s="70">
        <f t="shared" si="78"/>
        <v>6.4673696201066573</v>
      </c>
      <c r="AY65" s="70">
        <f t="shared" si="79"/>
        <v>47.632630379893342</v>
      </c>
      <c r="AZ65" s="71">
        <f t="shared" si="80"/>
        <v>0.13577603354100426</v>
      </c>
      <c r="BA65" s="70">
        <v>16.100000000000001</v>
      </c>
      <c r="BB65" s="70">
        <f t="shared" si="81"/>
        <v>2.1859941400101688</v>
      </c>
      <c r="BD65" s="67" t="s">
        <v>16</v>
      </c>
      <c r="BE65" s="64">
        <v>-25.556755880375256</v>
      </c>
      <c r="BF65" s="64">
        <v>0.1507972641697477</v>
      </c>
      <c r="BG65" s="64">
        <v>7.225861328096193</v>
      </c>
      <c r="BH65" s="66">
        <v>4.5873389851266412E-2</v>
      </c>
      <c r="BI65" s="62">
        <v>0.8</v>
      </c>
      <c r="BJ65" s="63" t="s">
        <v>299</v>
      </c>
      <c r="BK65" s="64">
        <v>1.8307528553605308</v>
      </c>
      <c r="BM65" s="61">
        <v>1.074608265579664</v>
      </c>
      <c r="BN65" s="66">
        <v>1.1461276067894923E-2</v>
      </c>
      <c r="BO65" s="62">
        <v>1.6</v>
      </c>
      <c r="BP65" s="63" t="s">
        <v>299</v>
      </c>
    </row>
    <row r="66" spans="1:68" ht="14.5" x14ac:dyDescent="0.35">
      <c r="A66" s="67" t="s">
        <v>36</v>
      </c>
      <c r="B66" s="68" t="s">
        <v>14</v>
      </c>
      <c r="C66" s="67" t="str">
        <f t="shared" ref="C66:C97" si="82">A66&amp;"_"&amp;B66&amp;"_G"</f>
        <v>MCS3_9-23_G</v>
      </c>
      <c r="D66" s="73">
        <v>45196</v>
      </c>
      <c r="E66" s="73" t="s">
        <v>108</v>
      </c>
      <c r="F66" s="73">
        <v>45275</v>
      </c>
      <c r="H66" s="67" t="str">
        <f t="shared" ref="H66:H97" si="83">IF(OR(AI66&lt;&gt;"", AR66&lt;&gt;"", BA66&lt;&gt;""),
    IF(AI66&lt;&gt;"", "C", "") &amp;
    IF(BA66&lt;&gt;"", IF(AI66&lt;&gt;"", ",N", "N"), "") &amp;
    IF(BA66&lt;&gt;"", IF(OR(AI66&lt;&gt;"", AR66&lt;&gt;""), ",S", "S"), ""),
"")</f>
        <v>C,N,S</v>
      </c>
      <c r="I66" s="67">
        <v>134</v>
      </c>
      <c r="K66" s="67">
        <v>162.30000000000001</v>
      </c>
      <c r="L66" s="67">
        <f t="shared" si="59"/>
        <v>28.300000000000011</v>
      </c>
      <c r="M66" s="67">
        <f t="shared" ref="M66:M97" si="84">Y66+AM66+AV66</f>
        <v>110.19999999999999</v>
      </c>
      <c r="O66" s="67">
        <f t="shared" si="60"/>
        <v>21.597096188747734</v>
      </c>
      <c r="P66" s="67">
        <f t="shared" si="61"/>
        <v>5.546259729052279</v>
      </c>
      <c r="Q66" s="67"/>
      <c r="R66" s="67">
        <f t="shared" si="62"/>
        <v>26.315789473684216</v>
      </c>
      <c r="S66" s="67">
        <f t="shared" si="63"/>
        <v>6.7580475690132822</v>
      </c>
      <c r="T66" s="67"/>
      <c r="U66" s="67">
        <f t="shared" si="64"/>
        <v>52.08711433756806</v>
      </c>
      <c r="V66" s="67">
        <f t="shared" si="65"/>
        <v>13.376273464184907</v>
      </c>
      <c r="W66" s="67"/>
      <c r="X66" s="71">
        <v>34.1</v>
      </c>
      <c r="Y66" s="71">
        <v>23.8</v>
      </c>
      <c r="Z66" s="71">
        <f t="shared" si="66"/>
        <v>10.3</v>
      </c>
      <c r="AA66" s="71">
        <f t="shared" si="67"/>
        <v>5.546259729052279</v>
      </c>
      <c r="AB66" s="71">
        <f t="shared" si="68"/>
        <v>18.253740270947723</v>
      </c>
      <c r="AC66" s="71">
        <f t="shared" si="69"/>
        <v>0.30384237130181979</v>
      </c>
      <c r="AD66" s="71">
        <v>19.7</v>
      </c>
      <c r="AE66" s="71">
        <f t="shared" si="57"/>
        <v>5.9856947146458497</v>
      </c>
      <c r="AF66" s="71">
        <f t="shared" si="58"/>
        <v>13.71430528535415</v>
      </c>
      <c r="AG66" s="71">
        <v>20</v>
      </c>
      <c r="AH66" s="71">
        <f t="shared" si="70"/>
        <v>0.30384237130181979</v>
      </c>
      <c r="AI66" s="71">
        <v>6</v>
      </c>
      <c r="AJ66" s="71">
        <f t="shared" si="71"/>
        <v>1.8230542278109187</v>
      </c>
      <c r="AL66" s="67">
        <v>37.1</v>
      </c>
      <c r="AM66" s="67">
        <v>29</v>
      </c>
      <c r="AN66" s="67">
        <f t="shared" si="72"/>
        <v>8.1000000000000014</v>
      </c>
      <c r="AO66" s="70">
        <f t="shared" si="73"/>
        <v>6.7580475690132822</v>
      </c>
      <c r="AP66" s="70">
        <f t="shared" si="74"/>
        <v>22.241952430986718</v>
      </c>
      <c r="AQ66" s="71">
        <f t="shared" si="75"/>
        <v>0.3038423713018199</v>
      </c>
      <c r="AR66" s="67">
        <v>10.199999999999999</v>
      </c>
      <c r="AS66" s="70">
        <f t="shared" si="76"/>
        <v>3.0991921872785628</v>
      </c>
      <c r="AU66" s="70">
        <v>76</v>
      </c>
      <c r="AV66" s="70">
        <v>57.4</v>
      </c>
      <c r="AW66" s="70">
        <f t="shared" si="77"/>
        <v>18.600000000000001</v>
      </c>
      <c r="AX66" s="70">
        <f t="shared" si="78"/>
        <v>13.376273464184907</v>
      </c>
      <c r="AY66" s="70">
        <f t="shared" si="79"/>
        <v>44.023726535815094</v>
      </c>
      <c r="AZ66" s="71">
        <f t="shared" si="80"/>
        <v>0.30384237130181979</v>
      </c>
      <c r="BA66" s="70">
        <v>28.2</v>
      </c>
      <c r="BB66" s="70">
        <f t="shared" si="81"/>
        <v>8.5683548707113175</v>
      </c>
      <c r="BD66" s="67" t="s">
        <v>16</v>
      </c>
      <c r="BE66" s="64">
        <v>-28.619513339706756</v>
      </c>
      <c r="BF66" s="64">
        <v>0.13669311232273523</v>
      </c>
      <c r="BG66" s="64">
        <v>5.8281549338417182</v>
      </c>
      <c r="BH66" s="66">
        <v>0.16283832680020133</v>
      </c>
      <c r="BI66" s="62">
        <v>1</v>
      </c>
      <c r="BJ66" s="63" t="s">
        <v>299</v>
      </c>
      <c r="BK66" s="64">
        <v>2.7831247813860642</v>
      </c>
      <c r="BL66" s="65">
        <v>0.25271313050128502</v>
      </c>
      <c r="BM66" s="61">
        <v>0.76023116243309485</v>
      </c>
      <c r="BN66" s="66">
        <v>1.2174080425101911E-2</v>
      </c>
      <c r="BO66" s="62">
        <v>1.5</v>
      </c>
      <c r="BP66" s="63" t="s">
        <v>299</v>
      </c>
    </row>
    <row r="67" spans="1:68" ht="14.5" x14ac:dyDescent="0.35">
      <c r="A67" s="67" t="s">
        <v>37</v>
      </c>
      <c r="B67" s="68" t="s">
        <v>62</v>
      </c>
      <c r="C67" s="67" t="str">
        <f t="shared" si="82"/>
        <v>MCS4_4-24_G</v>
      </c>
      <c r="D67" s="73">
        <v>45390</v>
      </c>
      <c r="E67" s="73" t="s">
        <v>16</v>
      </c>
      <c r="F67" s="73">
        <v>45540</v>
      </c>
      <c r="H67" s="67" t="str">
        <f t="shared" si="83"/>
        <v>C,N,S</v>
      </c>
      <c r="I67" s="67">
        <v>129.1</v>
      </c>
      <c r="K67" s="67">
        <v>147.69999999999999</v>
      </c>
      <c r="L67" s="67">
        <f t="shared" si="59"/>
        <v>18.599999999999994</v>
      </c>
      <c r="M67" s="67">
        <f t="shared" si="84"/>
        <v>101.5</v>
      </c>
      <c r="O67" s="67">
        <f t="shared" si="60"/>
        <v>27.290640394088665</v>
      </c>
      <c r="P67" s="67">
        <f t="shared" si="61"/>
        <v>5.0010434613797941</v>
      </c>
      <c r="Q67" s="67"/>
      <c r="R67" s="67">
        <f t="shared" si="62"/>
        <v>24.236453201970445</v>
      </c>
      <c r="S67" s="67">
        <f t="shared" si="63"/>
        <v>4.4413598971098533</v>
      </c>
      <c r="T67" s="67"/>
      <c r="U67" s="67">
        <f t="shared" si="64"/>
        <v>48.47290640394089</v>
      </c>
      <c r="V67" s="67">
        <f t="shared" si="65"/>
        <v>8.8827197942197067</v>
      </c>
      <c r="W67" s="67"/>
      <c r="X67" s="71">
        <v>38.299999999999997</v>
      </c>
      <c r="Y67" s="71">
        <v>27.7</v>
      </c>
      <c r="Z67" s="71">
        <f t="shared" si="66"/>
        <v>10.599999999999998</v>
      </c>
      <c r="AA67" s="71">
        <f t="shared" si="67"/>
        <v>5.0010434613797941</v>
      </c>
      <c r="AB67" s="71">
        <f t="shared" si="68"/>
        <v>22.698956538620205</v>
      </c>
      <c r="AC67" s="71">
        <f t="shared" si="69"/>
        <v>0.22032041221238405</v>
      </c>
      <c r="AD67" s="71">
        <v>17.899999999999999</v>
      </c>
      <c r="AE67" s="71">
        <f t="shared" si="57"/>
        <v>3.9437353786016742</v>
      </c>
      <c r="AF67" s="71">
        <f t="shared" si="58"/>
        <v>13.956264621398324</v>
      </c>
      <c r="AG67" s="71">
        <v>18.600000000000001</v>
      </c>
      <c r="AH67" s="71">
        <f t="shared" si="70"/>
        <v>0.22032041221238405</v>
      </c>
      <c r="AI67" s="71">
        <v>4.7</v>
      </c>
      <c r="AJ67" s="71">
        <f t="shared" si="71"/>
        <v>1.035505937398205</v>
      </c>
      <c r="AL67" s="67">
        <v>37.200000000000003</v>
      </c>
      <c r="AM67" s="67">
        <v>24.6</v>
      </c>
      <c r="AN67" s="67">
        <f t="shared" si="72"/>
        <v>12.600000000000001</v>
      </c>
      <c r="AO67" s="70">
        <f t="shared" si="73"/>
        <v>4.4413598971098533</v>
      </c>
      <c r="AP67" s="70">
        <f t="shared" si="74"/>
        <v>20.158640102890146</v>
      </c>
      <c r="AQ67" s="71">
        <f t="shared" si="75"/>
        <v>0.22032041221238408</v>
      </c>
      <c r="AR67" s="67">
        <v>7.5</v>
      </c>
      <c r="AS67" s="70">
        <f t="shared" si="76"/>
        <v>1.6524030915928805</v>
      </c>
      <c r="AU67" s="70">
        <v>74.900000000000006</v>
      </c>
      <c r="AV67" s="70">
        <v>49.2</v>
      </c>
      <c r="AW67" s="70">
        <f t="shared" si="77"/>
        <v>25.700000000000003</v>
      </c>
      <c r="AX67" s="70">
        <f t="shared" si="78"/>
        <v>8.8827197942197067</v>
      </c>
      <c r="AY67" s="70">
        <f t="shared" si="79"/>
        <v>40.317280205780293</v>
      </c>
      <c r="AZ67" s="71">
        <f t="shared" si="80"/>
        <v>0.22032041221238408</v>
      </c>
      <c r="BA67" s="70">
        <v>22.9</v>
      </c>
      <c r="BB67" s="70">
        <f t="shared" si="81"/>
        <v>5.0453374396635953</v>
      </c>
      <c r="BD67" s="67" t="s">
        <v>16</v>
      </c>
      <c r="BE67" s="64">
        <v>-26.693499450233872</v>
      </c>
      <c r="BF67" s="64">
        <v>0.13932451854331715</v>
      </c>
      <c r="BG67" s="64">
        <v>3.2981223245178444</v>
      </c>
      <c r="BH67" s="66">
        <v>0.30081182753151964</v>
      </c>
      <c r="BI67" s="62">
        <v>0.9</v>
      </c>
      <c r="BK67" s="64">
        <v>3.5749875038646586</v>
      </c>
      <c r="BL67" s="65">
        <v>0.25413538681945069</v>
      </c>
      <c r="BM67" s="61">
        <v>1.0737691329783048</v>
      </c>
      <c r="BN67" s="66">
        <v>1.7331080133102618E-2</v>
      </c>
      <c r="BO67" s="62">
        <v>1.4</v>
      </c>
      <c r="BP67" s="63" t="s">
        <v>299</v>
      </c>
    </row>
    <row r="68" spans="1:68" ht="14.5" x14ac:dyDescent="0.35">
      <c r="A68" s="67" t="s">
        <v>37</v>
      </c>
      <c r="B68" s="68" t="s">
        <v>63</v>
      </c>
      <c r="C68" s="67" t="str">
        <f t="shared" si="82"/>
        <v>MCS4_8-24_G</v>
      </c>
      <c r="D68" s="73">
        <v>45505</v>
      </c>
      <c r="E68" s="67" t="s">
        <v>16</v>
      </c>
      <c r="H68" s="67" t="str">
        <f t="shared" si="83"/>
        <v>C,N,S</v>
      </c>
      <c r="I68" s="67">
        <v>132.19999999999999</v>
      </c>
      <c r="K68" s="67">
        <v>164.4</v>
      </c>
      <c r="L68" s="75">
        <f t="shared" si="59"/>
        <v>32.200000000000017</v>
      </c>
      <c r="M68" s="67">
        <f t="shared" si="84"/>
        <v>126.8</v>
      </c>
      <c r="O68" s="67">
        <f t="shared" si="60"/>
        <v>26.182965299684547</v>
      </c>
      <c r="P68" s="67">
        <f t="shared" si="61"/>
        <v>6.6489864562290455</v>
      </c>
      <c r="Q68" s="67"/>
      <c r="R68" s="67">
        <f t="shared" si="62"/>
        <v>27.050473186119874</v>
      </c>
      <c r="S68" s="67">
        <f t="shared" si="63"/>
        <v>6.8692842002607284</v>
      </c>
      <c r="T68" s="67"/>
      <c r="U68" s="67">
        <f t="shared" si="64"/>
        <v>46.76656151419558</v>
      </c>
      <c r="V68" s="67">
        <f t="shared" si="65"/>
        <v>11.876051110071755</v>
      </c>
      <c r="W68" s="67"/>
      <c r="X68" s="71">
        <v>42.5</v>
      </c>
      <c r="Y68" s="71">
        <v>33.200000000000003</v>
      </c>
      <c r="Z68" s="71">
        <f t="shared" si="66"/>
        <v>9.2999999999999972</v>
      </c>
      <c r="AA68" s="71">
        <f t="shared" si="67"/>
        <v>6.6489864562290455</v>
      </c>
      <c r="AB68" s="71">
        <f t="shared" si="68"/>
        <v>26.551013543770956</v>
      </c>
      <c r="AC68" s="71">
        <f t="shared" si="69"/>
        <v>0.25042307500871058</v>
      </c>
      <c r="AD68" s="71">
        <v>16.2</v>
      </c>
      <c r="AE68" s="71">
        <f t="shared" si="57"/>
        <v>4.0568538151411113</v>
      </c>
      <c r="AF68" s="71">
        <f t="shared" si="58"/>
        <v>12.143146184858889</v>
      </c>
      <c r="AG68" s="71">
        <v>16.100000000000001</v>
      </c>
      <c r="AH68" s="71">
        <f t="shared" si="70"/>
        <v>0.25042307500871058</v>
      </c>
      <c r="AI68" s="71">
        <v>4.0999999999999996</v>
      </c>
      <c r="AJ68" s="71">
        <f t="shared" si="71"/>
        <v>1.0267346075357133</v>
      </c>
      <c r="AL68" s="67">
        <v>42.9</v>
      </c>
      <c r="AM68" s="67">
        <v>34.299999999999997</v>
      </c>
      <c r="AN68" s="67">
        <f t="shared" si="72"/>
        <v>8.6000000000000014</v>
      </c>
      <c r="AO68" s="70">
        <f t="shared" si="73"/>
        <v>6.8692842002607284</v>
      </c>
      <c r="AP68" s="70">
        <f t="shared" si="74"/>
        <v>27.430715799739268</v>
      </c>
      <c r="AQ68" s="71">
        <f t="shared" si="75"/>
        <v>0.25042307500871053</v>
      </c>
      <c r="AR68" s="67">
        <v>7.6</v>
      </c>
      <c r="AS68" s="70">
        <f t="shared" si="76"/>
        <v>1.9032153700662</v>
      </c>
      <c r="AU68" s="70">
        <v>74.099999999999994</v>
      </c>
      <c r="AV68" s="70">
        <v>59.3</v>
      </c>
      <c r="AW68" s="70">
        <f t="shared" si="77"/>
        <v>14.799999999999997</v>
      </c>
      <c r="AX68" s="70">
        <f t="shared" si="78"/>
        <v>11.876051110071755</v>
      </c>
      <c r="AY68" s="70">
        <f t="shared" si="79"/>
        <v>47.423948889928241</v>
      </c>
      <c r="AZ68" s="71">
        <f t="shared" si="80"/>
        <v>0.25042307500871053</v>
      </c>
      <c r="BA68" s="70">
        <v>25.9</v>
      </c>
      <c r="BB68" s="70">
        <f t="shared" si="81"/>
        <v>6.4859576427256025</v>
      </c>
      <c r="BD68" s="67" t="s">
        <v>16</v>
      </c>
      <c r="BE68" s="64">
        <v>-24.610381067757004</v>
      </c>
      <c r="BF68" s="64">
        <v>0.13594813838927422</v>
      </c>
      <c r="BG68" s="64">
        <v>5.7259017277482105</v>
      </c>
      <c r="BH68" s="66">
        <v>0.18464866020148812</v>
      </c>
      <c r="BI68" s="62">
        <v>0.9</v>
      </c>
      <c r="BJ68" s="63" t="s">
        <v>299</v>
      </c>
      <c r="BK68" s="64">
        <v>1.7935195868199845</v>
      </c>
      <c r="BL68" s="65">
        <v>0.25154083084915801</v>
      </c>
      <c r="BM68" s="61">
        <v>1.1027070695819809</v>
      </c>
      <c r="BN68" s="66">
        <v>8.4325942625146175E-3</v>
      </c>
      <c r="BO68" s="62">
        <v>1.8</v>
      </c>
      <c r="BP68" s="63" t="s">
        <v>299</v>
      </c>
    </row>
    <row r="69" spans="1:68" ht="14.5" x14ac:dyDescent="0.35">
      <c r="A69" s="67" t="s">
        <v>37</v>
      </c>
      <c r="B69" s="68" t="s">
        <v>14</v>
      </c>
      <c r="C69" s="67" t="str">
        <f t="shared" si="82"/>
        <v>MCS4_9-23_G</v>
      </c>
      <c r="D69" s="73">
        <v>45196</v>
      </c>
      <c r="E69" s="73" t="s">
        <v>108</v>
      </c>
      <c r="F69" s="73">
        <v>45275</v>
      </c>
      <c r="H69" s="67" t="str">
        <f t="shared" si="83"/>
        <v>C,N,S</v>
      </c>
      <c r="I69" s="67">
        <v>134.19999999999999</v>
      </c>
      <c r="K69" s="67">
        <v>168.3</v>
      </c>
      <c r="L69" s="67">
        <f t="shared" si="59"/>
        <v>34.100000000000023</v>
      </c>
      <c r="M69" s="67">
        <f t="shared" si="84"/>
        <v>105.19999999999999</v>
      </c>
      <c r="O69" s="67">
        <f t="shared" si="60"/>
        <v>27.471482889733839</v>
      </c>
      <c r="P69" s="67">
        <f t="shared" si="61"/>
        <v>8.9047297199612601</v>
      </c>
      <c r="Q69" s="67"/>
      <c r="R69" s="67">
        <f t="shared" si="62"/>
        <v>24.619771863117872</v>
      </c>
      <c r="S69" s="67">
        <f t="shared" si="63"/>
        <v>7.9803633130448679</v>
      </c>
      <c r="T69" s="67"/>
      <c r="U69" s="67">
        <f t="shared" si="64"/>
        <v>47.908745247148296</v>
      </c>
      <c r="V69" s="67">
        <f t="shared" si="65"/>
        <v>15.529355636195419</v>
      </c>
      <c r="W69" s="67"/>
      <c r="X69" s="71">
        <v>37.6</v>
      </c>
      <c r="Y69" s="71">
        <v>28.9</v>
      </c>
      <c r="Z69" s="71">
        <f t="shared" si="66"/>
        <v>8.7000000000000028</v>
      </c>
      <c r="AA69" s="71">
        <f t="shared" si="67"/>
        <v>8.9047297199612601</v>
      </c>
      <c r="AB69" s="71">
        <f t="shared" si="68"/>
        <v>19.995270280038739</v>
      </c>
      <c r="AC69" s="71">
        <f t="shared" si="69"/>
        <v>0.44534180309884802</v>
      </c>
      <c r="AD69" s="71">
        <v>16</v>
      </c>
      <c r="AE69" s="71">
        <f t="shared" si="57"/>
        <v>7.1254688495815683</v>
      </c>
      <c r="AF69" s="71">
        <f t="shared" si="58"/>
        <v>8.8745311504184308</v>
      </c>
      <c r="AG69" s="71">
        <v>16.100000000000001</v>
      </c>
      <c r="AH69" s="71">
        <f t="shared" si="70"/>
        <v>0.44534180309884802</v>
      </c>
      <c r="AI69" s="71">
        <v>3.4</v>
      </c>
      <c r="AJ69" s="71">
        <f t="shared" si="71"/>
        <v>1.5141621305360833</v>
      </c>
      <c r="AL69" s="67">
        <v>34.799999999999997</v>
      </c>
      <c r="AM69" s="67">
        <v>25.9</v>
      </c>
      <c r="AN69" s="67">
        <f t="shared" si="72"/>
        <v>8.8999999999999986</v>
      </c>
      <c r="AO69" s="70">
        <f t="shared" si="73"/>
        <v>7.9803633130448679</v>
      </c>
      <c r="AP69" s="70">
        <f t="shared" si="74"/>
        <v>17.91963668695513</v>
      </c>
      <c r="AQ69" s="71">
        <f t="shared" si="75"/>
        <v>0.44534180309884819</v>
      </c>
      <c r="AR69" s="67">
        <v>5</v>
      </c>
      <c r="AS69" s="70">
        <f t="shared" si="76"/>
        <v>2.2267090154942411</v>
      </c>
      <c r="AU69" s="70">
        <v>75.7</v>
      </c>
      <c r="AV69" s="70">
        <v>50.4</v>
      </c>
      <c r="AW69" s="70">
        <f t="shared" si="77"/>
        <v>25.300000000000004</v>
      </c>
      <c r="AX69" s="70">
        <f t="shared" si="78"/>
        <v>15.529355636195419</v>
      </c>
      <c r="AY69" s="70">
        <f t="shared" si="79"/>
        <v>34.87064436380458</v>
      </c>
      <c r="AZ69" s="71">
        <f t="shared" si="80"/>
        <v>0.44534180309884819</v>
      </c>
      <c r="BA69" s="70">
        <v>23.4</v>
      </c>
      <c r="BB69" s="70">
        <f t="shared" si="81"/>
        <v>10.420998192513046</v>
      </c>
      <c r="BD69" s="67" t="s">
        <v>16</v>
      </c>
      <c r="BE69" s="64">
        <v>-27.927950348847268</v>
      </c>
      <c r="BF69" s="64">
        <v>0.2048068244899077</v>
      </c>
      <c r="BG69" s="64">
        <v>3.955748883082491</v>
      </c>
      <c r="BH69" s="66">
        <v>0.15476632914503047</v>
      </c>
      <c r="BI69" s="62">
        <v>1.1000000000000001</v>
      </c>
      <c r="BJ69" s="63" t="s">
        <v>302</v>
      </c>
      <c r="BK69" s="64">
        <v>3.3133160122753478</v>
      </c>
      <c r="BL69" s="65">
        <v>0.38013231100111644</v>
      </c>
      <c r="BM69" s="61">
        <v>0.54664726329612112</v>
      </c>
      <c r="BN69" s="66">
        <v>1.1373737559512544E-2</v>
      </c>
      <c r="BO69" s="62">
        <v>1.7</v>
      </c>
      <c r="BP69" s="63" t="s">
        <v>317</v>
      </c>
    </row>
    <row r="70" spans="1:68" ht="14.5" x14ac:dyDescent="0.35">
      <c r="A70" s="67" t="s">
        <v>18</v>
      </c>
      <c r="B70" s="68" t="s">
        <v>56</v>
      </c>
      <c r="C70" s="67" t="str">
        <f t="shared" si="82"/>
        <v>NCL_11_23_G</v>
      </c>
      <c r="D70" s="73">
        <v>45259</v>
      </c>
      <c r="E70" s="73" t="s">
        <v>16</v>
      </c>
      <c r="F70" s="73">
        <v>45544</v>
      </c>
      <c r="H70" s="67" t="str">
        <f t="shared" si="83"/>
        <v>C,N,S</v>
      </c>
      <c r="I70" s="67">
        <v>128.19999999999999</v>
      </c>
      <c r="K70" s="67">
        <v>149.9</v>
      </c>
      <c r="L70" s="67">
        <f t="shared" si="59"/>
        <v>21.700000000000017</v>
      </c>
      <c r="M70" s="67">
        <f t="shared" si="84"/>
        <v>119.7</v>
      </c>
      <c r="O70" s="67">
        <f t="shared" si="60"/>
        <v>25.146198830409354</v>
      </c>
      <c r="P70" s="67">
        <f t="shared" si="61"/>
        <v>4.5586676242262607</v>
      </c>
      <c r="Q70" s="67"/>
      <c r="R70" s="67">
        <f t="shared" si="62"/>
        <v>24.561403508771928</v>
      </c>
      <c r="S70" s="67">
        <f t="shared" si="63"/>
        <v>4.4526520980814643</v>
      </c>
      <c r="T70" s="67"/>
      <c r="U70" s="67">
        <f t="shared" si="64"/>
        <v>50.292397660818708</v>
      </c>
      <c r="V70" s="67">
        <f t="shared" si="65"/>
        <v>9.1173352484525214</v>
      </c>
      <c r="W70" s="67"/>
      <c r="X70" s="71">
        <v>37.799999999999997</v>
      </c>
      <c r="Y70" s="71">
        <v>30.1</v>
      </c>
      <c r="Z70" s="71">
        <f t="shared" si="66"/>
        <v>7.6999999999999957</v>
      </c>
      <c r="AA70" s="71">
        <f t="shared" si="67"/>
        <v>4.5586676242262607</v>
      </c>
      <c r="AB70" s="71">
        <f t="shared" si="68"/>
        <v>25.541332375773742</v>
      </c>
      <c r="AC70" s="71">
        <f t="shared" si="69"/>
        <v>0.1784819819560475</v>
      </c>
      <c r="AD70" s="71">
        <v>18.8</v>
      </c>
      <c r="AE70" s="71">
        <f t="shared" si="57"/>
        <v>3.3554612607736933</v>
      </c>
      <c r="AF70" s="71">
        <f t="shared" si="58"/>
        <v>15.444538739226306</v>
      </c>
      <c r="AG70" s="71">
        <v>20.2</v>
      </c>
      <c r="AH70" s="71">
        <f t="shared" si="70"/>
        <v>0.1784819819560475</v>
      </c>
      <c r="AI70" s="71">
        <v>4.3</v>
      </c>
      <c r="AJ70" s="71">
        <f t="shared" si="71"/>
        <v>0.76747252241100428</v>
      </c>
      <c r="AL70" s="67">
        <v>37.9</v>
      </c>
      <c r="AM70" s="67">
        <v>29.4</v>
      </c>
      <c r="AN70" s="67">
        <f t="shared" si="72"/>
        <v>8.5</v>
      </c>
      <c r="AO70" s="70">
        <f t="shared" si="73"/>
        <v>4.4526520980814643</v>
      </c>
      <c r="AP70" s="70">
        <f t="shared" si="74"/>
        <v>24.947347901918533</v>
      </c>
      <c r="AQ70" s="71">
        <f t="shared" si="75"/>
        <v>0.17848198195604756</v>
      </c>
      <c r="AR70" s="67">
        <v>7.7</v>
      </c>
      <c r="AS70" s="70">
        <f t="shared" si="76"/>
        <v>1.3743112610615662</v>
      </c>
      <c r="AU70" s="70">
        <v>75.900000000000006</v>
      </c>
      <c r="AV70" s="70">
        <v>60.2</v>
      </c>
      <c r="AW70" s="70">
        <f t="shared" si="77"/>
        <v>15.700000000000003</v>
      </c>
      <c r="AX70" s="70">
        <f t="shared" si="78"/>
        <v>9.1173352484525214</v>
      </c>
      <c r="AY70" s="70">
        <f t="shared" si="79"/>
        <v>51.082664751547483</v>
      </c>
      <c r="AZ70" s="71">
        <f t="shared" si="80"/>
        <v>0.1784819819560475</v>
      </c>
      <c r="BA70" s="70">
        <v>28.4</v>
      </c>
      <c r="BB70" s="70">
        <f t="shared" si="81"/>
        <v>5.0688882875517489</v>
      </c>
      <c r="BD70" s="67" t="s">
        <v>16</v>
      </c>
      <c r="BE70" s="64">
        <v>-26.368475725533138</v>
      </c>
      <c r="BF70" s="64">
        <v>0.15125432899070904</v>
      </c>
      <c r="BG70" s="64">
        <v>3.3999818653115814</v>
      </c>
      <c r="BH70" s="66">
        <v>4.818895495641571E-2</v>
      </c>
      <c r="BI70" s="62">
        <v>0.9</v>
      </c>
      <c r="BJ70" s="63" t="s">
        <v>299</v>
      </c>
      <c r="BN70" s="66"/>
      <c r="BO70" s="62">
        <v>1.3</v>
      </c>
      <c r="BP70" s="63" t="s">
        <v>331</v>
      </c>
    </row>
    <row r="71" spans="1:68" ht="14.5" x14ac:dyDescent="0.35">
      <c r="A71" s="67" t="s">
        <v>18</v>
      </c>
      <c r="B71" s="68" t="s">
        <v>61</v>
      </c>
      <c r="C71" s="67" t="str">
        <f t="shared" si="82"/>
        <v>NCL_3-24_G</v>
      </c>
      <c r="D71" s="73">
        <v>45358</v>
      </c>
      <c r="E71" s="73" t="s">
        <v>16</v>
      </c>
      <c r="H71" s="67" t="str">
        <f t="shared" si="83"/>
        <v>C,N,S</v>
      </c>
      <c r="I71" s="67">
        <v>133.5</v>
      </c>
      <c r="K71" s="67">
        <v>151</v>
      </c>
      <c r="L71" s="67">
        <f t="shared" si="59"/>
        <v>17.5</v>
      </c>
      <c r="M71" s="67">
        <f t="shared" si="84"/>
        <v>112.19999999999999</v>
      </c>
      <c r="O71" s="67">
        <f t="shared" si="60"/>
        <v>26.024955436720141</v>
      </c>
      <c r="P71" s="67">
        <f t="shared" si="61"/>
        <v>4.0591508034100041</v>
      </c>
      <c r="Q71" s="67"/>
      <c r="R71" s="67">
        <f t="shared" si="62"/>
        <v>25.133689839572192</v>
      </c>
      <c r="S71" s="67">
        <f t="shared" si="63"/>
        <v>3.9201387895945934</v>
      </c>
      <c r="T71" s="67"/>
      <c r="U71" s="67">
        <f t="shared" si="64"/>
        <v>48.841354723707667</v>
      </c>
      <c r="V71" s="67">
        <f t="shared" si="65"/>
        <v>7.61785835708453</v>
      </c>
      <c r="W71" s="67"/>
      <c r="X71" s="71">
        <v>38.5</v>
      </c>
      <c r="Y71" s="71">
        <v>29.2</v>
      </c>
      <c r="Z71" s="71">
        <f t="shared" si="66"/>
        <v>9.3000000000000007</v>
      </c>
      <c r="AA71" s="71">
        <f t="shared" si="67"/>
        <v>4.0591508034100041</v>
      </c>
      <c r="AB71" s="71">
        <f t="shared" si="68"/>
        <v>25.140849196589997</v>
      </c>
      <c r="AC71" s="71">
        <f t="shared" si="69"/>
        <v>0.16145639201242937</v>
      </c>
      <c r="AD71" s="71">
        <v>18.399999999999999</v>
      </c>
      <c r="AE71" s="71">
        <f t="shared" si="57"/>
        <v>2.9707976130286999</v>
      </c>
      <c r="AF71" s="71">
        <f t="shared" si="58"/>
        <v>15.429202386971298</v>
      </c>
      <c r="AG71" s="71">
        <v>18.600000000000001</v>
      </c>
      <c r="AH71" s="71">
        <f t="shared" si="70"/>
        <v>0.16145639201242937</v>
      </c>
      <c r="AI71" s="71">
        <v>5.3</v>
      </c>
      <c r="AJ71" s="71">
        <f t="shared" si="71"/>
        <v>0.85571887766587562</v>
      </c>
      <c r="AL71" s="67">
        <v>37.5</v>
      </c>
      <c r="AM71" s="67">
        <v>28.2</v>
      </c>
      <c r="AN71" s="67">
        <f t="shared" si="72"/>
        <v>9.3000000000000007</v>
      </c>
      <c r="AO71" s="70">
        <f t="shared" si="73"/>
        <v>3.9201387895945934</v>
      </c>
      <c r="AP71" s="70">
        <f t="shared" si="74"/>
        <v>24.279861210405407</v>
      </c>
      <c r="AQ71" s="71">
        <f t="shared" si="75"/>
        <v>0.16145639201242937</v>
      </c>
      <c r="AR71" s="67">
        <v>8</v>
      </c>
      <c r="AS71" s="70">
        <f t="shared" si="76"/>
        <v>1.2916511360994349</v>
      </c>
      <c r="AU71" s="70">
        <v>71.3</v>
      </c>
      <c r="AV71" s="70">
        <v>54.8</v>
      </c>
      <c r="AW71" s="70">
        <f t="shared" si="77"/>
        <v>16.5</v>
      </c>
      <c r="AX71" s="70">
        <f t="shared" si="78"/>
        <v>7.61785835708453</v>
      </c>
      <c r="AY71" s="70">
        <f t="shared" si="79"/>
        <v>47.182141642915468</v>
      </c>
      <c r="AZ71" s="71">
        <f t="shared" si="80"/>
        <v>0.16145639201242939</v>
      </c>
      <c r="BA71" s="70">
        <v>30.9</v>
      </c>
      <c r="BB71" s="70">
        <f t="shared" si="81"/>
        <v>4.9890025131840678</v>
      </c>
      <c r="BD71" s="67" t="s">
        <v>16</v>
      </c>
      <c r="BE71" s="64">
        <v>-26.372329826564325</v>
      </c>
      <c r="BF71" s="64">
        <v>0.13923983387712321</v>
      </c>
      <c r="BG71" s="64">
        <v>6.8526281563200344</v>
      </c>
      <c r="BH71" s="66">
        <v>0.21722600728856697</v>
      </c>
      <c r="BI71" s="62">
        <v>1</v>
      </c>
      <c r="BK71" s="64">
        <v>2.9947437296258732</v>
      </c>
      <c r="BL71" s="65">
        <v>0.25386685677603432</v>
      </c>
      <c r="BM71" s="61">
        <v>0.67432343060927591</v>
      </c>
      <c r="BN71" s="66">
        <v>1.8750133438573076E-2</v>
      </c>
      <c r="BO71" s="62">
        <v>1.5</v>
      </c>
      <c r="BP71" s="63" t="s">
        <v>299</v>
      </c>
    </row>
    <row r="72" spans="1:68" ht="14.5" x14ac:dyDescent="0.35">
      <c r="A72" s="67" t="s">
        <v>21</v>
      </c>
      <c r="B72" s="68" t="s">
        <v>56</v>
      </c>
      <c r="C72" s="67" t="str">
        <f t="shared" si="82"/>
        <v>OL_11_23_G</v>
      </c>
      <c r="D72" s="73">
        <v>45259</v>
      </c>
      <c r="E72" s="73" t="s">
        <v>16</v>
      </c>
      <c r="F72" s="73">
        <v>45544</v>
      </c>
      <c r="H72" s="67" t="str">
        <f t="shared" si="83"/>
        <v>C,N,S</v>
      </c>
      <c r="I72" s="67">
        <v>128.6</v>
      </c>
      <c r="K72" s="67">
        <v>154.6</v>
      </c>
      <c r="L72" s="67">
        <f t="shared" si="59"/>
        <v>26</v>
      </c>
      <c r="M72" s="67">
        <f t="shared" si="84"/>
        <v>109.7</v>
      </c>
      <c r="O72" s="67">
        <f t="shared" si="60"/>
        <v>28.71467639015497</v>
      </c>
      <c r="P72" s="67">
        <f t="shared" si="61"/>
        <v>6.8056662364998113</v>
      </c>
      <c r="Q72" s="67"/>
      <c r="R72" s="67">
        <f t="shared" si="62"/>
        <v>24.794895168641748</v>
      </c>
      <c r="S72" s="67">
        <f t="shared" si="63"/>
        <v>5.8766387819934867</v>
      </c>
      <c r="T72" s="67"/>
      <c r="U72" s="67">
        <f t="shared" si="64"/>
        <v>46.490428441203278</v>
      </c>
      <c r="V72" s="67">
        <f t="shared" si="65"/>
        <v>11.018697716237787</v>
      </c>
      <c r="W72" s="67"/>
      <c r="X72" s="71">
        <v>38.4</v>
      </c>
      <c r="Y72" s="71">
        <v>31.5</v>
      </c>
      <c r="Z72" s="71">
        <f t="shared" si="66"/>
        <v>6.8999999999999986</v>
      </c>
      <c r="AA72" s="71">
        <f t="shared" si="67"/>
        <v>6.8056662364998113</v>
      </c>
      <c r="AB72" s="71">
        <f t="shared" si="68"/>
        <v>24.69433376350019</v>
      </c>
      <c r="AC72" s="71">
        <f t="shared" si="69"/>
        <v>0.27559626842652557</v>
      </c>
      <c r="AD72" s="71">
        <v>14.6</v>
      </c>
      <c r="AE72" s="71">
        <f t="shared" si="57"/>
        <v>4.0237055190272732</v>
      </c>
      <c r="AF72" s="71">
        <f t="shared" si="58"/>
        <v>10.576294480972727</v>
      </c>
      <c r="AG72" s="71">
        <v>15</v>
      </c>
      <c r="AH72" s="71">
        <f t="shared" si="70"/>
        <v>0.27559626842652557</v>
      </c>
      <c r="AI72" s="71">
        <v>4.2</v>
      </c>
      <c r="AJ72" s="71">
        <f t="shared" si="71"/>
        <v>1.1575043273914074</v>
      </c>
      <c r="AL72" s="67">
        <v>37.9</v>
      </c>
      <c r="AM72" s="67">
        <v>27.2</v>
      </c>
      <c r="AN72" s="67">
        <f t="shared" si="72"/>
        <v>10.7</v>
      </c>
      <c r="AO72" s="70">
        <f t="shared" si="73"/>
        <v>5.8766387819934867</v>
      </c>
      <c r="AP72" s="70">
        <f t="shared" si="74"/>
        <v>21.323361218006511</v>
      </c>
      <c r="AQ72" s="71">
        <f t="shared" si="75"/>
        <v>0.27559626842652551</v>
      </c>
      <c r="AR72" s="67">
        <v>6</v>
      </c>
      <c r="AS72" s="70">
        <f t="shared" si="76"/>
        <v>1.6535776105591531</v>
      </c>
      <c r="AU72" s="70">
        <v>72.3</v>
      </c>
      <c r="AV72" s="70">
        <v>51</v>
      </c>
      <c r="AW72" s="70">
        <f t="shared" si="77"/>
        <v>21.299999999999997</v>
      </c>
      <c r="AX72" s="70">
        <f t="shared" si="78"/>
        <v>11.018697716237787</v>
      </c>
      <c r="AY72" s="70">
        <f t="shared" si="79"/>
        <v>39.981302283762211</v>
      </c>
      <c r="AZ72" s="71">
        <f t="shared" si="80"/>
        <v>0.27559626842652546</v>
      </c>
      <c r="BA72" s="70">
        <v>28.2</v>
      </c>
      <c r="BB72" s="70">
        <f t="shared" si="81"/>
        <v>7.7718147696280173</v>
      </c>
      <c r="BD72" s="67" t="s">
        <v>16</v>
      </c>
      <c r="BE72" s="64">
        <v>-29.034123612100988</v>
      </c>
      <c r="BF72" s="64">
        <v>0.22929148942683436</v>
      </c>
      <c r="BG72" s="64">
        <v>2.8025343507276776</v>
      </c>
      <c r="BH72" s="66">
        <v>3.9372040965797363E-2</v>
      </c>
      <c r="BI72" s="62">
        <v>1.1000000000000001</v>
      </c>
      <c r="BJ72" s="63" t="s">
        <v>302</v>
      </c>
      <c r="BN72" s="66"/>
      <c r="BO72" s="62">
        <v>1.4</v>
      </c>
      <c r="BP72" s="63" t="s">
        <v>332</v>
      </c>
    </row>
    <row r="73" spans="1:68" ht="14.5" x14ac:dyDescent="0.35">
      <c r="A73" s="67" t="s">
        <v>21</v>
      </c>
      <c r="B73" s="68" t="s">
        <v>61</v>
      </c>
      <c r="C73" s="67" t="str">
        <f t="shared" si="82"/>
        <v>OL_3-24_G</v>
      </c>
      <c r="D73" s="73">
        <v>45358</v>
      </c>
      <c r="E73" s="73" t="s">
        <v>16</v>
      </c>
      <c r="F73" s="73">
        <v>45544</v>
      </c>
      <c r="H73" s="67" t="str">
        <f t="shared" si="83"/>
        <v>C,N,S</v>
      </c>
      <c r="I73" s="67">
        <v>129.9</v>
      </c>
      <c r="K73" s="67">
        <v>161.30000000000001</v>
      </c>
      <c r="L73" s="67">
        <f t="shared" si="59"/>
        <v>31.400000000000006</v>
      </c>
      <c r="M73" s="67">
        <f t="shared" si="84"/>
        <v>140.60000000000002</v>
      </c>
      <c r="O73" s="67">
        <f t="shared" si="60"/>
        <v>25.248933143669984</v>
      </c>
      <c r="P73" s="67">
        <f t="shared" si="61"/>
        <v>5.6388086821567383</v>
      </c>
      <c r="Q73" s="67"/>
      <c r="R73" s="67">
        <f t="shared" si="62"/>
        <v>24.679943100995729</v>
      </c>
      <c r="S73" s="67">
        <f t="shared" si="63"/>
        <v>5.5117369372067282</v>
      </c>
      <c r="T73" s="67"/>
      <c r="U73" s="67">
        <f t="shared" si="64"/>
        <v>50.071123755334277</v>
      </c>
      <c r="V73" s="67">
        <f t="shared" si="65"/>
        <v>11.182313555600969</v>
      </c>
      <c r="W73" s="67"/>
      <c r="X73" s="71">
        <v>43.7</v>
      </c>
      <c r="Y73" s="71">
        <v>35.5</v>
      </c>
      <c r="Z73" s="71">
        <f t="shared" si="66"/>
        <v>8.2000000000000028</v>
      </c>
      <c r="AA73" s="71">
        <f t="shared" si="67"/>
        <v>5.6388086821567383</v>
      </c>
      <c r="AB73" s="71">
        <f t="shared" si="68"/>
        <v>29.861191317843261</v>
      </c>
      <c r="AC73" s="71">
        <f t="shared" si="69"/>
        <v>0.18883401610261019</v>
      </c>
      <c r="AD73" s="71">
        <v>16.3</v>
      </c>
      <c r="AE73" s="71">
        <f t="shared" si="57"/>
        <v>3.0779944624725464</v>
      </c>
      <c r="AF73" s="71">
        <f t="shared" si="58"/>
        <v>13.222005537527455</v>
      </c>
      <c r="AG73" s="71">
        <v>23.2</v>
      </c>
      <c r="AH73" s="71">
        <f t="shared" si="70"/>
        <v>0.18883401610261019</v>
      </c>
      <c r="AI73" s="71">
        <v>3</v>
      </c>
      <c r="AJ73" s="71">
        <f t="shared" si="71"/>
        <v>0.56650204830783057</v>
      </c>
      <c r="AL73" s="67">
        <v>39.6</v>
      </c>
      <c r="AM73" s="67">
        <v>34.700000000000003</v>
      </c>
      <c r="AN73" s="67">
        <f t="shared" si="72"/>
        <v>4.8999999999999986</v>
      </c>
      <c r="AO73" s="70">
        <f t="shared" si="73"/>
        <v>5.5117369372067282</v>
      </c>
      <c r="AP73" s="70">
        <f t="shared" si="74"/>
        <v>29.188263062793276</v>
      </c>
      <c r="AQ73" s="71">
        <f t="shared" si="75"/>
        <v>0.18883401610261022</v>
      </c>
      <c r="AR73" s="67">
        <v>3.8</v>
      </c>
      <c r="AS73" s="70">
        <f t="shared" si="76"/>
        <v>0.71756926118991882</v>
      </c>
      <c r="AU73" s="70">
        <v>97.7</v>
      </c>
      <c r="AV73" s="70">
        <v>70.400000000000006</v>
      </c>
      <c r="AW73" s="70">
        <f t="shared" si="77"/>
        <v>27.299999999999997</v>
      </c>
      <c r="AX73" s="70">
        <f t="shared" si="78"/>
        <v>11.182313555600969</v>
      </c>
      <c r="AY73" s="70">
        <f t="shared" si="79"/>
        <v>59.217686444399035</v>
      </c>
      <c r="AZ73" s="71">
        <f t="shared" si="80"/>
        <v>0.18883401610261019</v>
      </c>
      <c r="BA73" s="70">
        <v>13</v>
      </c>
      <c r="BB73" s="70">
        <f t="shared" si="81"/>
        <v>2.4548422093339326</v>
      </c>
      <c r="BD73" s="67" t="s">
        <v>16</v>
      </c>
      <c r="BE73" s="64">
        <v>-28.56733096605733</v>
      </c>
      <c r="BF73" s="64">
        <v>0.14187376153132852</v>
      </c>
      <c r="BG73" s="64">
        <v>3.2136933771773548</v>
      </c>
      <c r="BH73" s="66">
        <v>2.435634294943842E-2</v>
      </c>
      <c r="BI73" s="62">
        <v>0.9</v>
      </c>
      <c r="BJ73" s="63" t="s">
        <v>299</v>
      </c>
      <c r="BN73" s="66"/>
      <c r="BO73" s="62">
        <v>1.7</v>
      </c>
      <c r="BP73" s="63" t="s">
        <v>333</v>
      </c>
    </row>
    <row r="74" spans="1:68" ht="14.5" x14ac:dyDescent="0.35">
      <c r="A74" s="67" t="s">
        <v>21</v>
      </c>
      <c r="B74" s="68" t="s">
        <v>14</v>
      </c>
      <c r="C74" s="67" t="str">
        <f t="shared" si="82"/>
        <v>OL_9-23_G</v>
      </c>
      <c r="D74" s="73">
        <v>45184</v>
      </c>
      <c r="E74" s="73" t="s">
        <v>16</v>
      </c>
      <c r="F74" s="73">
        <v>45538</v>
      </c>
      <c r="H74" s="67" t="str">
        <f t="shared" si="83"/>
        <v>C,N,S</v>
      </c>
      <c r="I74" s="67">
        <v>128.5</v>
      </c>
      <c r="K74" s="67">
        <v>161.69999999999999</v>
      </c>
      <c r="L74" s="67">
        <f t="shared" si="59"/>
        <v>33.199999999999989</v>
      </c>
      <c r="M74" s="67">
        <f t="shared" si="84"/>
        <v>127.6</v>
      </c>
      <c r="O74" s="67">
        <f t="shared" si="60"/>
        <v>23.981191222570537</v>
      </c>
      <c r="P74" s="67">
        <f t="shared" si="61"/>
        <v>6.2396202867503261</v>
      </c>
      <c r="Q74" s="67"/>
      <c r="R74" s="67">
        <f t="shared" si="62"/>
        <v>23.510971786833856</v>
      </c>
      <c r="S74" s="67">
        <f t="shared" si="63"/>
        <v>6.1172747909316909</v>
      </c>
      <c r="T74" s="67"/>
      <c r="U74" s="67">
        <f t="shared" si="64"/>
        <v>52.507836990595614</v>
      </c>
      <c r="V74" s="67">
        <f t="shared" si="65"/>
        <v>13.661913699747444</v>
      </c>
      <c r="W74" s="67"/>
      <c r="X74" s="71">
        <v>45.4</v>
      </c>
      <c r="Y74" s="71">
        <v>30.6</v>
      </c>
      <c r="Z74" s="71">
        <f t="shared" si="66"/>
        <v>14.799999999999997</v>
      </c>
      <c r="AA74" s="71">
        <f t="shared" si="67"/>
        <v>6.2396202867503261</v>
      </c>
      <c r="AB74" s="71">
        <f t="shared" si="68"/>
        <v>24.360379713249674</v>
      </c>
      <c r="AC74" s="71">
        <f t="shared" si="69"/>
        <v>0.2561380553258199</v>
      </c>
      <c r="AD74" s="71">
        <v>23.4</v>
      </c>
      <c r="AE74" s="71">
        <f t="shared" si="57"/>
        <v>5.9936304946241856</v>
      </c>
      <c r="AF74" s="71">
        <f t="shared" si="58"/>
        <v>17.406369505375814</v>
      </c>
      <c r="AG74" s="71">
        <v>24.5</v>
      </c>
      <c r="AH74" s="71">
        <f t="shared" si="70"/>
        <v>0.2561380553258199</v>
      </c>
      <c r="AI74" s="71">
        <v>2.8</v>
      </c>
      <c r="AJ74" s="71">
        <f t="shared" si="71"/>
        <v>0.71718655491229566</v>
      </c>
      <c r="AL74" s="67">
        <v>37.799999999999997</v>
      </c>
      <c r="AM74" s="67">
        <v>30</v>
      </c>
      <c r="AN74" s="67">
        <f t="shared" si="72"/>
        <v>7.7999999999999972</v>
      </c>
      <c r="AO74" s="70">
        <f t="shared" si="73"/>
        <v>6.1172747909316909</v>
      </c>
      <c r="AP74" s="70">
        <f t="shared" si="74"/>
        <v>23.882725209068308</v>
      </c>
      <c r="AQ74" s="71">
        <f t="shared" si="75"/>
        <v>0.25613805532581985</v>
      </c>
      <c r="AR74" s="67">
        <v>3.4</v>
      </c>
      <c r="AS74" s="70">
        <f t="shared" si="76"/>
        <v>0.87086938810778747</v>
      </c>
      <c r="AU74" s="70">
        <v>87.6</v>
      </c>
      <c r="AV74" s="70">
        <v>67</v>
      </c>
      <c r="AW74" s="70">
        <f t="shared" si="77"/>
        <v>20.599999999999994</v>
      </c>
      <c r="AX74" s="70">
        <f t="shared" si="78"/>
        <v>13.661913699747444</v>
      </c>
      <c r="AY74" s="70">
        <f t="shared" si="79"/>
        <v>53.338086300252556</v>
      </c>
      <c r="AZ74" s="71">
        <f t="shared" si="80"/>
        <v>0.25613805532581985</v>
      </c>
      <c r="BA74" s="70">
        <v>16.7</v>
      </c>
      <c r="BB74" s="70">
        <f t="shared" si="81"/>
        <v>4.2775055239411914</v>
      </c>
      <c r="BD74" s="67" t="s">
        <v>16</v>
      </c>
      <c r="BE74" s="64">
        <v>-28.553914082300068</v>
      </c>
      <c r="BF74" s="64">
        <v>0.20843537401498283</v>
      </c>
      <c r="BG74" s="64">
        <v>3.4692697057126569</v>
      </c>
      <c r="BH74" s="66">
        <v>0.22129656365775727</v>
      </c>
      <c r="BI74" s="62">
        <v>0.9</v>
      </c>
      <c r="BJ74" s="63" t="s">
        <v>302</v>
      </c>
      <c r="BO74" s="62">
        <v>1.3</v>
      </c>
      <c r="BP74" s="63" t="s">
        <v>334</v>
      </c>
    </row>
    <row r="75" spans="1:68" ht="14.5" x14ac:dyDescent="0.35">
      <c r="A75" s="67" t="s">
        <v>13</v>
      </c>
      <c r="B75" s="68" t="s">
        <v>56</v>
      </c>
      <c r="C75" s="67" t="str">
        <f t="shared" si="82"/>
        <v>P37_11_23_G</v>
      </c>
      <c r="D75" s="73">
        <v>45259</v>
      </c>
      <c r="E75" s="73" t="s">
        <v>16</v>
      </c>
      <c r="F75" s="73">
        <v>45544</v>
      </c>
      <c r="H75" s="67" t="str">
        <f t="shared" si="83"/>
        <v>C,N,S</v>
      </c>
      <c r="I75" s="67">
        <v>130.4</v>
      </c>
      <c r="K75" s="67">
        <v>179.9</v>
      </c>
      <c r="L75" s="67">
        <f t="shared" si="59"/>
        <v>49.5</v>
      </c>
      <c r="M75" s="67">
        <f t="shared" si="84"/>
        <v>135.30000000000001</v>
      </c>
      <c r="O75" s="67">
        <f t="shared" si="60"/>
        <v>27.124907612712491</v>
      </c>
      <c r="P75" s="67">
        <f t="shared" si="61"/>
        <v>9.92374668757774</v>
      </c>
      <c r="Q75" s="67"/>
      <c r="R75" s="67">
        <f t="shared" si="62"/>
        <v>26.164079822616404</v>
      </c>
      <c r="S75" s="67">
        <f t="shared" si="63"/>
        <v>9.572224325347463</v>
      </c>
      <c r="T75" s="67"/>
      <c r="U75" s="67">
        <f t="shared" si="64"/>
        <v>46.711012564671101</v>
      </c>
      <c r="V75" s="67">
        <f t="shared" si="65"/>
        <v>17.08939484073333</v>
      </c>
      <c r="W75" s="67"/>
      <c r="X75" s="71">
        <v>39.200000000000003</v>
      </c>
      <c r="Y75" s="71">
        <v>36.700000000000003</v>
      </c>
      <c r="Z75" s="71">
        <f t="shared" si="66"/>
        <v>2.5</v>
      </c>
      <c r="AA75" s="71">
        <f t="shared" si="67"/>
        <v>9.92374668757774</v>
      </c>
      <c r="AB75" s="71">
        <f t="shared" si="68"/>
        <v>26.776253312422263</v>
      </c>
      <c r="AC75" s="71">
        <f t="shared" si="69"/>
        <v>0.37061744866948332</v>
      </c>
      <c r="AD75" s="71">
        <v>18.5</v>
      </c>
      <c r="AE75" s="71">
        <f t="shared" si="57"/>
        <v>6.8564228003854417</v>
      </c>
      <c r="AF75" s="71">
        <f t="shared" si="58"/>
        <v>11.643577199614558</v>
      </c>
      <c r="AG75" s="71">
        <v>19.899999999999999</v>
      </c>
      <c r="AH75" s="71">
        <f t="shared" si="70"/>
        <v>0.37061744866948332</v>
      </c>
      <c r="AI75" s="71">
        <v>4.2</v>
      </c>
      <c r="AJ75" s="71">
        <f t="shared" si="71"/>
        <v>1.55659328441183</v>
      </c>
      <c r="AL75" s="67">
        <v>43.2</v>
      </c>
      <c r="AM75" s="67">
        <v>35.4</v>
      </c>
      <c r="AN75" s="67">
        <f t="shared" si="72"/>
        <v>7.8000000000000043</v>
      </c>
      <c r="AO75" s="70">
        <f t="shared" si="73"/>
        <v>9.572224325347463</v>
      </c>
      <c r="AP75" s="70">
        <f t="shared" si="74"/>
        <v>25.827775674652536</v>
      </c>
      <c r="AQ75" s="71">
        <f t="shared" si="75"/>
        <v>0.37061744866948321</v>
      </c>
      <c r="AR75" s="67">
        <v>6.4</v>
      </c>
      <c r="AS75" s="70">
        <f t="shared" si="76"/>
        <v>2.3719516714846924</v>
      </c>
      <c r="AU75" s="70">
        <v>80.900000000000006</v>
      </c>
      <c r="AV75" s="70">
        <v>63.2</v>
      </c>
      <c r="AW75" s="70">
        <f t="shared" si="77"/>
        <v>17.700000000000003</v>
      </c>
      <c r="AX75" s="70">
        <f t="shared" si="78"/>
        <v>17.08939484073333</v>
      </c>
      <c r="AY75" s="70">
        <f t="shared" si="79"/>
        <v>46.110605159266669</v>
      </c>
      <c r="AZ75" s="71">
        <f t="shared" si="80"/>
        <v>0.37061744866948337</v>
      </c>
      <c r="BA75" s="70">
        <v>20.8</v>
      </c>
      <c r="BB75" s="70">
        <f t="shared" si="81"/>
        <v>7.7088429323252541</v>
      </c>
      <c r="BD75" s="67" t="s">
        <v>16</v>
      </c>
      <c r="BE75" s="64">
        <v>-28.911577163701708</v>
      </c>
      <c r="BF75" s="64">
        <v>0.13995817644840089</v>
      </c>
      <c r="BG75" s="64">
        <v>2.5420471282044499</v>
      </c>
      <c r="BH75" s="66">
        <v>0.31273320387283232</v>
      </c>
      <c r="BI75" s="62">
        <v>0.9</v>
      </c>
      <c r="BN75" s="66"/>
      <c r="BO75" s="62">
        <v>1.4</v>
      </c>
      <c r="BP75" s="63" t="s">
        <v>335</v>
      </c>
    </row>
    <row r="76" spans="1:68" ht="14.5" x14ac:dyDescent="0.35">
      <c r="A76" s="67" t="s">
        <v>13</v>
      </c>
      <c r="B76" s="68" t="s">
        <v>58</v>
      </c>
      <c r="C76" s="67" t="str">
        <f t="shared" si="82"/>
        <v>P37_7-24_G</v>
      </c>
      <c r="D76" s="73">
        <v>45476</v>
      </c>
      <c r="E76" s="73" t="s">
        <v>16</v>
      </c>
      <c r="F76" s="73"/>
      <c r="H76" s="67" t="str">
        <f t="shared" si="83"/>
        <v>C,N,S</v>
      </c>
      <c r="I76" s="67">
        <v>133.69999999999999</v>
      </c>
      <c r="K76" s="67">
        <v>172.1</v>
      </c>
      <c r="L76" s="67">
        <f t="shared" si="59"/>
        <v>38.400000000000006</v>
      </c>
      <c r="M76" s="67">
        <f t="shared" si="84"/>
        <v>104.69999999999999</v>
      </c>
      <c r="O76" s="67">
        <f t="shared" si="60"/>
        <v>25.40592168099332</v>
      </c>
      <c r="P76" s="67">
        <f t="shared" si="61"/>
        <v>9.3179311609373805</v>
      </c>
      <c r="Q76" s="67"/>
      <c r="R76" s="67">
        <f t="shared" si="62"/>
        <v>24.068767908309457</v>
      </c>
      <c r="S76" s="67">
        <f t="shared" si="63"/>
        <v>8.8275137314143599</v>
      </c>
      <c r="T76" s="67"/>
      <c r="U76" s="67">
        <f t="shared" si="64"/>
        <v>50.52531041069723</v>
      </c>
      <c r="V76" s="67">
        <f t="shared" si="65"/>
        <v>18.530772872691252</v>
      </c>
      <c r="W76" s="67"/>
      <c r="X76" s="71">
        <v>35.700000000000003</v>
      </c>
      <c r="Y76" s="71">
        <v>26.6</v>
      </c>
      <c r="Z76" s="71">
        <f t="shared" si="66"/>
        <v>9.1000000000000014</v>
      </c>
      <c r="AA76" s="71">
        <f t="shared" si="67"/>
        <v>9.3179311609373805</v>
      </c>
      <c r="AB76" s="71">
        <f t="shared" si="68"/>
        <v>17.282068839062621</v>
      </c>
      <c r="AC76" s="71">
        <f t="shared" si="69"/>
        <v>0.53916757580991004</v>
      </c>
      <c r="AD76" s="71">
        <v>20.8</v>
      </c>
      <c r="AE76" s="71">
        <f t="shared" ref="AE76:AE107" si="85">AD76*AC76</f>
        <v>11.214685576846129</v>
      </c>
      <c r="AF76" s="71">
        <f t="shared" ref="AF76:AF107" si="86">AD76-AE76</f>
        <v>9.5853144231538714</v>
      </c>
      <c r="AG76" s="71">
        <v>22.2</v>
      </c>
      <c r="AH76" s="71">
        <f t="shared" si="70"/>
        <v>0.53916757580991004</v>
      </c>
      <c r="AI76" s="71">
        <v>5.2</v>
      </c>
      <c r="AJ76" s="71">
        <f t="shared" si="71"/>
        <v>2.8036713942115323</v>
      </c>
      <c r="AL76" s="67">
        <v>36.799999999999997</v>
      </c>
      <c r="AM76" s="67">
        <v>25.2</v>
      </c>
      <c r="AN76" s="67">
        <f t="shared" si="72"/>
        <v>11.599999999999998</v>
      </c>
      <c r="AO76" s="70">
        <f t="shared" si="73"/>
        <v>8.8275137314143599</v>
      </c>
      <c r="AP76" s="70">
        <f t="shared" si="74"/>
        <v>16.372486268585639</v>
      </c>
      <c r="AQ76" s="71">
        <f t="shared" si="75"/>
        <v>0.53916757580991015</v>
      </c>
      <c r="AR76" s="67">
        <v>8.3000000000000007</v>
      </c>
      <c r="AS76" s="70">
        <f t="shared" si="76"/>
        <v>4.4750908792222548</v>
      </c>
      <c r="AU76" s="70">
        <v>71.2</v>
      </c>
      <c r="AV76" s="70">
        <v>52.9</v>
      </c>
      <c r="AW76" s="70">
        <f t="shared" si="77"/>
        <v>18.300000000000004</v>
      </c>
      <c r="AX76" s="70">
        <f t="shared" si="78"/>
        <v>18.530772872691252</v>
      </c>
      <c r="AY76" s="70">
        <f t="shared" si="79"/>
        <v>34.369227127308747</v>
      </c>
      <c r="AZ76" s="71">
        <f t="shared" si="80"/>
        <v>0.53916757580990993</v>
      </c>
      <c r="BA76" s="70">
        <v>33</v>
      </c>
      <c r="BB76" s="70">
        <f t="shared" si="81"/>
        <v>17.792530001727027</v>
      </c>
      <c r="BD76" s="67" t="s">
        <v>16</v>
      </c>
      <c r="BE76" s="64">
        <v>-28.145525062886861</v>
      </c>
      <c r="BF76" s="64">
        <v>0.14173003662676451</v>
      </c>
      <c r="BG76" s="64">
        <v>2.5695396848591452</v>
      </c>
      <c r="BH76" s="66">
        <v>2.5281397643988665E-2</v>
      </c>
      <c r="BI76" s="62">
        <v>0.9</v>
      </c>
      <c r="BJ76" s="63" t="s">
        <v>299</v>
      </c>
      <c r="BN76" s="66"/>
      <c r="BO76" s="62">
        <v>1.8</v>
      </c>
      <c r="BP76" s="63" t="s">
        <v>336</v>
      </c>
    </row>
    <row r="77" spans="1:68" ht="14.5" x14ac:dyDescent="0.35">
      <c r="A77" s="67" t="s">
        <v>22</v>
      </c>
      <c r="B77" s="68" t="s">
        <v>56</v>
      </c>
      <c r="C77" s="67" t="str">
        <f t="shared" si="82"/>
        <v>R127_11_23_G</v>
      </c>
      <c r="D77" s="73">
        <v>45259</v>
      </c>
      <c r="E77" s="73" t="s">
        <v>16</v>
      </c>
      <c r="F77" s="73">
        <v>45544</v>
      </c>
      <c r="H77" s="67" t="str">
        <f t="shared" si="83"/>
        <v>C,N,S</v>
      </c>
      <c r="I77" s="67">
        <v>129.9</v>
      </c>
      <c r="K77" s="67">
        <v>159.5</v>
      </c>
      <c r="L77" s="67">
        <f t="shared" si="59"/>
        <v>29.599999999999994</v>
      </c>
      <c r="M77" s="67">
        <f t="shared" si="84"/>
        <v>138</v>
      </c>
      <c r="O77" s="67">
        <f t="shared" si="60"/>
        <v>25.144927536231886</v>
      </c>
      <c r="P77" s="67">
        <f t="shared" si="61"/>
        <v>5.3934047469019104</v>
      </c>
      <c r="Q77" s="67"/>
      <c r="R77" s="67">
        <f t="shared" si="62"/>
        <v>25.79710144927536</v>
      </c>
      <c r="S77" s="67">
        <f t="shared" si="63"/>
        <v>5.533291325351815</v>
      </c>
      <c r="T77" s="67"/>
      <c r="U77" s="67">
        <f t="shared" si="64"/>
        <v>49.057971014492757</v>
      </c>
      <c r="V77" s="67">
        <f t="shared" si="65"/>
        <v>10.522579290065112</v>
      </c>
      <c r="W77" s="67"/>
      <c r="X77" s="71">
        <v>43.7</v>
      </c>
      <c r="Y77" s="71">
        <v>34.700000000000003</v>
      </c>
      <c r="Z77" s="71">
        <f t="shared" si="66"/>
        <v>9</v>
      </c>
      <c r="AA77" s="71">
        <f t="shared" si="67"/>
        <v>5.3934047469019104</v>
      </c>
      <c r="AB77" s="71">
        <f t="shared" si="68"/>
        <v>29.306595253098092</v>
      </c>
      <c r="AC77" s="71">
        <f t="shared" si="69"/>
        <v>0.18403382243223074</v>
      </c>
      <c r="AD77" s="71">
        <v>21.8</v>
      </c>
      <c r="AE77" s="71">
        <f t="shared" si="85"/>
        <v>4.0119373290226301</v>
      </c>
      <c r="AF77" s="71">
        <f t="shared" si="86"/>
        <v>17.788062670977371</v>
      </c>
      <c r="AG77" s="71">
        <v>17.8</v>
      </c>
      <c r="AH77" s="71">
        <f t="shared" si="70"/>
        <v>0.18403382243223074</v>
      </c>
      <c r="AI77" s="71">
        <v>3.4</v>
      </c>
      <c r="AJ77" s="71">
        <f t="shared" si="71"/>
        <v>0.62571499626958449</v>
      </c>
      <c r="AL77" s="67">
        <v>44</v>
      </c>
      <c r="AM77" s="67">
        <v>35.6</v>
      </c>
      <c r="AN77" s="67">
        <f t="shared" si="72"/>
        <v>8.3999999999999986</v>
      </c>
      <c r="AO77" s="70">
        <f t="shared" si="73"/>
        <v>5.533291325351815</v>
      </c>
      <c r="AP77" s="70">
        <f t="shared" si="74"/>
        <v>30.066708674648186</v>
      </c>
      <c r="AQ77" s="71">
        <f t="shared" si="75"/>
        <v>0.18403382243223071</v>
      </c>
      <c r="AR77" s="67">
        <v>4</v>
      </c>
      <c r="AS77" s="70">
        <f t="shared" si="76"/>
        <v>0.73613528972892284</v>
      </c>
      <c r="AU77" s="70">
        <v>87.2</v>
      </c>
      <c r="AV77" s="70">
        <v>67.7</v>
      </c>
      <c r="AW77" s="70">
        <f t="shared" si="77"/>
        <v>19.5</v>
      </c>
      <c r="AX77" s="70">
        <f t="shared" si="78"/>
        <v>10.522579290065112</v>
      </c>
      <c r="AY77" s="70">
        <f t="shared" si="79"/>
        <v>57.177420709934893</v>
      </c>
      <c r="AZ77" s="71">
        <f t="shared" si="80"/>
        <v>0.18403382243223076</v>
      </c>
      <c r="BA77" s="70">
        <v>16.399999999999999</v>
      </c>
      <c r="BB77" s="70">
        <f t="shared" si="81"/>
        <v>3.0181546878885843</v>
      </c>
      <c r="BD77" s="67" t="s">
        <v>16</v>
      </c>
      <c r="BE77" s="64">
        <v>-29.895949620540218</v>
      </c>
      <c r="BF77" s="64">
        <v>0.23012176638050824</v>
      </c>
      <c r="BG77" s="64">
        <v>2.9845547094065021</v>
      </c>
      <c r="BH77" s="66">
        <v>4.357170759536922E-2</v>
      </c>
      <c r="BI77" s="62">
        <v>1</v>
      </c>
      <c r="BJ77" s="63" t="s">
        <v>302</v>
      </c>
      <c r="BN77" s="66"/>
      <c r="BO77" s="62">
        <v>1.7</v>
      </c>
      <c r="BP77" s="63" t="s">
        <v>333</v>
      </c>
    </row>
    <row r="78" spans="1:68" ht="15" customHeight="1" x14ac:dyDescent="0.35">
      <c r="A78" s="67" t="s">
        <v>22</v>
      </c>
      <c r="B78" s="68" t="s">
        <v>58</v>
      </c>
      <c r="C78" s="67" t="str">
        <f t="shared" si="82"/>
        <v>R127_7-24_G</v>
      </c>
      <c r="D78" s="73">
        <v>45476</v>
      </c>
      <c r="E78" s="67" t="s">
        <v>16</v>
      </c>
      <c r="H78" s="67" t="str">
        <f t="shared" si="83"/>
        <v>C,N,S</v>
      </c>
      <c r="I78" s="67">
        <v>132.4</v>
      </c>
      <c r="K78" s="67">
        <v>157.9</v>
      </c>
      <c r="L78" s="67">
        <f t="shared" si="59"/>
        <v>25.5</v>
      </c>
      <c r="M78" s="67">
        <f t="shared" si="84"/>
        <v>110.7</v>
      </c>
      <c r="O78" s="67">
        <f t="shared" si="60"/>
        <v>25.474254742547426</v>
      </c>
      <c r="P78" s="67">
        <f t="shared" si="61"/>
        <v>5.8680532604784048</v>
      </c>
      <c r="Q78" s="67"/>
      <c r="R78" s="67">
        <f t="shared" si="62"/>
        <v>28.003613369467029</v>
      </c>
      <c r="S78" s="67">
        <f t="shared" si="63"/>
        <v>6.4506968466251955</v>
      </c>
      <c r="T78" s="67"/>
      <c r="U78" s="67">
        <f t="shared" si="64"/>
        <v>46.522131887985545</v>
      </c>
      <c r="V78" s="67">
        <f t="shared" si="65"/>
        <v>10.716480245199921</v>
      </c>
      <c r="W78" s="67"/>
      <c r="X78" s="71">
        <v>40.5</v>
      </c>
      <c r="Y78" s="71">
        <v>28.2</v>
      </c>
      <c r="Z78" s="71">
        <f t="shared" si="66"/>
        <v>12.3</v>
      </c>
      <c r="AA78" s="71">
        <f t="shared" si="67"/>
        <v>5.8680532604784048</v>
      </c>
      <c r="AB78" s="71">
        <f t="shared" si="68"/>
        <v>22.331946739521594</v>
      </c>
      <c r="AC78" s="71">
        <f t="shared" si="69"/>
        <v>0.26276496755625495</v>
      </c>
      <c r="AD78" s="71">
        <v>16.100000000000001</v>
      </c>
      <c r="AE78" s="71">
        <f t="shared" si="85"/>
        <v>4.2305159776557053</v>
      </c>
      <c r="AF78" s="71">
        <f t="shared" si="86"/>
        <v>11.869484022344295</v>
      </c>
      <c r="AG78" s="71">
        <v>15.3</v>
      </c>
      <c r="AH78" s="71">
        <f t="shared" si="70"/>
        <v>0.26276496755625495</v>
      </c>
      <c r="AI78" s="71">
        <v>2.2999999999999998</v>
      </c>
      <c r="AJ78" s="71">
        <f t="shared" si="71"/>
        <v>0.60435942537938636</v>
      </c>
      <c r="AL78" s="67">
        <v>44.9</v>
      </c>
      <c r="AM78" s="67">
        <v>31</v>
      </c>
      <c r="AN78" s="67">
        <f t="shared" si="72"/>
        <v>13.899999999999999</v>
      </c>
      <c r="AO78" s="70">
        <f t="shared" si="73"/>
        <v>6.4506968466251955</v>
      </c>
      <c r="AP78" s="70">
        <f t="shared" si="74"/>
        <v>24.549303153374805</v>
      </c>
      <c r="AQ78" s="71">
        <f t="shared" si="75"/>
        <v>0.26276496755625484</v>
      </c>
      <c r="AR78" s="67">
        <v>3.9</v>
      </c>
      <c r="AS78" s="70">
        <f t="shared" si="76"/>
        <v>1.0247833734693939</v>
      </c>
      <c r="AU78" s="70">
        <v>77.2</v>
      </c>
      <c r="AV78" s="70">
        <v>51.5</v>
      </c>
      <c r="AW78" s="70">
        <f t="shared" si="77"/>
        <v>25.700000000000003</v>
      </c>
      <c r="AX78" s="70">
        <f t="shared" si="78"/>
        <v>10.716480245199921</v>
      </c>
      <c r="AY78" s="70">
        <f t="shared" si="79"/>
        <v>40.783519754800082</v>
      </c>
      <c r="AZ78" s="71">
        <f t="shared" si="80"/>
        <v>0.26276496755625484</v>
      </c>
      <c r="BA78" s="70">
        <v>13</v>
      </c>
      <c r="BB78" s="70">
        <f t="shared" si="81"/>
        <v>3.4159445782313127</v>
      </c>
      <c r="BD78" s="67" t="s">
        <v>16</v>
      </c>
      <c r="BE78" s="64">
        <v>-30.540058113678256</v>
      </c>
      <c r="BF78" s="64">
        <v>0.14261240514883966</v>
      </c>
      <c r="BG78" s="64">
        <v>4.2456711749359215</v>
      </c>
      <c r="BH78" s="66">
        <v>2.0091797058158133E-2</v>
      </c>
      <c r="BI78" s="62">
        <v>1</v>
      </c>
      <c r="BJ78" s="63" t="s">
        <v>299</v>
      </c>
      <c r="BN78" s="66"/>
      <c r="BO78" s="62">
        <v>1.5</v>
      </c>
      <c r="BP78" s="63" t="s">
        <v>337</v>
      </c>
    </row>
    <row r="79" spans="1:68" ht="15" customHeight="1" x14ac:dyDescent="0.35">
      <c r="A79" s="67" t="s">
        <v>22</v>
      </c>
      <c r="B79" s="68" t="s">
        <v>14</v>
      </c>
      <c r="C79" s="67" t="str">
        <f t="shared" si="82"/>
        <v>R127_9-23_G</v>
      </c>
      <c r="D79" s="73">
        <v>45184</v>
      </c>
      <c r="E79" s="73" t="s">
        <v>16</v>
      </c>
      <c r="F79" s="73">
        <v>45539</v>
      </c>
      <c r="H79" s="67" t="str">
        <f t="shared" si="83"/>
        <v>C,N,S</v>
      </c>
      <c r="I79" s="67">
        <v>129.1</v>
      </c>
      <c r="K79" s="67">
        <v>144.19999999999999</v>
      </c>
      <c r="L79" s="67">
        <f t="shared" si="59"/>
        <v>15.099999999999994</v>
      </c>
      <c r="M79" s="67">
        <f t="shared" si="84"/>
        <v>119.80000000000001</v>
      </c>
      <c r="O79" s="67">
        <f t="shared" si="60"/>
        <v>24.958263772954922</v>
      </c>
      <c r="P79" s="67">
        <f t="shared" si="61"/>
        <v>3.1458245657063366</v>
      </c>
      <c r="Q79" s="67"/>
      <c r="R79" s="67">
        <f t="shared" si="62"/>
        <v>26.544240400667778</v>
      </c>
      <c r="S79" s="67">
        <f t="shared" si="63"/>
        <v>3.345726461186004</v>
      </c>
      <c r="T79" s="67"/>
      <c r="U79" s="67">
        <f t="shared" si="64"/>
        <v>48.497495826377289</v>
      </c>
      <c r="V79" s="67">
        <f t="shared" si="65"/>
        <v>6.1127895407203399</v>
      </c>
      <c r="W79" s="67"/>
      <c r="X79" s="71">
        <v>40.1</v>
      </c>
      <c r="Y79" s="71">
        <v>29.9</v>
      </c>
      <c r="Z79" s="71">
        <f t="shared" si="66"/>
        <v>10.200000000000003</v>
      </c>
      <c r="AA79" s="71">
        <f t="shared" si="67"/>
        <v>3.1458245657063366</v>
      </c>
      <c r="AB79" s="71">
        <f t="shared" si="68"/>
        <v>26.754175434293661</v>
      </c>
      <c r="AC79" s="71">
        <f t="shared" si="69"/>
        <v>0.11758256476385365</v>
      </c>
      <c r="AD79" s="71">
        <v>16</v>
      </c>
      <c r="AE79" s="71">
        <f t="shared" si="85"/>
        <v>1.8813210362216584</v>
      </c>
      <c r="AF79" s="71">
        <f t="shared" si="86"/>
        <v>14.118678963778342</v>
      </c>
      <c r="AG79" s="71">
        <v>15.5</v>
      </c>
      <c r="AH79" s="71">
        <f t="shared" si="70"/>
        <v>0.11758256476385365</v>
      </c>
      <c r="AI79" s="71">
        <v>2.7</v>
      </c>
      <c r="AJ79" s="71">
        <f t="shared" si="71"/>
        <v>0.31747292486240486</v>
      </c>
      <c r="AL79" s="67">
        <v>40.799999999999997</v>
      </c>
      <c r="AM79" s="67">
        <v>31.8</v>
      </c>
      <c r="AN79" s="67">
        <f t="shared" si="72"/>
        <v>8.9999999999999964</v>
      </c>
      <c r="AO79" s="70">
        <f t="shared" si="73"/>
        <v>3.345726461186004</v>
      </c>
      <c r="AP79" s="70">
        <f t="shared" si="74"/>
        <v>28.454273538813997</v>
      </c>
      <c r="AQ79" s="71">
        <f t="shared" si="75"/>
        <v>0.11758256476385365</v>
      </c>
      <c r="AR79" s="67">
        <v>4</v>
      </c>
      <c r="AS79" s="70">
        <f t="shared" si="76"/>
        <v>0.47033025905541459</v>
      </c>
      <c r="AU79" s="70">
        <v>77.400000000000006</v>
      </c>
      <c r="AV79" s="70">
        <v>58.1</v>
      </c>
      <c r="AW79" s="70">
        <f t="shared" si="77"/>
        <v>19.300000000000004</v>
      </c>
      <c r="AX79" s="70">
        <f t="shared" si="78"/>
        <v>6.1127895407203399</v>
      </c>
      <c r="AY79" s="70">
        <f t="shared" si="79"/>
        <v>51.987210459279659</v>
      </c>
      <c r="AZ79" s="71">
        <f t="shared" si="80"/>
        <v>0.11758256476385365</v>
      </c>
      <c r="BA79" s="70">
        <v>19.5</v>
      </c>
      <c r="BB79" s="70">
        <f t="shared" si="81"/>
        <v>2.292860012895146</v>
      </c>
      <c r="BD79" s="67" t="s">
        <v>16</v>
      </c>
      <c r="BE79" s="64">
        <v>-30.066310575696804</v>
      </c>
      <c r="BF79" s="64">
        <v>0.15352586813859445</v>
      </c>
      <c r="BG79" s="64">
        <v>5.0759164306796487</v>
      </c>
      <c r="BH79" s="66">
        <v>5.0963582469396591E-2</v>
      </c>
      <c r="BI79" s="62">
        <v>0.8</v>
      </c>
      <c r="BJ79" s="63" t="s">
        <v>299</v>
      </c>
      <c r="BO79" s="62">
        <v>1.2</v>
      </c>
      <c r="BP79" s="63" t="s">
        <v>338</v>
      </c>
    </row>
    <row r="80" spans="1:68" ht="15" customHeight="1" x14ac:dyDescent="0.35">
      <c r="A80" s="67" t="s">
        <v>43</v>
      </c>
      <c r="B80" s="68" t="s">
        <v>109</v>
      </c>
      <c r="C80" s="67" t="str">
        <f t="shared" si="82"/>
        <v>RB_1123E_G</v>
      </c>
      <c r="D80" s="73">
        <v>45260</v>
      </c>
      <c r="E80" s="73" t="s">
        <v>16</v>
      </c>
      <c r="F80" s="73">
        <v>45320</v>
      </c>
      <c r="H80" s="67" t="str">
        <f t="shared" si="83"/>
        <v>C,N,S</v>
      </c>
      <c r="J80" s="67">
        <v>130.50101010101005</v>
      </c>
      <c r="K80" s="67">
        <v>152.1</v>
      </c>
      <c r="L80" s="67">
        <f>K80-J80</f>
        <v>21.598989898989942</v>
      </c>
      <c r="M80" s="67">
        <f t="shared" si="84"/>
        <v>108.8</v>
      </c>
      <c r="O80" s="67">
        <f t="shared" si="60"/>
        <v>28.308823529411764</v>
      </c>
      <c r="P80" s="67">
        <f t="shared" si="61"/>
        <v>5.6198712634563739</v>
      </c>
      <c r="Q80" s="67"/>
      <c r="R80" s="67">
        <f t="shared" si="62"/>
        <v>24.356617647058822</v>
      </c>
      <c r="S80" s="67">
        <f t="shared" si="63"/>
        <v>4.8352788468049974</v>
      </c>
      <c r="T80" s="67"/>
      <c r="U80" s="67">
        <f t="shared" si="64"/>
        <v>47.334558823529413</v>
      </c>
      <c r="V80" s="67">
        <f t="shared" si="65"/>
        <v>9.3968626645455604</v>
      </c>
      <c r="W80" s="67"/>
      <c r="X80" s="71">
        <v>38.700000000000003</v>
      </c>
      <c r="Y80" s="71">
        <v>30.8</v>
      </c>
      <c r="Z80" s="71">
        <f t="shared" si="66"/>
        <v>7.9000000000000021</v>
      </c>
      <c r="AA80" s="71">
        <f t="shared" si="67"/>
        <v>5.6198712634563739</v>
      </c>
      <c r="AB80" s="71">
        <f t="shared" si="68"/>
        <v>25.180128736543626</v>
      </c>
      <c r="AC80" s="71">
        <f t="shared" si="69"/>
        <v>0.2231867565990765</v>
      </c>
      <c r="AD80" s="71">
        <v>15.1</v>
      </c>
      <c r="AE80" s="71">
        <f t="shared" si="85"/>
        <v>3.370120024646055</v>
      </c>
      <c r="AF80" s="71">
        <f t="shared" si="86"/>
        <v>11.729879975353946</v>
      </c>
      <c r="AG80" s="71">
        <v>15.3</v>
      </c>
      <c r="AH80" s="71">
        <f t="shared" si="70"/>
        <v>0.2231867565990765</v>
      </c>
      <c r="AI80" s="71">
        <v>3.3</v>
      </c>
      <c r="AJ80" s="71">
        <f t="shared" si="71"/>
        <v>0.73651629677695241</v>
      </c>
      <c r="AL80" s="67">
        <v>39.6</v>
      </c>
      <c r="AM80" s="67">
        <v>26.5</v>
      </c>
      <c r="AN80" s="67">
        <f t="shared" si="72"/>
        <v>13.100000000000001</v>
      </c>
      <c r="AO80" s="70">
        <f t="shared" si="73"/>
        <v>4.8352788468049974</v>
      </c>
      <c r="AP80" s="70">
        <f t="shared" si="74"/>
        <v>21.664721153195003</v>
      </c>
      <c r="AQ80" s="71">
        <f t="shared" si="75"/>
        <v>0.22318675659907652</v>
      </c>
      <c r="AR80" s="67">
        <v>6.2</v>
      </c>
      <c r="AS80" s="70">
        <f t="shared" si="76"/>
        <v>1.3837578909142745</v>
      </c>
      <c r="AU80" s="70">
        <v>73.2</v>
      </c>
      <c r="AV80" s="70">
        <v>51.5</v>
      </c>
      <c r="AW80" s="70">
        <f t="shared" si="77"/>
        <v>21.700000000000003</v>
      </c>
      <c r="AX80" s="70">
        <f t="shared" si="78"/>
        <v>9.3968626645455604</v>
      </c>
      <c r="AY80" s="70">
        <f t="shared" si="79"/>
        <v>42.103137335454441</v>
      </c>
      <c r="AZ80" s="71">
        <f t="shared" si="80"/>
        <v>0.2231867565990765</v>
      </c>
      <c r="BA80" s="70">
        <v>20.399999999999999</v>
      </c>
      <c r="BB80" s="70">
        <f t="shared" si="81"/>
        <v>4.55300983462116</v>
      </c>
      <c r="BD80" s="67" t="s">
        <v>16</v>
      </c>
      <c r="BE80" s="64">
        <v>-23.141873238946982</v>
      </c>
      <c r="BF80" s="64">
        <v>0.14017684570526742</v>
      </c>
      <c r="BG80" s="64">
        <v>3.8127878845358891</v>
      </c>
      <c r="BH80" s="66">
        <v>3.1769068190093494E-2</v>
      </c>
      <c r="BI80" s="62">
        <v>0.7</v>
      </c>
      <c r="BJ80" s="63" t="s">
        <v>299</v>
      </c>
      <c r="BN80" s="66"/>
      <c r="BO80" s="62">
        <v>2</v>
      </c>
      <c r="BP80" s="63" t="s">
        <v>339</v>
      </c>
    </row>
    <row r="81" spans="1:68" ht="15" customHeight="1" x14ac:dyDescent="0.35">
      <c r="A81" s="75" t="s">
        <v>43</v>
      </c>
      <c r="B81" s="76" t="s">
        <v>110</v>
      </c>
      <c r="C81" s="75" t="str">
        <f t="shared" si="82"/>
        <v>RB_11-24_G</v>
      </c>
      <c r="D81" s="77">
        <v>45612</v>
      </c>
      <c r="E81" s="67" t="s">
        <v>16</v>
      </c>
      <c r="F81" s="77"/>
      <c r="G81" s="75"/>
      <c r="H81" s="67" t="str">
        <f t="shared" si="83"/>
        <v>C,N,S</v>
      </c>
      <c r="I81" s="75">
        <v>133.69999999999999</v>
      </c>
      <c r="J81" s="75"/>
      <c r="K81" s="75">
        <v>151.1</v>
      </c>
      <c r="L81" s="75">
        <f>K81-I81</f>
        <v>17.400000000000006</v>
      </c>
      <c r="M81" s="75">
        <f t="shared" si="84"/>
        <v>112.09</v>
      </c>
      <c r="O81" s="67">
        <f t="shared" si="60"/>
        <v>23.989651173164422</v>
      </c>
      <c r="P81" s="67">
        <f t="shared" si="61"/>
        <v>3.7239711875551884</v>
      </c>
      <c r="Q81" s="67"/>
      <c r="R81" s="67">
        <f t="shared" si="62"/>
        <v>23.552502453385671</v>
      </c>
      <c r="S81" s="67">
        <f t="shared" si="63"/>
        <v>3.6561115415194112</v>
      </c>
      <c r="T81" s="67"/>
      <c r="U81" s="67">
        <f t="shared" si="64"/>
        <v>52.457846373449904</v>
      </c>
      <c r="V81" s="67">
        <f t="shared" si="65"/>
        <v>8.143157524293235</v>
      </c>
      <c r="W81" s="67"/>
      <c r="X81" s="71">
        <v>38.799999999999997</v>
      </c>
      <c r="Y81" s="71">
        <v>26.89</v>
      </c>
      <c r="Z81" s="71">
        <f t="shared" si="66"/>
        <v>11.909999999999997</v>
      </c>
      <c r="AA81" s="71">
        <f t="shared" si="67"/>
        <v>3.7239711875551884</v>
      </c>
      <c r="AB81" s="71">
        <f t="shared" si="68"/>
        <v>23.166028812444811</v>
      </c>
      <c r="AC81" s="71">
        <f t="shared" si="69"/>
        <v>0.16075138374837331</v>
      </c>
      <c r="AD81" s="71">
        <v>21.5</v>
      </c>
      <c r="AE81" s="71">
        <f t="shared" si="85"/>
        <v>3.4561547505900259</v>
      </c>
      <c r="AF81" s="71">
        <f t="shared" si="86"/>
        <v>18.043845249409973</v>
      </c>
      <c r="AG81" s="71">
        <v>20.7</v>
      </c>
      <c r="AH81" s="71">
        <f t="shared" si="70"/>
        <v>0.16075138374837331</v>
      </c>
      <c r="AI81" s="71">
        <v>5</v>
      </c>
      <c r="AJ81" s="71">
        <f t="shared" si="71"/>
        <v>0.8037569187418665</v>
      </c>
      <c r="AL81" s="67">
        <v>35.5</v>
      </c>
      <c r="AM81" s="67">
        <v>26.4</v>
      </c>
      <c r="AN81" s="67">
        <f t="shared" si="72"/>
        <v>9.1000000000000014</v>
      </c>
      <c r="AO81" s="70">
        <f t="shared" si="73"/>
        <v>3.6561115415194112</v>
      </c>
      <c r="AP81" s="70">
        <f t="shared" si="74"/>
        <v>22.743888458480587</v>
      </c>
      <c r="AQ81" s="71">
        <f t="shared" si="75"/>
        <v>0.16075138374837331</v>
      </c>
      <c r="AR81" s="67">
        <v>3.5</v>
      </c>
      <c r="AS81" s="70">
        <f t="shared" si="76"/>
        <v>0.56262984311930653</v>
      </c>
      <c r="AU81" s="70">
        <v>76.2</v>
      </c>
      <c r="AV81" s="70">
        <v>58.8</v>
      </c>
      <c r="AW81" s="70">
        <f t="shared" si="77"/>
        <v>17.400000000000006</v>
      </c>
      <c r="AX81" s="70">
        <f t="shared" si="78"/>
        <v>8.143157524293235</v>
      </c>
      <c r="AY81" s="70">
        <f t="shared" si="79"/>
        <v>50.65684247570676</v>
      </c>
      <c r="AZ81" s="71">
        <f t="shared" si="80"/>
        <v>0.16075138374837333</v>
      </c>
      <c r="BA81" s="70">
        <v>13.9</v>
      </c>
      <c r="BB81" s="70">
        <f t="shared" si="81"/>
        <v>2.2344442341023893</v>
      </c>
      <c r="BD81" s="67" t="s">
        <v>16</v>
      </c>
      <c r="BE81" s="64">
        <v>-26.061196753634441</v>
      </c>
      <c r="BF81" s="64">
        <v>0.13915950980488526</v>
      </c>
      <c r="BG81" s="64">
        <v>3.2552454391949484</v>
      </c>
      <c r="BH81" s="66">
        <v>0.34554122181899966</v>
      </c>
      <c r="BI81" s="62">
        <v>0.8</v>
      </c>
      <c r="BO81" s="62">
        <v>1.9</v>
      </c>
      <c r="BP81" s="63" t="s">
        <v>340</v>
      </c>
    </row>
    <row r="82" spans="1:68" ht="15" customHeight="1" x14ac:dyDescent="0.35">
      <c r="A82" s="67" t="s">
        <v>43</v>
      </c>
      <c r="B82" s="68" t="s">
        <v>60</v>
      </c>
      <c r="C82" s="67" t="str">
        <f t="shared" si="82"/>
        <v>RB_1-24_G</v>
      </c>
      <c r="D82" s="73">
        <v>45297</v>
      </c>
      <c r="E82" s="73" t="s">
        <v>16</v>
      </c>
      <c r="H82" s="67" t="str">
        <f t="shared" si="83"/>
        <v>C,N,S</v>
      </c>
      <c r="I82" s="67">
        <v>133</v>
      </c>
      <c r="K82" s="67">
        <v>170</v>
      </c>
      <c r="L82" s="67">
        <f>K82-I82</f>
        <v>37</v>
      </c>
      <c r="M82" s="67">
        <f t="shared" si="84"/>
        <v>110.1</v>
      </c>
      <c r="O82" s="67">
        <f t="shared" si="60"/>
        <v>22.979109900090826</v>
      </c>
      <c r="P82" s="67">
        <f t="shared" si="61"/>
        <v>7.7223166785046375</v>
      </c>
      <c r="Q82" s="67"/>
      <c r="R82" s="67">
        <f t="shared" si="62"/>
        <v>26.793823796548594</v>
      </c>
      <c r="S82" s="67">
        <f t="shared" si="63"/>
        <v>9.0042822931180577</v>
      </c>
      <c r="T82" s="67"/>
      <c r="U82" s="67">
        <f t="shared" si="64"/>
        <v>50.22706630336058</v>
      </c>
      <c r="V82" s="67">
        <f t="shared" si="65"/>
        <v>16.87921392574334</v>
      </c>
      <c r="W82" s="67"/>
      <c r="X82" s="71">
        <v>35.9</v>
      </c>
      <c r="Y82" s="71">
        <v>25.3</v>
      </c>
      <c r="Z82" s="71">
        <f t="shared" si="66"/>
        <v>10.599999999999998</v>
      </c>
      <c r="AA82" s="71">
        <f t="shared" si="67"/>
        <v>7.7223166785046375</v>
      </c>
      <c r="AB82" s="71">
        <f t="shared" si="68"/>
        <v>17.577683321495364</v>
      </c>
      <c r="AC82" s="71">
        <f t="shared" si="69"/>
        <v>0.43932505423289686</v>
      </c>
      <c r="AD82" s="71">
        <v>19.3</v>
      </c>
      <c r="AE82" s="71">
        <f t="shared" si="85"/>
        <v>8.4789735466949097</v>
      </c>
      <c r="AF82" s="71">
        <f t="shared" si="86"/>
        <v>10.821026453305091</v>
      </c>
      <c r="AG82" s="71">
        <v>20.100000000000001</v>
      </c>
      <c r="AH82" s="71">
        <f t="shared" si="70"/>
        <v>0.43932505423289686</v>
      </c>
      <c r="AI82" s="71">
        <v>3.9</v>
      </c>
      <c r="AJ82" s="71">
        <f t="shared" si="71"/>
        <v>1.7133677115082977</v>
      </c>
      <c r="AL82" s="67">
        <v>39.299999999999997</v>
      </c>
      <c r="AM82" s="67">
        <v>29.5</v>
      </c>
      <c r="AN82" s="67">
        <f t="shared" si="72"/>
        <v>9.7999999999999972</v>
      </c>
      <c r="AO82" s="70">
        <f t="shared" si="73"/>
        <v>9.0042822931180577</v>
      </c>
      <c r="AP82" s="70">
        <f t="shared" si="74"/>
        <v>20.495717706881941</v>
      </c>
      <c r="AQ82" s="71">
        <f t="shared" si="75"/>
        <v>0.43932505423289708</v>
      </c>
      <c r="AR82" s="92">
        <v>6.3</v>
      </c>
      <c r="AS82" s="70">
        <v>1.4</v>
      </c>
      <c r="AU82" s="70">
        <v>75.900000000000006</v>
      </c>
      <c r="AV82" s="70">
        <v>55.3</v>
      </c>
      <c r="AW82" s="70">
        <f t="shared" si="77"/>
        <v>20.600000000000009</v>
      </c>
      <c r="AX82" s="70">
        <f t="shared" si="78"/>
        <v>16.87921392574334</v>
      </c>
      <c r="AY82" s="70">
        <f t="shared" si="79"/>
        <v>38.420786074256654</v>
      </c>
      <c r="AZ82" s="71">
        <f t="shared" si="80"/>
        <v>0.43932505423289703</v>
      </c>
      <c r="BA82" s="70">
        <v>22.7</v>
      </c>
      <c r="BB82" s="70">
        <f t="shared" si="81"/>
        <v>9.9726787310867628</v>
      </c>
      <c r="BD82" s="67" t="s">
        <v>16</v>
      </c>
      <c r="BE82" s="64">
        <v>-25.595166825653685</v>
      </c>
      <c r="BF82" s="64">
        <v>0.20733720190521343</v>
      </c>
      <c r="BG82" s="64">
        <v>2.2797948969230464</v>
      </c>
      <c r="BH82" s="66">
        <v>0.23640348743679229</v>
      </c>
      <c r="BI82" s="62">
        <v>0.9</v>
      </c>
      <c r="BJ82" s="63" t="s">
        <v>302</v>
      </c>
      <c r="BN82" s="66"/>
      <c r="BO82" s="62">
        <v>1.9</v>
      </c>
      <c r="BP82" s="63" t="s">
        <v>341</v>
      </c>
    </row>
    <row r="83" spans="1:68" ht="15" customHeight="1" x14ac:dyDescent="0.35">
      <c r="A83" s="67" t="s">
        <v>43</v>
      </c>
      <c r="B83" s="68" t="s">
        <v>62</v>
      </c>
      <c r="C83" s="67" t="str">
        <f t="shared" si="82"/>
        <v>RB_4-24_G</v>
      </c>
      <c r="D83" s="73">
        <v>45393</v>
      </c>
      <c r="E83" s="73" t="s">
        <v>16</v>
      </c>
      <c r="F83" s="73">
        <v>45540</v>
      </c>
      <c r="H83" s="67" t="str">
        <f t="shared" si="83"/>
        <v>C,N,S</v>
      </c>
      <c r="I83" s="67">
        <v>130.1</v>
      </c>
      <c r="K83" s="67">
        <v>155.69999999999999</v>
      </c>
      <c r="L83" s="67">
        <f>K83-I83</f>
        <v>25.599999999999994</v>
      </c>
      <c r="M83" s="67">
        <f t="shared" si="84"/>
        <v>114.6</v>
      </c>
      <c r="O83" s="67">
        <f t="shared" si="60"/>
        <v>26.527050610820247</v>
      </c>
      <c r="P83" s="67">
        <f t="shared" si="61"/>
        <v>5.9257634872338416</v>
      </c>
      <c r="Q83" s="67"/>
      <c r="R83" s="67">
        <f t="shared" si="62"/>
        <v>26.178010471204189</v>
      </c>
      <c r="S83" s="67">
        <f t="shared" si="63"/>
        <v>5.8477929150333958</v>
      </c>
      <c r="T83" s="67"/>
      <c r="U83" s="67">
        <f t="shared" si="64"/>
        <v>47.294938917975571</v>
      </c>
      <c r="V83" s="67">
        <f t="shared" si="65"/>
        <v>10.565012533160335</v>
      </c>
      <c r="W83" s="67"/>
      <c r="X83" s="71">
        <v>37.200000000000003</v>
      </c>
      <c r="Y83" s="71">
        <v>30.4</v>
      </c>
      <c r="Z83" s="71">
        <f t="shared" si="66"/>
        <v>6.8000000000000043</v>
      </c>
      <c r="AA83" s="71">
        <f t="shared" si="67"/>
        <v>5.9257634872338416</v>
      </c>
      <c r="AB83" s="71">
        <f t="shared" si="68"/>
        <v>24.474236512766158</v>
      </c>
      <c r="AC83" s="71">
        <f t="shared" si="69"/>
        <v>0.24212250642192118</v>
      </c>
      <c r="AD83" s="71">
        <v>19.399999999999999</v>
      </c>
      <c r="AE83" s="71">
        <f t="shared" si="85"/>
        <v>4.6971766245852704</v>
      </c>
      <c r="AF83" s="71">
        <f t="shared" si="86"/>
        <v>14.702823375414727</v>
      </c>
      <c r="AG83" s="71">
        <v>19.100000000000001</v>
      </c>
      <c r="AH83" s="71">
        <f t="shared" si="70"/>
        <v>0.24212250642192118</v>
      </c>
      <c r="AI83" s="71">
        <v>4.0999999999999996</v>
      </c>
      <c r="AJ83" s="71">
        <f t="shared" si="71"/>
        <v>0.99270227632987673</v>
      </c>
      <c r="AL83" s="67">
        <v>37.700000000000003</v>
      </c>
      <c r="AM83" s="67">
        <v>30</v>
      </c>
      <c r="AN83" s="67">
        <f t="shared" si="72"/>
        <v>7.7000000000000028</v>
      </c>
      <c r="AO83" s="70">
        <f t="shared" si="73"/>
        <v>5.8477929150333958</v>
      </c>
      <c r="AP83" s="70">
        <f t="shared" si="74"/>
        <v>24.152207084966605</v>
      </c>
      <c r="AQ83" s="71">
        <f t="shared" si="75"/>
        <v>0.24212250642192112</v>
      </c>
      <c r="AR83" s="67">
        <v>9.6999999999999993</v>
      </c>
      <c r="AS83" s="70">
        <f t="shared" ref="AS83:AS114" si="87">AR83*AQ83</f>
        <v>2.3485883122926348</v>
      </c>
      <c r="AU83" s="70">
        <v>76.099999999999994</v>
      </c>
      <c r="AV83" s="70">
        <v>54.2</v>
      </c>
      <c r="AW83" s="70">
        <f t="shared" si="77"/>
        <v>21.899999999999991</v>
      </c>
      <c r="AX83" s="70">
        <f t="shared" si="78"/>
        <v>10.565012533160335</v>
      </c>
      <c r="AY83" s="70">
        <f t="shared" si="79"/>
        <v>43.634987466839668</v>
      </c>
      <c r="AZ83" s="71">
        <f t="shared" si="80"/>
        <v>0.24212250642192112</v>
      </c>
      <c r="BA83" s="70">
        <v>26</v>
      </c>
      <c r="BB83" s="70">
        <f t="shared" si="81"/>
        <v>6.295185166969949</v>
      </c>
      <c r="BD83" s="67" t="s">
        <v>16</v>
      </c>
      <c r="BE83" s="64">
        <v>-25.035651782249207</v>
      </c>
      <c r="BF83" s="64">
        <v>0.30102375935557629</v>
      </c>
      <c r="BG83" s="64">
        <v>2.1316252291338333</v>
      </c>
      <c r="BH83" s="66">
        <v>5.1663553978644396E-2</v>
      </c>
      <c r="BI83" s="62">
        <v>0.9</v>
      </c>
      <c r="BJ83" s="63" t="s">
        <v>301</v>
      </c>
      <c r="BO83" s="62">
        <v>1.9</v>
      </c>
      <c r="BP83" s="63" t="s">
        <v>342</v>
      </c>
    </row>
    <row r="84" spans="1:68" ht="15" customHeight="1" x14ac:dyDescent="0.35">
      <c r="A84" s="67" t="s">
        <v>43</v>
      </c>
      <c r="B84" s="68" t="s">
        <v>63</v>
      </c>
      <c r="C84" s="67" t="str">
        <f t="shared" si="82"/>
        <v>RB_8-24_G</v>
      </c>
      <c r="D84" s="73">
        <v>45505</v>
      </c>
      <c r="E84" s="67" t="s">
        <v>16</v>
      </c>
      <c r="H84" s="67" t="str">
        <f t="shared" si="83"/>
        <v>C,N,S</v>
      </c>
      <c r="I84" s="67">
        <v>128.69999999999999</v>
      </c>
      <c r="K84" s="67">
        <v>168.3</v>
      </c>
      <c r="L84" s="67">
        <f>K84-I84</f>
        <v>39.600000000000023</v>
      </c>
      <c r="M84" s="67">
        <f t="shared" si="84"/>
        <v>140.79999999999998</v>
      </c>
      <c r="O84" s="67">
        <f t="shared" si="60"/>
        <v>23.366477272727273</v>
      </c>
      <c r="P84" s="67">
        <f t="shared" si="61"/>
        <v>6.5718217329545503</v>
      </c>
      <c r="Q84" s="67"/>
      <c r="R84" s="67">
        <f t="shared" si="62"/>
        <v>27.201704545454547</v>
      </c>
      <c r="S84" s="67">
        <f t="shared" si="63"/>
        <v>7.6504794034090962</v>
      </c>
      <c r="T84" s="67"/>
      <c r="U84" s="67">
        <f t="shared" si="64"/>
        <v>49.43181818181818</v>
      </c>
      <c r="V84" s="67">
        <f t="shared" si="65"/>
        <v>13.902698863636372</v>
      </c>
      <c r="W84" s="67"/>
      <c r="X84" s="71">
        <v>50.1</v>
      </c>
      <c r="Y84" s="71">
        <v>32.9</v>
      </c>
      <c r="Z84" s="71">
        <f t="shared" si="66"/>
        <v>17.200000000000003</v>
      </c>
      <c r="AA84" s="71">
        <f t="shared" si="67"/>
        <v>6.5718217329545503</v>
      </c>
      <c r="AB84" s="71">
        <f t="shared" si="68"/>
        <v>26.328178267045448</v>
      </c>
      <c r="AC84" s="71">
        <f t="shared" si="69"/>
        <v>0.24961171510982941</v>
      </c>
      <c r="AD84" s="71">
        <v>23.3</v>
      </c>
      <c r="AE84" s="71">
        <f t="shared" si="85"/>
        <v>5.8159529620590256</v>
      </c>
      <c r="AF84" s="71">
        <f t="shared" si="86"/>
        <v>17.484047037940975</v>
      </c>
      <c r="AG84" s="71">
        <v>25.2</v>
      </c>
      <c r="AH84" s="71">
        <f t="shared" si="70"/>
        <v>0.24961171510982941</v>
      </c>
      <c r="AI84" s="71">
        <v>2.2999999999999998</v>
      </c>
      <c r="AJ84" s="71">
        <f t="shared" si="71"/>
        <v>0.5741069447526076</v>
      </c>
      <c r="AL84" s="67">
        <v>48.1</v>
      </c>
      <c r="AM84" s="67">
        <v>38.299999999999997</v>
      </c>
      <c r="AN84" s="67">
        <f t="shared" si="72"/>
        <v>9.8000000000000043</v>
      </c>
      <c r="AO84" s="70">
        <f t="shared" si="73"/>
        <v>7.6504794034090962</v>
      </c>
      <c r="AP84" s="70">
        <f t="shared" si="74"/>
        <v>30.6495205965909</v>
      </c>
      <c r="AQ84" s="71">
        <f t="shared" si="75"/>
        <v>0.24961171510982941</v>
      </c>
      <c r="AR84" s="67">
        <v>3.6</v>
      </c>
      <c r="AS84" s="70">
        <f t="shared" si="87"/>
        <v>0.89860217439538592</v>
      </c>
      <c r="AU84" s="70">
        <v>98.5</v>
      </c>
      <c r="AV84" s="70">
        <v>69.599999999999994</v>
      </c>
      <c r="AW84" s="70">
        <f t="shared" si="77"/>
        <v>28.900000000000006</v>
      </c>
      <c r="AX84" s="70">
        <f t="shared" si="78"/>
        <v>13.902698863636372</v>
      </c>
      <c r="AY84" s="70">
        <f t="shared" si="79"/>
        <v>55.69730113636362</v>
      </c>
      <c r="AZ84" s="71">
        <f t="shared" si="80"/>
        <v>0.24961171510982938</v>
      </c>
      <c r="BA84" s="70">
        <v>10.5</v>
      </c>
      <c r="BB84" s="70">
        <f t="shared" si="81"/>
        <v>2.6209230086532083</v>
      </c>
      <c r="BD84" s="67" t="s">
        <v>16</v>
      </c>
      <c r="BE84" s="64">
        <v>-20.480874542376007</v>
      </c>
      <c r="BF84" s="64">
        <v>0.13800835753803814</v>
      </c>
      <c r="BG84" s="64">
        <v>4.6171187638977242</v>
      </c>
      <c r="BH84" s="66">
        <v>0.24619054745630495</v>
      </c>
      <c r="BI84" s="62">
        <v>1</v>
      </c>
      <c r="BN84" s="66"/>
      <c r="BO84" s="62">
        <v>2</v>
      </c>
      <c r="BP84" s="63" t="s">
        <v>343</v>
      </c>
    </row>
    <row r="85" spans="1:68" ht="15" customHeight="1" x14ac:dyDescent="0.35">
      <c r="A85" s="67" t="s">
        <v>43</v>
      </c>
      <c r="B85" s="68" t="s">
        <v>14</v>
      </c>
      <c r="C85" s="67" t="str">
        <f t="shared" si="82"/>
        <v>RB_9-23_G</v>
      </c>
      <c r="D85" s="73">
        <v>45196</v>
      </c>
      <c r="E85" s="73" t="s">
        <v>16</v>
      </c>
      <c r="F85" s="73">
        <v>45275</v>
      </c>
      <c r="H85" s="67" t="str">
        <f t="shared" si="83"/>
        <v>C,N,S</v>
      </c>
      <c r="J85" s="67">
        <v>130.50101010101005</v>
      </c>
      <c r="K85" s="67">
        <v>142.1</v>
      </c>
      <c r="L85" s="67">
        <f>K85-J85</f>
        <v>11.598989898989942</v>
      </c>
      <c r="M85" s="67">
        <f t="shared" si="84"/>
        <v>133.9</v>
      </c>
      <c r="O85" s="67">
        <f t="shared" si="60"/>
        <v>27.781926811053026</v>
      </c>
      <c r="P85" s="67">
        <f t="shared" si="61"/>
        <v>2.4065891594912761</v>
      </c>
      <c r="Q85" s="67"/>
      <c r="R85" s="67">
        <f t="shared" si="62"/>
        <v>25.765496639283047</v>
      </c>
      <c r="S85" s="67">
        <f t="shared" si="63"/>
        <v>2.2319173656572318</v>
      </c>
      <c r="T85" s="67"/>
      <c r="U85" s="67">
        <f t="shared" si="64"/>
        <v>46.452576549663924</v>
      </c>
      <c r="V85" s="67">
        <f t="shared" si="65"/>
        <v>4.0239205838805745</v>
      </c>
      <c r="W85" s="67"/>
      <c r="X85" s="71">
        <v>48.7</v>
      </c>
      <c r="Y85" s="71">
        <v>37.200000000000003</v>
      </c>
      <c r="Z85" s="71">
        <f t="shared" si="66"/>
        <v>11.5</v>
      </c>
      <c r="AA85" s="71">
        <f t="shared" si="67"/>
        <v>2.4065891594912761</v>
      </c>
      <c r="AB85" s="71">
        <f t="shared" si="68"/>
        <v>34.793410840508727</v>
      </c>
      <c r="AC85" s="71">
        <f t="shared" si="69"/>
        <v>6.9167957419379256E-2</v>
      </c>
      <c r="AD85" s="71">
        <v>21.4</v>
      </c>
      <c r="AE85" s="71">
        <f t="shared" si="85"/>
        <v>1.4801942887747159</v>
      </c>
      <c r="AF85" s="71">
        <f t="shared" si="86"/>
        <v>19.919805711225283</v>
      </c>
      <c r="AG85" s="71">
        <v>22.9</v>
      </c>
      <c r="AH85" s="71">
        <f t="shared" si="70"/>
        <v>6.9167957419379256E-2</v>
      </c>
      <c r="AI85" s="71">
        <v>2.4</v>
      </c>
      <c r="AJ85" s="71">
        <f t="shared" si="71"/>
        <v>0.16600309780651021</v>
      </c>
      <c r="AL85" s="67">
        <v>48.1</v>
      </c>
      <c r="AM85" s="67">
        <v>34.5</v>
      </c>
      <c r="AN85" s="67">
        <f t="shared" si="72"/>
        <v>13.600000000000001</v>
      </c>
      <c r="AO85" s="70">
        <f t="shared" si="73"/>
        <v>2.2319173656572318</v>
      </c>
      <c r="AP85" s="70">
        <f t="shared" si="74"/>
        <v>32.268082634342768</v>
      </c>
      <c r="AQ85" s="71">
        <f t="shared" si="75"/>
        <v>6.9167957419379256E-2</v>
      </c>
      <c r="AR85" s="67">
        <v>3.8</v>
      </c>
      <c r="AS85" s="70">
        <f t="shared" si="87"/>
        <v>0.26283823819364116</v>
      </c>
      <c r="AU85" s="70">
        <v>87</v>
      </c>
      <c r="AV85" s="70">
        <v>62.2</v>
      </c>
      <c r="AW85" s="70">
        <f t="shared" si="77"/>
        <v>24.799999999999997</v>
      </c>
      <c r="AX85" s="70">
        <f t="shared" si="78"/>
        <v>4.0239205838805745</v>
      </c>
      <c r="AY85" s="70">
        <f t="shared" si="79"/>
        <v>58.176079416119428</v>
      </c>
      <c r="AZ85" s="71">
        <f t="shared" si="80"/>
        <v>6.9167957419379256E-2</v>
      </c>
      <c r="BA85" s="70">
        <v>12.5</v>
      </c>
      <c r="BB85" s="70">
        <f t="shared" si="81"/>
        <v>0.86459946774224072</v>
      </c>
      <c r="BD85" s="67" t="s">
        <v>16</v>
      </c>
      <c r="BE85" s="64">
        <v>-23.723009822236268</v>
      </c>
      <c r="BF85" s="64">
        <v>0.14033954002066343</v>
      </c>
      <c r="BG85" s="64">
        <v>4.7802669868668417</v>
      </c>
      <c r="BH85" s="66">
        <v>2.5803024555783347E-2</v>
      </c>
      <c r="BI85" s="62">
        <v>0.8</v>
      </c>
      <c r="BJ85" s="63" t="s">
        <v>299</v>
      </c>
      <c r="BN85" s="66"/>
      <c r="BO85" s="62">
        <v>1.6</v>
      </c>
      <c r="BP85" s="63" t="s">
        <v>344</v>
      </c>
    </row>
    <row r="86" spans="1:68" ht="15" customHeight="1" x14ac:dyDescent="0.35">
      <c r="A86" s="75" t="s">
        <v>47</v>
      </c>
      <c r="B86" s="76" t="s">
        <v>110</v>
      </c>
      <c r="C86" s="75" t="str">
        <f t="shared" si="82"/>
        <v>SBT1_11-24_G</v>
      </c>
      <c r="D86" s="77">
        <v>45606</v>
      </c>
      <c r="E86" s="67" t="s">
        <v>16</v>
      </c>
      <c r="F86" s="77"/>
      <c r="G86" s="75"/>
      <c r="H86" s="67" t="str">
        <f t="shared" si="83"/>
        <v>C,N,S</v>
      </c>
      <c r="I86" s="75">
        <v>133.6</v>
      </c>
      <c r="J86" s="75"/>
      <c r="K86" s="75">
        <v>161.19999999999999</v>
      </c>
      <c r="L86" s="75">
        <f>K86-I86</f>
        <v>27.599999999999994</v>
      </c>
      <c r="M86" s="75">
        <f t="shared" si="84"/>
        <v>121</v>
      </c>
      <c r="O86" s="67">
        <f t="shared" si="60"/>
        <v>24.214876033057852</v>
      </c>
      <c r="P86" s="67">
        <f t="shared" si="61"/>
        <v>5.5233932108462529</v>
      </c>
      <c r="Q86" s="67"/>
      <c r="R86" s="67">
        <f t="shared" si="62"/>
        <v>28.264462809917358</v>
      </c>
      <c r="S86" s="67">
        <f t="shared" si="63"/>
        <v>6.4471006078819739</v>
      </c>
      <c r="T86" s="67"/>
      <c r="U86" s="67">
        <f t="shared" si="64"/>
        <v>47.520661157024797</v>
      </c>
      <c r="V86" s="67">
        <f t="shared" si="65"/>
        <v>10.83942353664367</v>
      </c>
      <c r="W86" s="67"/>
      <c r="X86" s="71">
        <v>45.5</v>
      </c>
      <c r="Y86" s="71">
        <v>29.3</v>
      </c>
      <c r="Z86" s="71">
        <f t="shared" si="66"/>
        <v>16.2</v>
      </c>
      <c r="AA86" s="71">
        <f t="shared" si="67"/>
        <v>5.5233932108462529</v>
      </c>
      <c r="AB86" s="71">
        <f t="shared" si="68"/>
        <v>23.776606789153746</v>
      </c>
      <c r="AC86" s="71">
        <f t="shared" si="69"/>
        <v>0.23230367814157055</v>
      </c>
      <c r="AD86" s="71">
        <v>17.7</v>
      </c>
      <c r="AE86" s="71">
        <f t="shared" si="85"/>
        <v>4.1117751031057983</v>
      </c>
      <c r="AF86" s="71">
        <f t="shared" si="86"/>
        <v>13.5882248968942</v>
      </c>
      <c r="AG86" s="71">
        <v>18.2</v>
      </c>
      <c r="AH86" s="71">
        <f t="shared" si="70"/>
        <v>0.23230367814157055</v>
      </c>
      <c r="AI86" s="71">
        <v>2.7</v>
      </c>
      <c r="AJ86" s="71">
        <f t="shared" si="71"/>
        <v>0.62721993098224049</v>
      </c>
      <c r="AL86" s="67">
        <v>44.7</v>
      </c>
      <c r="AM86" s="67">
        <v>34.200000000000003</v>
      </c>
      <c r="AN86" s="67">
        <f t="shared" si="72"/>
        <v>10.5</v>
      </c>
      <c r="AO86" s="70">
        <f t="shared" si="73"/>
        <v>6.4471006078819739</v>
      </c>
      <c r="AP86" s="70">
        <f t="shared" si="74"/>
        <v>27.752899392118028</v>
      </c>
      <c r="AQ86" s="71">
        <f t="shared" si="75"/>
        <v>0.23230367814157049</v>
      </c>
      <c r="AR86" s="67">
        <v>3.7</v>
      </c>
      <c r="AS86" s="70">
        <f t="shared" si="87"/>
        <v>0.85952360912381087</v>
      </c>
      <c r="AU86" s="70">
        <v>78.5</v>
      </c>
      <c r="AV86" s="70">
        <v>57.5</v>
      </c>
      <c r="AW86" s="70">
        <f t="shared" si="77"/>
        <v>21</v>
      </c>
      <c r="AX86" s="70">
        <f t="shared" si="78"/>
        <v>10.83942353664367</v>
      </c>
      <c r="AY86" s="70">
        <f t="shared" si="79"/>
        <v>46.660576463356328</v>
      </c>
      <c r="AZ86" s="71">
        <f t="shared" si="80"/>
        <v>0.23230367814157055</v>
      </c>
      <c r="BA86" s="70">
        <v>14</v>
      </c>
      <c r="BB86" s="70">
        <f t="shared" si="81"/>
        <v>3.2522514939819875</v>
      </c>
      <c r="BD86" s="67" t="s">
        <v>16</v>
      </c>
      <c r="BE86" s="64">
        <v>-31.86470300878117</v>
      </c>
      <c r="BF86" s="64">
        <v>0.13757154932382845</v>
      </c>
      <c r="BG86" s="64">
        <v>10.485100881662172</v>
      </c>
      <c r="BH86" s="66">
        <v>0.14186523397643674</v>
      </c>
      <c r="BI86" s="62">
        <v>1</v>
      </c>
      <c r="BJ86" s="63" t="s">
        <v>299</v>
      </c>
      <c r="BK86" s="64">
        <v>3.1266418756102654</v>
      </c>
      <c r="BL86" s="65">
        <v>0.3091452698404642</v>
      </c>
      <c r="BM86" s="61">
        <v>1.7472227917057166</v>
      </c>
      <c r="BN86" s="66">
        <v>6.1704564004455335E-2</v>
      </c>
      <c r="BO86" s="62">
        <v>2</v>
      </c>
      <c r="BP86" s="63" t="s">
        <v>299</v>
      </c>
    </row>
    <row r="87" spans="1:68" ht="15" customHeight="1" x14ac:dyDescent="0.35">
      <c r="A87" s="67" t="s">
        <v>47</v>
      </c>
      <c r="B87" s="68" t="s">
        <v>60</v>
      </c>
      <c r="C87" s="67" t="str">
        <f t="shared" si="82"/>
        <v>SBT1_1-24_G</v>
      </c>
      <c r="D87" s="73">
        <v>45324</v>
      </c>
      <c r="E87" s="73" t="s">
        <v>16</v>
      </c>
      <c r="H87" s="67" t="str">
        <f t="shared" si="83"/>
        <v>C,N,S</v>
      </c>
      <c r="I87" s="67">
        <v>130.1</v>
      </c>
      <c r="K87" s="67">
        <v>172.2</v>
      </c>
      <c r="L87" s="67">
        <f>K87-I87</f>
        <v>42.099999999999994</v>
      </c>
      <c r="M87" s="67">
        <f t="shared" si="84"/>
        <v>123.69999999999999</v>
      </c>
      <c r="O87" s="67">
        <f t="shared" si="60"/>
        <v>27.000808407437347</v>
      </c>
      <c r="P87" s="67">
        <f t="shared" si="61"/>
        <v>9.1894424733477145</v>
      </c>
      <c r="Q87" s="67"/>
      <c r="R87" s="67">
        <f t="shared" si="62"/>
        <v>24.97978981406629</v>
      </c>
      <c r="S87" s="67">
        <f t="shared" si="63"/>
        <v>8.5016099528875557</v>
      </c>
      <c r="T87" s="67"/>
      <c r="U87" s="67">
        <f t="shared" si="64"/>
        <v>48.019401778496366</v>
      </c>
      <c r="V87" s="67">
        <f t="shared" si="65"/>
        <v>16.342900686133362</v>
      </c>
      <c r="W87" s="67"/>
      <c r="X87" s="71">
        <v>43.7</v>
      </c>
      <c r="Y87" s="71">
        <v>33.4</v>
      </c>
      <c r="Z87" s="71">
        <f t="shared" si="66"/>
        <v>10.300000000000004</v>
      </c>
      <c r="AA87" s="71">
        <f t="shared" si="67"/>
        <v>9.1894424733477145</v>
      </c>
      <c r="AB87" s="71">
        <f t="shared" si="68"/>
        <v>24.210557526652284</v>
      </c>
      <c r="AC87" s="71">
        <f t="shared" si="69"/>
        <v>0.37956343893491434</v>
      </c>
      <c r="AD87" s="71">
        <v>16.100000000000001</v>
      </c>
      <c r="AE87" s="71">
        <f t="shared" si="85"/>
        <v>6.1109713668521213</v>
      </c>
      <c r="AF87" s="71">
        <f t="shared" si="86"/>
        <v>9.9890286331478801</v>
      </c>
      <c r="AG87" s="71">
        <v>18.100000000000001</v>
      </c>
      <c r="AH87" s="71">
        <f t="shared" si="70"/>
        <v>0.37956343893491434</v>
      </c>
      <c r="AI87" s="71">
        <v>3.3</v>
      </c>
      <c r="AJ87" s="71">
        <f t="shared" si="71"/>
        <v>1.2525593484852173</v>
      </c>
      <c r="AL87" s="67">
        <v>44.9</v>
      </c>
      <c r="AM87" s="67">
        <v>30.9</v>
      </c>
      <c r="AN87" s="67">
        <f t="shared" si="72"/>
        <v>14</v>
      </c>
      <c r="AO87" s="70">
        <f t="shared" si="73"/>
        <v>8.5016099528875557</v>
      </c>
      <c r="AP87" s="70">
        <f t="shared" si="74"/>
        <v>22.398390047112443</v>
      </c>
      <c r="AQ87" s="71">
        <f t="shared" si="75"/>
        <v>0.37956343893491429</v>
      </c>
      <c r="AR87" s="67">
        <v>3.9</v>
      </c>
      <c r="AS87" s="70">
        <f t="shared" si="87"/>
        <v>1.4802974118461656</v>
      </c>
      <c r="AU87" s="70">
        <v>77.599999999999994</v>
      </c>
      <c r="AV87" s="70">
        <v>59.4</v>
      </c>
      <c r="AW87" s="70">
        <f t="shared" si="77"/>
        <v>18.199999999999996</v>
      </c>
      <c r="AX87" s="70">
        <f t="shared" si="78"/>
        <v>16.342900686133362</v>
      </c>
      <c r="AY87" s="70">
        <f t="shared" si="79"/>
        <v>43.057099313866637</v>
      </c>
      <c r="AZ87" s="71">
        <f t="shared" si="80"/>
        <v>0.37956343893491434</v>
      </c>
      <c r="BA87" s="70">
        <v>17</v>
      </c>
      <c r="BB87" s="70">
        <f t="shared" si="81"/>
        <v>6.4525784618935438</v>
      </c>
      <c r="BD87" s="67" t="s">
        <v>16</v>
      </c>
      <c r="BE87" s="64">
        <v>-31.711774820070602</v>
      </c>
      <c r="BF87" s="64">
        <v>0.14087853023218574</v>
      </c>
      <c r="BG87" s="64">
        <v>13.163761809812351</v>
      </c>
      <c r="BH87" s="66">
        <v>0.23238529066397406</v>
      </c>
      <c r="BI87" s="62">
        <v>0.8</v>
      </c>
      <c r="BK87" s="64">
        <v>3.9808739716819899</v>
      </c>
      <c r="BL87" s="65">
        <v>0.25430874749622973</v>
      </c>
      <c r="BM87" s="61">
        <v>1.2567496859181766</v>
      </c>
      <c r="BN87" s="66">
        <v>1.1619801979141501E-2</v>
      </c>
      <c r="BO87" s="62">
        <v>1.8</v>
      </c>
      <c r="BP87" s="63" t="s">
        <v>299</v>
      </c>
    </row>
    <row r="88" spans="1:68" ht="15" customHeight="1" x14ac:dyDescent="0.35">
      <c r="A88" s="67" t="s">
        <v>47</v>
      </c>
      <c r="B88" s="68" t="s">
        <v>62</v>
      </c>
      <c r="C88" s="67" t="str">
        <f t="shared" si="82"/>
        <v>SBT1_4-24_G</v>
      </c>
      <c r="D88" s="73">
        <v>45391</v>
      </c>
      <c r="E88" s="73" t="s">
        <v>16</v>
      </c>
      <c r="F88" s="73">
        <v>45540</v>
      </c>
      <c r="H88" s="67" t="str">
        <f t="shared" si="83"/>
        <v>C,N,S</v>
      </c>
      <c r="I88" s="67">
        <v>128.80000000000001</v>
      </c>
      <c r="K88" s="67">
        <v>164.2</v>
      </c>
      <c r="L88" s="67">
        <f>K88-I88</f>
        <v>35.399999999999977</v>
      </c>
      <c r="M88" s="67">
        <f t="shared" si="84"/>
        <v>120.89999999999999</v>
      </c>
      <c r="O88" s="67">
        <f t="shared" si="60"/>
        <v>27.543424317617866</v>
      </c>
      <c r="P88" s="67">
        <f t="shared" si="61"/>
        <v>8.0648239937441843</v>
      </c>
      <c r="Q88" s="67"/>
      <c r="R88" s="67">
        <f t="shared" si="62"/>
        <v>25.971877584780813</v>
      </c>
      <c r="S88" s="67">
        <f t="shared" si="63"/>
        <v>7.6046688709780002</v>
      </c>
      <c r="T88" s="67"/>
      <c r="U88" s="67">
        <f t="shared" si="64"/>
        <v>46.484698097601331</v>
      </c>
      <c r="V88" s="67">
        <f t="shared" si="65"/>
        <v>13.610904157610307</v>
      </c>
      <c r="W88" s="67"/>
      <c r="X88" s="71">
        <v>45.8</v>
      </c>
      <c r="Y88" s="71">
        <v>33.299999999999997</v>
      </c>
      <c r="Z88" s="71">
        <f t="shared" si="66"/>
        <v>12.5</v>
      </c>
      <c r="AA88" s="71">
        <f t="shared" si="67"/>
        <v>8.0648239937441843</v>
      </c>
      <c r="AB88" s="71">
        <f t="shared" si="68"/>
        <v>25.235176006255813</v>
      </c>
      <c r="AC88" s="71">
        <f t="shared" si="69"/>
        <v>0.31958659577983173</v>
      </c>
      <c r="AD88" s="71">
        <v>18.8</v>
      </c>
      <c r="AE88" s="71">
        <f t="shared" si="85"/>
        <v>6.0082280006608366</v>
      </c>
      <c r="AF88" s="71">
        <f t="shared" si="86"/>
        <v>12.791771999339165</v>
      </c>
      <c r="AG88" s="71">
        <v>18.8</v>
      </c>
      <c r="AH88" s="71">
        <f t="shared" si="70"/>
        <v>0.31958659577983173</v>
      </c>
      <c r="AI88" s="71">
        <v>3.1</v>
      </c>
      <c r="AJ88" s="71">
        <f t="shared" si="71"/>
        <v>0.99071844691747835</v>
      </c>
      <c r="AL88" s="67">
        <v>41.9</v>
      </c>
      <c r="AM88" s="67">
        <v>31.4</v>
      </c>
      <c r="AN88" s="67">
        <f t="shared" si="72"/>
        <v>10.5</v>
      </c>
      <c r="AO88" s="70">
        <f t="shared" si="73"/>
        <v>7.6046688709780002</v>
      </c>
      <c r="AP88" s="70">
        <f t="shared" si="74"/>
        <v>23.795331129021999</v>
      </c>
      <c r="AQ88" s="71">
        <f t="shared" si="75"/>
        <v>0.31958659577983173</v>
      </c>
      <c r="AR88" s="67">
        <v>5.4</v>
      </c>
      <c r="AS88" s="70">
        <f t="shared" si="87"/>
        <v>1.7257676172110914</v>
      </c>
      <c r="AU88" s="70">
        <v>76.5</v>
      </c>
      <c r="AV88" s="70">
        <v>56.2</v>
      </c>
      <c r="AW88" s="70">
        <f t="shared" si="77"/>
        <v>20.299999999999997</v>
      </c>
      <c r="AX88" s="70">
        <f t="shared" si="78"/>
        <v>13.610904157610307</v>
      </c>
      <c r="AY88" s="70">
        <f t="shared" si="79"/>
        <v>42.589095842389696</v>
      </c>
      <c r="AZ88" s="71">
        <f t="shared" si="80"/>
        <v>0.31958659577983173</v>
      </c>
      <c r="BA88" s="70">
        <v>17</v>
      </c>
      <c r="BB88" s="70">
        <f t="shared" si="81"/>
        <v>5.4329721282571395</v>
      </c>
      <c r="BD88" s="67" t="s">
        <v>16</v>
      </c>
      <c r="BE88" s="64">
        <v>-31.758141686812266</v>
      </c>
      <c r="BF88" s="64">
        <v>0.14001739638156341</v>
      </c>
      <c r="BG88" s="64">
        <v>14.18877509933602</v>
      </c>
      <c r="BH88" s="66">
        <v>0.13593990157544253</v>
      </c>
      <c r="BI88" s="62">
        <v>1</v>
      </c>
      <c r="BJ88" s="63" t="s">
        <v>299</v>
      </c>
      <c r="BN88" s="66"/>
      <c r="BO88" s="62">
        <v>1.5</v>
      </c>
      <c r="BP88" s="63" t="s">
        <v>345</v>
      </c>
    </row>
    <row r="89" spans="1:68" ht="15" customHeight="1" x14ac:dyDescent="0.35">
      <c r="A89" s="67" t="s">
        <v>47</v>
      </c>
      <c r="B89" s="68" t="s">
        <v>63</v>
      </c>
      <c r="C89" s="67" t="str">
        <f t="shared" si="82"/>
        <v>SBT1_8-24_G</v>
      </c>
      <c r="D89" s="73">
        <v>45505</v>
      </c>
      <c r="E89" s="67" t="s">
        <v>16</v>
      </c>
      <c r="H89" s="67" t="str">
        <f t="shared" si="83"/>
        <v>C,N,S</v>
      </c>
      <c r="I89" s="67">
        <v>133.30000000000001</v>
      </c>
      <c r="K89" s="67">
        <v>164.7</v>
      </c>
      <c r="L89" s="67">
        <f>K89-I89</f>
        <v>31.399999999999977</v>
      </c>
      <c r="M89" s="67">
        <f t="shared" si="84"/>
        <v>135.4</v>
      </c>
      <c r="O89" s="67">
        <f t="shared" si="60"/>
        <v>25.923190546528801</v>
      </c>
      <c r="P89" s="67">
        <f t="shared" si="61"/>
        <v>6.0117295654431588</v>
      </c>
      <c r="Q89" s="67"/>
      <c r="R89" s="67">
        <f t="shared" si="62"/>
        <v>24.963072378138847</v>
      </c>
      <c r="S89" s="67">
        <f t="shared" si="63"/>
        <v>5.7890729148711912</v>
      </c>
      <c r="T89" s="67"/>
      <c r="U89" s="67">
        <f t="shared" si="64"/>
        <v>49.113737075332345</v>
      </c>
      <c r="V89" s="67">
        <f t="shared" si="65"/>
        <v>11.389744048489176</v>
      </c>
      <c r="W89" s="67"/>
      <c r="X89" s="71">
        <v>42.2</v>
      </c>
      <c r="Y89" s="71">
        <v>35.1</v>
      </c>
      <c r="Z89" s="71">
        <f t="shared" si="66"/>
        <v>7.1000000000000014</v>
      </c>
      <c r="AA89" s="71">
        <f t="shared" si="67"/>
        <v>6.0117295654431588</v>
      </c>
      <c r="AB89" s="71">
        <f t="shared" si="68"/>
        <v>29.088270434556843</v>
      </c>
      <c r="AC89" s="71">
        <f t="shared" si="69"/>
        <v>0.20667194974580644</v>
      </c>
      <c r="AD89" s="71">
        <v>19.600000000000001</v>
      </c>
      <c r="AE89" s="71">
        <f t="shared" si="85"/>
        <v>4.0507702150178062</v>
      </c>
      <c r="AF89" s="71">
        <f t="shared" si="86"/>
        <v>15.549229784982195</v>
      </c>
      <c r="AG89" s="71">
        <v>19.8</v>
      </c>
      <c r="AH89" s="71">
        <f t="shared" si="70"/>
        <v>0.20667194974580644</v>
      </c>
      <c r="AI89" s="71">
        <v>3.3</v>
      </c>
      <c r="AJ89" s="71">
        <f t="shared" si="71"/>
        <v>0.68201743416116123</v>
      </c>
      <c r="AL89" s="67">
        <v>41.3</v>
      </c>
      <c r="AM89" s="67">
        <v>33.799999999999997</v>
      </c>
      <c r="AN89" s="67">
        <f t="shared" si="72"/>
        <v>7.5</v>
      </c>
      <c r="AO89" s="70">
        <f t="shared" si="73"/>
        <v>5.7890729148711912</v>
      </c>
      <c r="AP89" s="70">
        <f t="shared" si="74"/>
        <v>28.010927085128806</v>
      </c>
      <c r="AQ89" s="71">
        <f t="shared" si="75"/>
        <v>0.20667194974580652</v>
      </c>
      <c r="AR89" s="67">
        <v>5.9</v>
      </c>
      <c r="AS89" s="70">
        <f t="shared" si="87"/>
        <v>1.2193645035002585</v>
      </c>
      <c r="AU89" s="70">
        <v>84.4</v>
      </c>
      <c r="AV89" s="70">
        <v>66.5</v>
      </c>
      <c r="AW89" s="70">
        <f t="shared" si="77"/>
        <v>17.900000000000006</v>
      </c>
      <c r="AX89" s="70">
        <f t="shared" si="78"/>
        <v>11.389744048489176</v>
      </c>
      <c r="AY89" s="70">
        <f t="shared" si="79"/>
        <v>55.110255951510823</v>
      </c>
      <c r="AZ89" s="71">
        <f t="shared" si="80"/>
        <v>0.20667194974580647</v>
      </c>
      <c r="BA89" s="70">
        <v>19.100000000000001</v>
      </c>
      <c r="BB89" s="70">
        <f t="shared" si="81"/>
        <v>3.9474342401449038</v>
      </c>
      <c r="BD89" s="67" t="s">
        <v>16</v>
      </c>
      <c r="BE89" s="64">
        <v>-24.678419737539155</v>
      </c>
      <c r="BF89" s="64">
        <v>0.14061304667034241</v>
      </c>
      <c r="BG89" s="64">
        <v>8.327253746842997</v>
      </c>
      <c r="BH89" s="66">
        <v>1.6019700543494331E-2</v>
      </c>
      <c r="BI89" s="62">
        <v>1</v>
      </c>
      <c r="BJ89" s="63" t="s">
        <v>299</v>
      </c>
      <c r="BK89" s="64">
        <v>2.3276887168364246</v>
      </c>
      <c r="BM89" s="61">
        <v>0.8607231672237361</v>
      </c>
      <c r="BN89" s="66">
        <v>9.164595307854656E-3</v>
      </c>
      <c r="BO89" s="62">
        <v>2</v>
      </c>
      <c r="BP89" s="63" t="s">
        <v>299</v>
      </c>
    </row>
    <row r="90" spans="1:68" ht="15" customHeight="1" x14ac:dyDescent="0.35">
      <c r="A90" s="67" t="s">
        <v>47</v>
      </c>
      <c r="B90" s="68" t="s">
        <v>14</v>
      </c>
      <c r="C90" s="67" t="str">
        <f t="shared" si="82"/>
        <v>SBT1_9-23_G</v>
      </c>
      <c r="D90" s="73">
        <v>45199</v>
      </c>
      <c r="E90" s="73" t="s">
        <v>16</v>
      </c>
      <c r="F90" s="73">
        <v>45568</v>
      </c>
      <c r="H90" s="67" t="str">
        <f t="shared" si="83"/>
        <v>C,N,S</v>
      </c>
      <c r="J90" s="67">
        <v>130.50101010101005</v>
      </c>
      <c r="K90" s="67">
        <v>155.4</v>
      </c>
      <c r="L90" s="67">
        <f>K90-J90</f>
        <v>24.898989898989953</v>
      </c>
      <c r="M90" s="67">
        <f t="shared" si="84"/>
        <v>128.4</v>
      </c>
      <c r="O90" s="67">
        <f t="shared" si="60"/>
        <v>25.155763239875384</v>
      </c>
      <c r="P90" s="67">
        <f t="shared" si="61"/>
        <v>4.8781393676872264</v>
      </c>
      <c r="Q90" s="67"/>
      <c r="R90" s="67">
        <f t="shared" si="62"/>
        <v>24.454828660436135</v>
      </c>
      <c r="S90" s="67">
        <f t="shared" si="63"/>
        <v>4.7422159797330936</v>
      </c>
      <c r="T90" s="67"/>
      <c r="U90" s="67">
        <f t="shared" si="64"/>
        <v>50.389408099688474</v>
      </c>
      <c r="V90" s="67">
        <f t="shared" si="65"/>
        <v>9.7713813340360272</v>
      </c>
      <c r="W90" s="67"/>
      <c r="X90" s="71">
        <v>41.4</v>
      </c>
      <c r="Y90" s="71">
        <v>32.299999999999997</v>
      </c>
      <c r="Z90" s="71">
        <f t="shared" si="66"/>
        <v>9.1000000000000014</v>
      </c>
      <c r="AA90" s="71">
        <f t="shared" si="67"/>
        <v>4.8781393676872264</v>
      </c>
      <c r="AB90" s="71">
        <f t="shared" si="68"/>
        <v>27.421860632312772</v>
      </c>
      <c r="AC90" s="71">
        <f t="shared" si="69"/>
        <v>0.17789235504825779</v>
      </c>
      <c r="AD90" s="71">
        <v>21.4</v>
      </c>
      <c r="AE90" s="71">
        <f t="shared" si="85"/>
        <v>3.8068963980327166</v>
      </c>
      <c r="AF90" s="71">
        <f t="shared" si="86"/>
        <v>17.593103601967282</v>
      </c>
      <c r="AG90" s="71">
        <v>22.2</v>
      </c>
      <c r="AH90" s="71">
        <f t="shared" si="70"/>
        <v>0.17789235504825779</v>
      </c>
      <c r="AI90" s="71">
        <v>3.6</v>
      </c>
      <c r="AJ90" s="71">
        <f t="shared" si="71"/>
        <v>0.64041247817372804</v>
      </c>
      <c r="AL90" s="67">
        <v>37.4</v>
      </c>
      <c r="AM90" s="67">
        <v>31.4</v>
      </c>
      <c r="AN90" s="67">
        <f t="shared" si="72"/>
        <v>6</v>
      </c>
      <c r="AO90" s="70">
        <f t="shared" si="73"/>
        <v>4.7422159797330936</v>
      </c>
      <c r="AP90" s="70">
        <f t="shared" si="74"/>
        <v>26.657784020266906</v>
      </c>
      <c r="AQ90" s="71">
        <f t="shared" si="75"/>
        <v>0.17789235504825779</v>
      </c>
      <c r="AR90" s="67">
        <v>7.5</v>
      </c>
      <c r="AS90" s="70">
        <f t="shared" si="87"/>
        <v>1.3341926628619334</v>
      </c>
      <c r="AU90" s="70">
        <v>80.7</v>
      </c>
      <c r="AV90" s="70">
        <v>64.7</v>
      </c>
      <c r="AW90" s="70">
        <f t="shared" si="77"/>
        <v>16</v>
      </c>
      <c r="AX90" s="70">
        <f t="shared" si="78"/>
        <v>9.7713813340360272</v>
      </c>
      <c r="AY90" s="70">
        <f t="shared" si="79"/>
        <v>54.928618665963974</v>
      </c>
      <c r="AZ90" s="71">
        <f t="shared" si="80"/>
        <v>0.17789235504825787</v>
      </c>
      <c r="BA90" s="70">
        <v>22</v>
      </c>
      <c r="BB90" s="70">
        <f t="shared" si="81"/>
        <v>3.913631811061673</v>
      </c>
      <c r="BD90" s="67" t="s">
        <v>16</v>
      </c>
      <c r="BE90" s="64">
        <v>-25.337630531084585</v>
      </c>
      <c r="BF90" s="64">
        <v>0.14079946038186172</v>
      </c>
      <c r="BG90" s="64">
        <v>7.5263820614728525</v>
      </c>
      <c r="BH90" s="66">
        <v>1.4591570826742024E-2</v>
      </c>
      <c r="BI90" s="62">
        <v>1.1000000000000001</v>
      </c>
      <c r="BJ90" s="63" t="s">
        <v>299</v>
      </c>
      <c r="BK90" s="64">
        <v>2.7997938903026829</v>
      </c>
      <c r="BL90" s="65">
        <v>0.2995386481109546</v>
      </c>
      <c r="BM90" s="61">
        <v>0.91336292655056672</v>
      </c>
      <c r="BN90" s="66">
        <v>1.0022405857650412E-2</v>
      </c>
      <c r="BO90" s="62">
        <v>1.6</v>
      </c>
      <c r="BP90" s="63" t="s">
        <v>299</v>
      </c>
    </row>
    <row r="91" spans="1:68" ht="15" customHeight="1" x14ac:dyDescent="0.35">
      <c r="A91" s="67" t="s">
        <v>48</v>
      </c>
      <c r="B91" s="68" t="s">
        <v>109</v>
      </c>
      <c r="C91" s="67" t="str">
        <f t="shared" si="82"/>
        <v>SBT2_1123E_G</v>
      </c>
      <c r="D91" s="73">
        <v>45260</v>
      </c>
      <c r="E91" s="73" t="s">
        <v>16</v>
      </c>
      <c r="F91" s="73">
        <v>45320</v>
      </c>
      <c r="H91" s="67" t="str">
        <f t="shared" si="83"/>
        <v>C,N,S</v>
      </c>
      <c r="J91" s="67">
        <v>130.50101010101005</v>
      </c>
      <c r="K91" s="67">
        <v>160</v>
      </c>
      <c r="L91" s="67">
        <f>K91-J91</f>
        <v>29.498989898989947</v>
      </c>
      <c r="M91" s="67">
        <f t="shared" si="84"/>
        <v>115.6</v>
      </c>
      <c r="O91" s="67">
        <f t="shared" si="60"/>
        <v>25.086505190311421</v>
      </c>
      <c r="P91" s="67">
        <f t="shared" si="61"/>
        <v>6.4016138685982309</v>
      </c>
      <c r="Q91" s="67"/>
      <c r="R91" s="67">
        <f t="shared" si="62"/>
        <v>26.03806228373703</v>
      </c>
      <c r="S91" s="67">
        <f t="shared" si="63"/>
        <v>6.6444337049933377</v>
      </c>
      <c r="T91" s="67"/>
      <c r="U91" s="67">
        <f t="shared" si="64"/>
        <v>48.87543252595156</v>
      </c>
      <c r="V91" s="67">
        <f t="shared" si="65"/>
        <v>12.472109778475865</v>
      </c>
      <c r="W91" s="67"/>
      <c r="X91" s="71">
        <v>41.2</v>
      </c>
      <c r="Y91" s="71">
        <v>29</v>
      </c>
      <c r="Z91" s="71">
        <f t="shared" si="66"/>
        <v>12.200000000000003</v>
      </c>
      <c r="AA91" s="71">
        <f t="shared" si="67"/>
        <v>6.4016138685982309</v>
      </c>
      <c r="AB91" s="71">
        <f t="shared" si="68"/>
        <v>22.598386131401767</v>
      </c>
      <c r="AC91" s="71">
        <f t="shared" si="69"/>
        <v>0.28327747970032324</v>
      </c>
      <c r="AD91" s="71">
        <v>19.2</v>
      </c>
      <c r="AE91" s="71">
        <f t="shared" si="85"/>
        <v>5.4389276102462061</v>
      </c>
      <c r="AF91" s="71">
        <f t="shared" si="86"/>
        <v>13.761072389753792</v>
      </c>
      <c r="AG91" s="71">
        <v>19.899999999999999</v>
      </c>
      <c r="AH91" s="71">
        <f t="shared" si="70"/>
        <v>0.28327747970032324</v>
      </c>
      <c r="AI91" s="71">
        <v>3.7</v>
      </c>
      <c r="AJ91" s="71">
        <f t="shared" si="71"/>
        <v>1.0481266748911962</v>
      </c>
      <c r="AL91" s="67">
        <v>40.799999999999997</v>
      </c>
      <c r="AM91" s="67">
        <v>30.1</v>
      </c>
      <c r="AN91" s="67">
        <f t="shared" si="72"/>
        <v>10.699999999999996</v>
      </c>
      <c r="AO91" s="70">
        <f t="shared" si="73"/>
        <v>6.6444337049933377</v>
      </c>
      <c r="AP91" s="70">
        <f t="shared" si="74"/>
        <v>23.455566295006662</v>
      </c>
      <c r="AQ91" s="71">
        <f t="shared" si="75"/>
        <v>0.28327747970032335</v>
      </c>
      <c r="AR91" s="67">
        <v>8</v>
      </c>
      <c r="AS91" s="70">
        <f t="shared" si="87"/>
        <v>2.2662198376025868</v>
      </c>
      <c r="AU91" s="70">
        <v>77.2</v>
      </c>
      <c r="AV91" s="70">
        <v>56.5</v>
      </c>
      <c r="AW91" s="70">
        <f t="shared" si="77"/>
        <v>20.700000000000003</v>
      </c>
      <c r="AX91" s="70">
        <f t="shared" si="78"/>
        <v>12.472109778475865</v>
      </c>
      <c r="AY91" s="70">
        <f t="shared" si="79"/>
        <v>44.027890221524132</v>
      </c>
      <c r="AZ91" s="71">
        <f t="shared" si="80"/>
        <v>0.2832774797003233</v>
      </c>
      <c r="BA91" s="70">
        <v>23.2</v>
      </c>
      <c r="BB91" s="70">
        <f t="shared" si="81"/>
        <v>6.5720375290474999</v>
      </c>
      <c r="BD91" s="67" t="s">
        <v>16</v>
      </c>
      <c r="BE91" s="64">
        <v>-29.803549116940168</v>
      </c>
      <c r="BF91" s="64">
        <v>0.14232639704239081</v>
      </c>
      <c r="BG91" s="64">
        <v>2.596367157237812</v>
      </c>
      <c r="BH91" s="66">
        <v>2.2342426932614241E-2</v>
      </c>
      <c r="BI91" s="62">
        <v>1</v>
      </c>
      <c r="BJ91" s="63" t="s">
        <v>299</v>
      </c>
      <c r="BN91" s="66"/>
      <c r="BO91" s="62">
        <v>1.6</v>
      </c>
      <c r="BP91" s="63" t="s">
        <v>346</v>
      </c>
    </row>
    <row r="92" spans="1:68" ht="15" customHeight="1" x14ac:dyDescent="0.35">
      <c r="A92" s="75" t="s">
        <v>48</v>
      </c>
      <c r="B92" s="76" t="s">
        <v>110</v>
      </c>
      <c r="C92" s="75" t="str">
        <f t="shared" si="82"/>
        <v>SBT2_11-24_G</v>
      </c>
      <c r="D92" s="77">
        <v>45612</v>
      </c>
      <c r="E92" s="67" t="s">
        <v>16</v>
      </c>
      <c r="F92" s="77"/>
      <c r="G92" s="75"/>
      <c r="H92" s="67" t="str">
        <f t="shared" si="83"/>
        <v>C,N,S</v>
      </c>
      <c r="I92" s="75">
        <v>134.69999999999999</v>
      </c>
      <c r="J92" s="75"/>
      <c r="K92" s="75">
        <v>164.2</v>
      </c>
      <c r="L92" s="75">
        <f>K92-I92</f>
        <v>29.5</v>
      </c>
      <c r="M92" s="75">
        <f t="shared" si="84"/>
        <v>127.19999999999999</v>
      </c>
      <c r="O92" s="67">
        <f t="shared" si="60"/>
        <v>25.786163522012579</v>
      </c>
      <c r="P92" s="67">
        <f t="shared" si="61"/>
        <v>5.9802816344290184</v>
      </c>
      <c r="Q92" s="67"/>
      <c r="R92" s="67">
        <f t="shared" si="62"/>
        <v>29.481132075471699</v>
      </c>
      <c r="S92" s="67">
        <f t="shared" si="63"/>
        <v>6.8372122344843964</v>
      </c>
      <c r="T92" s="67"/>
      <c r="U92" s="67">
        <f t="shared" si="64"/>
        <v>44.732704402515729</v>
      </c>
      <c r="V92" s="67">
        <f t="shared" si="65"/>
        <v>10.374330030457658</v>
      </c>
      <c r="W92" s="67"/>
      <c r="X92" s="71">
        <v>46.4</v>
      </c>
      <c r="Y92" s="71">
        <v>32.799999999999997</v>
      </c>
      <c r="Z92" s="71">
        <f t="shared" si="66"/>
        <v>13.600000000000001</v>
      </c>
      <c r="AA92" s="71">
        <f t="shared" si="67"/>
        <v>5.9802816344290184</v>
      </c>
      <c r="AB92" s="71">
        <f t="shared" si="68"/>
        <v>26.819718365570978</v>
      </c>
      <c r="AC92" s="71">
        <f t="shared" si="69"/>
        <v>0.2229807767894397</v>
      </c>
      <c r="AD92" s="71">
        <v>21.3</v>
      </c>
      <c r="AE92" s="71">
        <f t="shared" si="85"/>
        <v>4.7494905456150658</v>
      </c>
      <c r="AF92" s="71">
        <f t="shared" si="86"/>
        <v>16.550509454384937</v>
      </c>
      <c r="AG92" s="71">
        <v>22.7</v>
      </c>
      <c r="AH92" s="71">
        <f t="shared" si="70"/>
        <v>0.2229807767894397</v>
      </c>
      <c r="AI92" s="71">
        <v>3</v>
      </c>
      <c r="AJ92" s="71">
        <f t="shared" si="71"/>
        <v>0.66894233036831907</v>
      </c>
      <c r="AL92" s="67">
        <v>44.7</v>
      </c>
      <c r="AM92" s="67">
        <v>37.5</v>
      </c>
      <c r="AN92" s="67">
        <f t="shared" si="72"/>
        <v>7.2000000000000028</v>
      </c>
      <c r="AO92" s="70">
        <f t="shared" si="73"/>
        <v>6.8372122344843964</v>
      </c>
      <c r="AP92" s="70">
        <f t="shared" si="74"/>
        <v>30.662787765515603</v>
      </c>
      <c r="AQ92" s="71">
        <f t="shared" si="75"/>
        <v>0.22298077678943967</v>
      </c>
      <c r="AR92" s="67">
        <v>5.9</v>
      </c>
      <c r="AS92" s="70">
        <f t="shared" si="87"/>
        <v>1.315586583057694</v>
      </c>
      <c r="AU92" s="70">
        <v>81.400000000000006</v>
      </c>
      <c r="AV92" s="70">
        <v>56.9</v>
      </c>
      <c r="AW92" s="70">
        <f t="shared" si="77"/>
        <v>24.500000000000007</v>
      </c>
      <c r="AX92" s="70">
        <f t="shared" si="78"/>
        <v>10.374330030457658</v>
      </c>
      <c r="AY92" s="70">
        <f t="shared" si="79"/>
        <v>46.525669969542342</v>
      </c>
      <c r="AZ92" s="71">
        <f t="shared" si="80"/>
        <v>0.2229807767894397</v>
      </c>
      <c r="BA92" s="70">
        <v>15</v>
      </c>
      <c r="BB92" s="70">
        <f t="shared" si="81"/>
        <v>3.3447116518415956</v>
      </c>
      <c r="BD92" s="67" t="s">
        <v>16</v>
      </c>
      <c r="BE92" s="64">
        <v>-22.178530671372592</v>
      </c>
      <c r="BF92" s="64">
        <v>0.20352451658326265</v>
      </c>
      <c r="BG92" s="64">
        <v>4.1564693286628724</v>
      </c>
      <c r="BH92" s="66">
        <v>0.17124219826279841</v>
      </c>
      <c r="BI92" s="62">
        <v>1</v>
      </c>
      <c r="BJ92" s="63" t="s">
        <v>302</v>
      </c>
      <c r="BK92" s="64">
        <v>2.4183491929869207</v>
      </c>
      <c r="BL92" s="65">
        <v>0.25229897017282382</v>
      </c>
      <c r="BM92" s="61">
        <v>0.661018857685023</v>
      </c>
      <c r="BN92" s="66">
        <v>1.1669282831896829E-2</v>
      </c>
      <c r="BO92" s="62">
        <v>1.6</v>
      </c>
      <c r="BP92" s="63" t="s">
        <v>299</v>
      </c>
    </row>
    <row r="93" spans="1:68" ht="15" customHeight="1" x14ac:dyDescent="0.35">
      <c r="A93" s="67" t="s">
        <v>48</v>
      </c>
      <c r="B93" s="68" t="s">
        <v>60</v>
      </c>
      <c r="C93" s="67" t="str">
        <f t="shared" si="82"/>
        <v>SBT2_1-24_G</v>
      </c>
      <c r="D93" s="73">
        <v>45297</v>
      </c>
      <c r="E93" s="73" t="s">
        <v>16</v>
      </c>
      <c r="F93" s="73">
        <v>45320</v>
      </c>
      <c r="H93" s="67" t="str">
        <f t="shared" si="83"/>
        <v>C,N,S</v>
      </c>
      <c r="J93" s="67">
        <v>130.50101010101005</v>
      </c>
      <c r="K93" s="67">
        <v>158.5</v>
      </c>
      <c r="L93" s="67">
        <f>K93-J93</f>
        <v>27.998989898989947</v>
      </c>
      <c r="M93" s="67">
        <f t="shared" si="84"/>
        <v>120.80000000000001</v>
      </c>
      <c r="O93" s="67">
        <f t="shared" si="60"/>
        <v>26.076158940397349</v>
      </c>
      <c r="P93" s="67">
        <f t="shared" si="61"/>
        <v>6.0439247580847821</v>
      </c>
      <c r="Q93" s="67"/>
      <c r="R93" s="67">
        <f t="shared" si="62"/>
        <v>25.331125827814567</v>
      </c>
      <c r="S93" s="67">
        <f t="shared" si="63"/>
        <v>5.8712411935680739</v>
      </c>
      <c r="T93" s="67"/>
      <c r="U93" s="67">
        <f t="shared" si="64"/>
        <v>48.592715231788077</v>
      </c>
      <c r="V93" s="67">
        <f t="shared" si="65"/>
        <v>11.262805819034183</v>
      </c>
      <c r="W93" s="67"/>
      <c r="X93" s="71">
        <v>43.5</v>
      </c>
      <c r="Y93" s="71">
        <v>31.5</v>
      </c>
      <c r="Z93" s="71">
        <f t="shared" si="66"/>
        <v>12</v>
      </c>
      <c r="AA93" s="71">
        <f t="shared" si="67"/>
        <v>6.0439247580847821</v>
      </c>
      <c r="AB93" s="71">
        <f t="shared" si="68"/>
        <v>25.456075241915219</v>
      </c>
      <c r="AC93" s="71">
        <f t="shared" si="69"/>
        <v>0.23742563221737475</v>
      </c>
      <c r="AD93" s="71">
        <v>16.899999999999999</v>
      </c>
      <c r="AE93" s="71">
        <f t="shared" si="85"/>
        <v>4.0124931844736329</v>
      </c>
      <c r="AF93" s="71">
        <f t="shared" si="86"/>
        <v>12.887506815526365</v>
      </c>
      <c r="AG93" s="71">
        <v>19</v>
      </c>
      <c r="AH93" s="71">
        <f t="shared" si="70"/>
        <v>0.23742563221737475</v>
      </c>
      <c r="AI93" s="71">
        <v>4</v>
      </c>
      <c r="AJ93" s="71">
        <f t="shared" si="71"/>
        <v>0.94970252886949902</v>
      </c>
      <c r="AL93" s="67">
        <v>44.5</v>
      </c>
      <c r="AM93" s="67">
        <v>30.6</v>
      </c>
      <c r="AN93" s="67">
        <f t="shared" si="72"/>
        <v>13.899999999999999</v>
      </c>
      <c r="AO93" s="70">
        <f t="shared" si="73"/>
        <v>5.8712411935680739</v>
      </c>
      <c r="AP93" s="70">
        <f t="shared" si="74"/>
        <v>24.728758806431927</v>
      </c>
      <c r="AQ93" s="71">
        <f t="shared" si="75"/>
        <v>0.23742563221737475</v>
      </c>
      <c r="AR93" s="67">
        <v>7.7</v>
      </c>
      <c r="AS93" s="70">
        <f t="shared" si="87"/>
        <v>1.8281773680737856</v>
      </c>
      <c r="AU93" s="70">
        <v>74.8</v>
      </c>
      <c r="AV93" s="70">
        <v>58.7</v>
      </c>
      <c r="AW93" s="70">
        <f t="shared" si="77"/>
        <v>16.099999999999994</v>
      </c>
      <c r="AX93" s="70">
        <f t="shared" si="78"/>
        <v>11.262805819034183</v>
      </c>
      <c r="AY93" s="70">
        <f t="shared" si="79"/>
        <v>47.437194180965818</v>
      </c>
      <c r="AZ93" s="71">
        <f t="shared" si="80"/>
        <v>0.23742563221737481</v>
      </c>
      <c r="BA93" s="70">
        <v>21.8</v>
      </c>
      <c r="BB93" s="70">
        <f t="shared" si="81"/>
        <v>5.1758787823387706</v>
      </c>
      <c r="BD93" s="67" t="s">
        <v>16</v>
      </c>
      <c r="BE93" s="64">
        <v>-23.149592458967447</v>
      </c>
      <c r="BF93" s="64">
        <v>0.14017820403940734</v>
      </c>
      <c r="BG93" s="64">
        <v>2.1322955270450734</v>
      </c>
      <c r="BH93" s="66">
        <v>2.3017393720154024E-2</v>
      </c>
      <c r="BI93" s="62">
        <v>1</v>
      </c>
      <c r="BJ93" s="63" t="s">
        <v>299</v>
      </c>
      <c r="BN93" s="66"/>
      <c r="BO93" s="62">
        <v>1.6</v>
      </c>
      <c r="BP93" s="63" t="s">
        <v>347</v>
      </c>
    </row>
    <row r="94" spans="1:68" ht="15" customHeight="1" x14ac:dyDescent="0.35">
      <c r="A94" s="67" t="s">
        <v>48</v>
      </c>
      <c r="B94" s="68" t="s">
        <v>62</v>
      </c>
      <c r="C94" s="67" t="str">
        <f t="shared" si="82"/>
        <v>SBT2_4-24_G</v>
      </c>
      <c r="D94" s="73">
        <v>45393</v>
      </c>
      <c r="E94" s="73" t="s">
        <v>16</v>
      </c>
      <c r="F94" s="73">
        <v>45540</v>
      </c>
      <c r="H94" s="67" t="str">
        <f t="shared" si="83"/>
        <v>C,N,S</v>
      </c>
      <c r="I94" s="67">
        <v>131.5</v>
      </c>
      <c r="K94" s="67">
        <v>194.6</v>
      </c>
      <c r="L94" s="67">
        <f>K94-I94</f>
        <v>63.099999999999994</v>
      </c>
      <c r="M94" s="67">
        <f t="shared" si="84"/>
        <v>119.6</v>
      </c>
      <c r="O94" s="67">
        <f t="shared" si="60"/>
        <v>26.505016722408026</v>
      </c>
      <c r="P94" s="67">
        <f t="shared" si="61"/>
        <v>13.983834073444369</v>
      </c>
      <c r="Q94" s="67"/>
      <c r="R94" s="67">
        <f t="shared" si="62"/>
        <v>27.257525083612045</v>
      </c>
      <c r="S94" s="67">
        <f t="shared" si="63"/>
        <v>14.380851444614716</v>
      </c>
      <c r="T94" s="67"/>
      <c r="U94" s="67">
        <f t="shared" si="64"/>
        <v>46.237458193979933</v>
      </c>
      <c r="V94" s="67">
        <f t="shared" si="65"/>
        <v>24.394511806355631</v>
      </c>
      <c r="W94" s="67"/>
      <c r="X94" s="71">
        <v>41.3</v>
      </c>
      <c r="Y94" s="71">
        <v>31.7</v>
      </c>
      <c r="Z94" s="71">
        <f t="shared" si="66"/>
        <v>9.5999999999999979</v>
      </c>
      <c r="AA94" s="71">
        <f t="shared" si="67"/>
        <v>13.983834073444369</v>
      </c>
      <c r="AB94" s="71">
        <f t="shared" si="68"/>
        <v>17.716165926555632</v>
      </c>
      <c r="AC94" s="71">
        <f t="shared" si="69"/>
        <v>0.78932620813193632</v>
      </c>
      <c r="AD94" s="71">
        <v>20.3</v>
      </c>
      <c r="AE94" s="71">
        <f t="shared" si="85"/>
        <v>16.023322025078308</v>
      </c>
      <c r="AF94" s="71">
        <f t="shared" si="86"/>
        <v>4.276677974921693</v>
      </c>
      <c r="AG94" s="71">
        <v>21</v>
      </c>
      <c r="AH94" s="71">
        <f t="shared" si="70"/>
        <v>0.78932620813193632</v>
      </c>
      <c r="AI94" s="71">
        <v>5</v>
      </c>
      <c r="AJ94" s="71">
        <f t="shared" si="71"/>
        <v>3.9466310406596818</v>
      </c>
      <c r="AL94" s="67">
        <v>40.5</v>
      </c>
      <c r="AM94" s="67">
        <v>32.6</v>
      </c>
      <c r="AN94" s="67">
        <f t="shared" si="72"/>
        <v>7.8999999999999986</v>
      </c>
      <c r="AO94" s="70">
        <f t="shared" si="73"/>
        <v>14.380851444614716</v>
      </c>
      <c r="AP94" s="70">
        <f t="shared" si="74"/>
        <v>18.219148555385285</v>
      </c>
      <c r="AQ94" s="71">
        <f t="shared" si="75"/>
        <v>0.78932620813193655</v>
      </c>
      <c r="AR94" s="67">
        <v>6.9</v>
      </c>
      <c r="AS94" s="70">
        <f t="shared" si="87"/>
        <v>5.4463508361103621</v>
      </c>
      <c r="AU94" s="70">
        <v>79.900000000000006</v>
      </c>
      <c r="AV94" s="70">
        <v>55.3</v>
      </c>
      <c r="AW94" s="70">
        <f t="shared" si="77"/>
        <v>24.600000000000009</v>
      </c>
      <c r="AX94" s="70">
        <f t="shared" si="78"/>
        <v>24.394511806355631</v>
      </c>
      <c r="AY94" s="70">
        <f t="shared" si="79"/>
        <v>30.905488193644366</v>
      </c>
      <c r="AZ94" s="71">
        <f t="shared" si="80"/>
        <v>0.78932620813193621</v>
      </c>
      <c r="BA94" s="70">
        <v>21.2</v>
      </c>
      <c r="BB94" s="70">
        <f t="shared" si="81"/>
        <v>16.733715612397049</v>
      </c>
      <c r="BD94" s="67" t="s">
        <v>16</v>
      </c>
      <c r="BE94" s="64">
        <v>-23.813009387947595</v>
      </c>
      <c r="BF94" s="64">
        <v>0.13862949948842895</v>
      </c>
      <c r="BG94" s="64">
        <v>1.9022586707090474</v>
      </c>
      <c r="BH94" s="66">
        <v>0.28767268408032615</v>
      </c>
      <c r="BI94" s="62">
        <v>1</v>
      </c>
      <c r="BO94" s="62">
        <v>1.7</v>
      </c>
      <c r="BP94" s="63" t="s">
        <v>348</v>
      </c>
    </row>
    <row r="95" spans="1:68" ht="15" customHeight="1" x14ac:dyDescent="0.35">
      <c r="A95" s="67" t="s">
        <v>48</v>
      </c>
      <c r="B95" s="68" t="s">
        <v>63</v>
      </c>
      <c r="C95" s="67" t="str">
        <f t="shared" si="82"/>
        <v>SBT2_8-24_G</v>
      </c>
      <c r="D95" s="73">
        <v>45505</v>
      </c>
      <c r="E95" s="67" t="s">
        <v>16</v>
      </c>
      <c r="H95" s="67" t="str">
        <f t="shared" si="83"/>
        <v>C,N,S</v>
      </c>
      <c r="I95" s="67">
        <v>135.4</v>
      </c>
      <c r="K95" s="67">
        <v>163.30000000000001</v>
      </c>
      <c r="L95" s="67">
        <f>K95-I95</f>
        <v>27.900000000000006</v>
      </c>
      <c r="M95" s="67">
        <f t="shared" si="84"/>
        <v>111.5</v>
      </c>
      <c r="O95" s="67">
        <f t="shared" ref="O95:O125" si="88">(Y95/M95)*100</f>
        <v>24.304932735426011</v>
      </c>
      <c r="P95" s="67">
        <f t="shared" ref="P95:P125" si="89">((O95/M95)*L95)</f>
        <v>6.0816827203442676</v>
      </c>
      <c r="Q95" s="67"/>
      <c r="R95" s="67">
        <f t="shared" ref="R95:R125" si="90">(AM95/M95)*100</f>
        <v>24.932735426008971</v>
      </c>
      <c r="S95" s="67">
        <f t="shared" ref="S95:S125" si="91">((R95/M95)*L95)</f>
        <v>6.2387741559251157</v>
      </c>
      <c r="T95" s="67"/>
      <c r="U95" s="67">
        <f t="shared" ref="U95:U125" si="92">(AV95/M95)*100</f>
        <v>50.762331838565025</v>
      </c>
      <c r="V95" s="67">
        <f t="shared" ref="V95:V125" si="93">((U95/M95)*L95)</f>
        <v>12.7019646483943</v>
      </c>
      <c r="W95" s="67"/>
      <c r="X95" s="71">
        <v>37.1</v>
      </c>
      <c r="Y95" s="71">
        <v>27.1</v>
      </c>
      <c r="Z95" s="71">
        <f t="shared" ref="Z95:Z125" si="94">X95-Y95</f>
        <v>10</v>
      </c>
      <c r="AA95" s="71">
        <f t="shared" ref="AA95:AA125" si="95">P95</f>
        <v>6.0816827203442676</v>
      </c>
      <c r="AB95" s="71">
        <f t="shared" ref="AB95:AB125" si="96">Y95-AA95</f>
        <v>21.018317279655733</v>
      </c>
      <c r="AC95" s="71">
        <f t="shared" ref="AC95:AC125" si="97">AA95/AB95</f>
        <v>0.28935155176437044</v>
      </c>
      <c r="AD95" s="71">
        <v>16.600000000000001</v>
      </c>
      <c r="AE95" s="71">
        <f t="shared" si="85"/>
        <v>4.8032357592885493</v>
      </c>
      <c r="AF95" s="71">
        <f t="shared" si="86"/>
        <v>11.796764240711452</v>
      </c>
      <c r="AG95" s="71">
        <v>17.5</v>
      </c>
      <c r="AH95" s="71">
        <f t="shared" ref="AH95:AH125" si="98">AC95</f>
        <v>0.28935155176437044</v>
      </c>
      <c r="AI95" s="71">
        <v>6.8</v>
      </c>
      <c r="AJ95" s="71">
        <f t="shared" ref="AJ95:AJ125" si="99">AI95*AH95</f>
        <v>1.967590551997719</v>
      </c>
      <c r="AL95" s="67">
        <v>40.1</v>
      </c>
      <c r="AM95" s="67">
        <v>27.8</v>
      </c>
      <c r="AN95" s="67">
        <f t="shared" ref="AN95:AN125" si="100">AL95-AM95</f>
        <v>12.3</v>
      </c>
      <c r="AO95" s="70">
        <f t="shared" ref="AO95:AO125" si="101">S95</f>
        <v>6.2387741559251157</v>
      </c>
      <c r="AP95" s="70">
        <f t="shared" ref="AP95:AP125" si="102">AM95-AO95</f>
        <v>21.561225844074883</v>
      </c>
      <c r="AQ95" s="71">
        <f t="shared" ref="AQ95:AQ125" si="103">AO95/AP95</f>
        <v>0.28935155176437044</v>
      </c>
      <c r="AR95" s="67">
        <v>10.6</v>
      </c>
      <c r="AS95" s="70">
        <f t="shared" si="87"/>
        <v>3.0671264487023264</v>
      </c>
      <c r="AU95" s="70">
        <v>72.8</v>
      </c>
      <c r="AV95" s="70">
        <v>56.6</v>
      </c>
      <c r="AW95" s="70">
        <f t="shared" ref="AW95:AW125" si="104">AU95-AV95</f>
        <v>16.199999999999996</v>
      </c>
      <c r="AX95" s="70">
        <f t="shared" ref="AX95:AX125" si="105">V95</f>
        <v>12.7019646483943</v>
      </c>
      <c r="AY95" s="70">
        <f t="shared" ref="AY95:AY125" si="106">AV95-AX95</f>
        <v>43.898035351605699</v>
      </c>
      <c r="AZ95" s="71">
        <f t="shared" ref="AZ95:AZ125" si="107">AX95/AY95</f>
        <v>0.28935155176437044</v>
      </c>
      <c r="BA95" s="70">
        <v>39.299999999999997</v>
      </c>
      <c r="BB95" s="70">
        <f t="shared" ref="BB95:BB125" si="108">BA95*AZ95</f>
        <v>11.371515984339757</v>
      </c>
      <c r="BD95" s="67" t="s">
        <v>16</v>
      </c>
      <c r="BE95" s="64">
        <v>-22.901129226463677</v>
      </c>
      <c r="BF95" s="64">
        <v>0.29881868080760166</v>
      </c>
      <c r="BG95" s="64">
        <v>2.4786602032549694</v>
      </c>
      <c r="BH95" s="66">
        <v>5.7895686131851191E-2</v>
      </c>
      <c r="BI95" s="62">
        <v>0.8</v>
      </c>
      <c r="BJ95" s="63" t="s">
        <v>301</v>
      </c>
      <c r="BN95" s="66"/>
      <c r="BO95" s="62">
        <v>1.9</v>
      </c>
      <c r="BP95" s="63" t="s">
        <v>349</v>
      </c>
    </row>
    <row r="96" spans="1:68" ht="15" customHeight="1" x14ac:dyDescent="0.35">
      <c r="A96" s="67" t="s">
        <v>48</v>
      </c>
      <c r="B96" s="68" t="s">
        <v>14</v>
      </c>
      <c r="C96" s="67" t="str">
        <f t="shared" si="82"/>
        <v>SBT2_9-23_G</v>
      </c>
      <c r="D96" s="73">
        <v>45204</v>
      </c>
      <c r="E96" s="73" t="s">
        <v>16</v>
      </c>
      <c r="F96" s="73">
        <v>45275</v>
      </c>
      <c r="H96" s="67" t="str">
        <f t="shared" si="83"/>
        <v>C,N,S</v>
      </c>
      <c r="J96" s="67">
        <v>130.50101010101005</v>
      </c>
      <c r="K96" s="67">
        <v>174.7</v>
      </c>
      <c r="L96" s="67">
        <f>K96-J96</f>
        <v>44.198989898989936</v>
      </c>
      <c r="M96" s="67">
        <f t="shared" si="84"/>
        <v>127.3</v>
      </c>
      <c r="O96" s="67">
        <f t="shared" si="88"/>
        <v>24.116260801256871</v>
      </c>
      <c r="P96" s="67">
        <f t="shared" si="89"/>
        <v>8.3732471921143716</v>
      </c>
      <c r="Q96" s="67"/>
      <c r="R96" s="67">
        <f t="shared" si="90"/>
        <v>24.430479183032208</v>
      </c>
      <c r="S96" s="67">
        <f t="shared" si="91"/>
        <v>8.4823448753992494</v>
      </c>
      <c r="T96" s="67"/>
      <c r="U96" s="67">
        <f t="shared" si="92"/>
        <v>51.453260015710924</v>
      </c>
      <c r="V96" s="67">
        <f t="shared" si="93"/>
        <v>17.864745637898743</v>
      </c>
      <c r="W96" s="67"/>
      <c r="X96" s="71">
        <v>41.9</v>
      </c>
      <c r="Y96" s="71">
        <v>30.7</v>
      </c>
      <c r="Z96" s="71">
        <f t="shared" si="94"/>
        <v>11.2</v>
      </c>
      <c r="AA96" s="71">
        <f t="shared" si="95"/>
        <v>8.3732471921143716</v>
      </c>
      <c r="AB96" s="71">
        <f t="shared" si="96"/>
        <v>22.326752807885626</v>
      </c>
      <c r="AC96" s="71">
        <f t="shared" si="97"/>
        <v>0.37503201939679331</v>
      </c>
      <c r="AD96" s="71">
        <v>23.2</v>
      </c>
      <c r="AE96" s="71">
        <f t="shared" si="85"/>
        <v>8.7007428500056054</v>
      </c>
      <c r="AF96" s="71">
        <f t="shared" si="86"/>
        <v>14.499257149994394</v>
      </c>
      <c r="AG96" s="71">
        <v>22.9</v>
      </c>
      <c r="AH96" s="71">
        <f t="shared" si="98"/>
        <v>0.37503201939679331</v>
      </c>
      <c r="AI96" s="71">
        <v>2.9</v>
      </c>
      <c r="AJ96" s="71">
        <f t="shared" si="99"/>
        <v>1.0875928562507007</v>
      </c>
      <c r="AL96" s="67">
        <v>42.1</v>
      </c>
      <c r="AM96" s="67">
        <v>31.1</v>
      </c>
      <c r="AN96" s="67">
        <f t="shared" si="100"/>
        <v>11</v>
      </c>
      <c r="AO96" s="70">
        <f t="shared" si="101"/>
        <v>8.4823448753992494</v>
      </c>
      <c r="AP96" s="70">
        <f t="shared" si="102"/>
        <v>22.617655124600752</v>
      </c>
      <c r="AQ96" s="71">
        <f t="shared" si="103"/>
        <v>0.37503201939679326</v>
      </c>
      <c r="AR96" s="67">
        <v>3.8</v>
      </c>
      <c r="AS96" s="70">
        <f t="shared" si="87"/>
        <v>1.4251216737078143</v>
      </c>
      <c r="AU96" s="70">
        <v>93.7</v>
      </c>
      <c r="AV96" s="70">
        <v>65.5</v>
      </c>
      <c r="AW96" s="70">
        <f t="shared" si="104"/>
        <v>28.200000000000003</v>
      </c>
      <c r="AX96" s="70">
        <f t="shared" si="105"/>
        <v>17.864745637898743</v>
      </c>
      <c r="AY96" s="70">
        <f t="shared" si="106"/>
        <v>47.635254362101257</v>
      </c>
      <c r="AZ96" s="71">
        <f t="shared" si="107"/>
        <v>0.37503201939679331</v>
      </c>
      <c r="BA96" s="70">
        <v>14.3</v>
      </c>
      <c r="BB96" s="70">
        <f t="shared" si="108"/>
        <v>5.3629578773741446</v>
      </c>
      <c r="BD96" s="67" t="s">
        <v>16</v>
      </c>
      <c r="BG96" s="64">
        <v>1.1501121625295216</v>
      </c>
      <c r="BH96" s="66">
        <v>2.7413737760738247E-2</v>
      </c>
      <c r="BI96" s="62">
        <v>0.9</v>
      </c>
      <c r="BJ96" s="93" t="s">
        <v>303</v>
      </c>
      <c r="BN96" s="66"/>
      <c r="BO96" s="62">
        <v>1.9</v>
      </c>
      <c r="BP96" s="63" t="s">
        <v>350</v>
      </c>
    </row>
    <row r="97" spans="1:68" ht="15" customHeight="1" x14ac:dyDescent="0.35">
      <c r="A97" s="75" t="s">
        <v>40</v>
      </c>
      <c r="B97" s="76" t="s">
        <v>110</v>
      </c>
      <c r="C97" s="75" t="str">
        <f t="shared" si="82"/>
        <v>TB1_11-24_G</v>
      </c>
      <c r="D97" s="77">
        <v>45612</v>
      </c>
      <c r="E97" s="67" t="s">
        <v>16</v>
      </c>
      <c r="F97" s="77"/>
      <c r="G97" s="75"/>
      <c r="H97" s="67" t="str">
        <f t="shared" si="83"/>
        <v>C,N,S</v>
      </c>
      <c r="I97" s="75">
        <v>132.1</v>
      </c>
      <c r="J97" s="75"/>
      <c r="K97" s="75">
        <v>160.1</v>
      </c>
      <c r="L97" s="75">
        <f>K97-I97</f>
        <v>28</v>
      </c>
      <c r="M97" s="75">
        <f t="shared" si="84"/>
        <v>120</v>
      </c>
      <c r="O97" s="67">
        <f t="shared" si="88"/>
        <v>25.25</v>
      </c>
      <c r="P97" s="67">
        <f t="shared" si="89"/>
        <v>5.8916666666666666</v>
      </c>
      <c r="Q97" s="67"/>
      <c r="R97" s="67">
        <f t="shared" si="90"/>
        <v>27.166666666666668</v>
      </c>
      <c r="S97" s="67">
        <f t="shared" si="91"/>
        <v>6.3388888888888886</v>
      </c>
      <c r="T97" s="67"/>
      <c r="U97" s="67">
        <f t="shared" si="92"/>
        <v>47.583333333333336</v>
      </c>
      <c r="V97" s="67">
        <f t="shared" si="93"/>
        <v>11.102777777777778</v>
      </c>
      <c r="W97" s="67"/>
      <c r="X97" s="71">
        <v>44.8</v>
      </c>
      <c r="Y97" s="71">
        <v>30.3</v>
      </c>
      <c r="Z97" s="71">
        <f t="shared" si="94"/>
        <v>14.499999999999996</v>
      </c>
      <c r="AA97" s="71">
        <f t="shared" si="95"/>
        <v>5.8916666666666666</v>
      </c>
      <c r="AB97" s="71">
        <f t="shared" si="96"/>
        <v>24.408333333333335</v>
      </c>
      <c r="AC97" s="71">
        <f t="shared" si="97"/>
        <v>0.24137931034482757</v>
      </c>
      <c r="AD97" s="71">
        <v>20.100000000000001</v>
      </c>
      <c r="AE97" s="71">
        <f t="shared" si="85"/>
        <v>4.8517241379310345</v>
      </c>
      <c r="AF97" s="71">
        <f t="shared" si="86"/>
        <v>15.248275862068967</v>
      </c>
      <c r="AG97" s="71">
        <v>20.5</v>
      </c>
      <c r="AH97" s="71">
        <f t="shared" si="98"/>
        <v>0.24137931034482757</v>
      </c>
      <c r="AI97" s="71">
        <v>2.2000000000000002</v>
      </c>
      <c r="AJ97" s="71">
        <f t="shared" si="99"/>
        <v>0.53103448275862064</v>
      </c>
      <c r="AL97" s="67">
        <v>43.5</v>
      </c>
      <c r="AM97" s="67">
        <v>32.6</v>
      </c>
      <c r="AN97" s="67">
        <f t="shared" si="100"/>
        <v>10.899999999999999</v>
      </c>
      <c r="AO97" s="70">
        <f t="shared" si="101"/>
        <v>6.3388888888888886</v>
      </c>
      <c r="AP97" s="70">
        <f t="shared" si="102"/>
        <v>26.261111111111113</v>
      </c>
      <c r="AQ97" s="71">
        <f t="shared" si="103"/>
        <v>0.24137931034482757</v>
      </c>
      <c r="AR97" s="67">
        <v>4.3</v>
      </c>
      <c r="AS97" s="70">
        <f t="shared" si="87"/>
        <v>1.0379310344827586</v>
      </c>
      <c r="AU97" s="70">
        <v>81.400000000000006</v>
      </c>
      <c r="AV97" s="70">
        <v>57.1</v>
      </c>
      <c r="AW97" s="70">
        <f t="shared" si="104"/>
        <v>24.300000000000004</v>
      </c>
      <c r="AX97" s="70">
        <f t="shared" si="105"/>
        <v>11.102777777777778</v>
      </c>
      <c r="AY97" s="70">
        <f t="shared" si="106"/>
        <v>45.99722222222222</v>
      </c>
      <c r="AZ97" s="71">
        <f t="shared" si="107"/>
        <v>0.2413793103448276</v>
      </c>
      <c r="BA97" s="70">
        <v>12.6</v>
      </c>
      <c r="BB97" s="70">
        <f t="shared" si="108"/>
        <v>3.0413793103448277</v>
      </c>
      <c r="BD97" s="67" t="s">
        <v>16</v>
      </c>
      <c r="BE97" s="64">
        <v>-23.86319214164596</v>
      </c>
      <c r="BF97" s="64">
        <v>0.13864035982864131</v>
      </c>
      <c r="BG97" s="64">
        <v>3.0747837851978947</v>
      </c>
      <c r="BH97" s="66">
        <v>0.26908083311075898</v>
      </c>
      <c r="BI97" s="62">
        <v>1</v>
      </c>
      <c r="BO97" s="62">
        <v>1.9</v>
      </c>
      <c r="BP97" s="63" t="s">
        <v>351</v>
      </c>
    </row>
    <row r="98" spans="1:68" ht="15" customHeight="1" x14ac:dyDescent="0.35">
      <c r="A98" s="67" t="s">
        <v>40</v>
      </c>
      <c r="B98" s="68" t="s">
        <v>60</v>
      </c>
      <c r="C98" s="67" t="str">
        <f t="shared" ref="C98:C129" si="109">A98&amp;"_"&amp;B98&amp;"_G"</f>
        <v>TB1_1-24_G</v>
      </c>
      <c r="D98" s="73">
        <v>45298</v>
      </c>
      <c r="E98" s="73" t="s">
        <v>16</v>
      </c>
      <c r="H98" s="67" t="str">
        <f t="shared" ref="H98:H129" si="110">IF(OR(AI98&lt;&gt;"", AR98&lt;&gt;"", BA98&lt;&gt;""),
    IF(AI98&lt;&gt;"", "C", "") &amp;
    IF(BA98&lt;&gt;"", IF(AI98&lt;&gt;"", ",N", "N"), "") &amp;
    IF(BA98&lt;&gt;"", IF(OR(AI98&lt;&gt;"", AR98&lt;&gt;""), ",S", "S"), ""),
"")</f>
        <v>C,N,S</v>
      </c>
      <c r="I98" s="67">
        <v>132.69999999999999</v>
      </c>
      <c r="K98" s="67">
        <v>146.5</v>
      </c>
      <c r="L98" s="67">
        <f>K98-I98</f>
        <v>13.800000000000011</v>
      </c>
      <c r="M98" s="67">
        <f t="shared" ref="M98:M129" si="111">Y98+AM98+AV98</f>
        <v>118.5</v>
      </c>
      <c r="O98" s="67">
        <f t="shared" si="88"/>
        <v>22.531645569620252</v>
      </c>
      <c r="P98" s="67">
        <f t="shared" si="89"/>
        <v>2.6239384713988163</v>
      </c>
      <c r="Q98" s="67"/>
      <c r="R98" s="67">
        <f t="shared" si="90"/>
        <v>22.869198312236289</v>
      </c>
      <c r="S98" s="67">
        <f t="shared" si="91"/>
        <v>2.6632484110452412</v>
      </c>
      <c r="T98" s="67"/>
      <c r="U98" s="67">
        <f t="shared" si="92"/>
        <v>54.599156118143469</v>
      </c>
      <c r="V98" s="67">
        <f t="shared" si="93"/>
        <v>6.3583827378091176</v>
      </c>
      <c r="W98" s="67"/>
      <c r="X98" s="71">
        <v>38.6</v>
      </c>
      <c r="Y98" s="71">
        <v>26.7</v>
      </c>
      <c r="Z98" s="71">
        <f t="shared" si="94"/>
        <v>11.900000000000002</v>
      </c>
      <c r="AA98" s="71">
        <f t="shared" si="95"/>
        <v>2.6239384713988163</v>
      </c>
      <c r="AB98" s="71">
        <f t="shared" si="96"/>
        <v>24.076061528601183</v>
      </c>
      <c r="AC98" s="71">
        <f t="shared" si="97"/>
        <v>0.10898536989871478</v>
      </c>
      <c r="AD98" s="71">
        <v>16.899999999999999</v>
      </c>
      <c r="AE98" s="71">
        <f t="shared" si="85"/>
        <v>1.8418527512882796</v>
      </c>
      <c r="AF98" s="71">
        <f t="shared" si="86"/>
        <v>15.05814724871172</v>
      </c>
      <c r="AG98" s="71">
        <v>18</v>
      </c>
      <c r="AH98" s="71">
        <f t="shared" si="98"/>
        <v>0.10898536989871478</v>
      </c>
      <c r="AI98" s="71">
        <v>2.9</v>
      </c>
      <c r="AJ98" s="71">
        <f t="shared" si="99"/>
        <v>0.31605757270627288</v>
      </c>
      <c r="AL98" s="67">
        <v>39.6</v>
      </c>
      <c r="AM98" s="67">
        <v>27.1</v>
      </c>
      <c r="AN98" s="67">
        <f t="shared" si="100"/>
        <v>12.5</v>
      </c>
      <c r="AO98" s="70">
        <f t="shared" si="101"/>
        <v>2.6632484110452412</v>
      </c>
      <c r="AP98" s="70">
        <f t="shared" si="102"/>
        <v>24.43675158895476</v>
      </c>
      <c r="AQ98" s="71">
        <f t="shared" si="103"/>
        <v>0.10898536989871481</v>
      </c>
      <c r="AR98" s="67">
        <v>6.2</v>
      </c>
      <c r="AS98" s="70">
        <f t="shared" si="87"/>
        <v>0.67570929337203178</v>
      </c>
      <c r="AU98" s="70">
        <v>85.1</v>
      </c>
      <c r="AV98" s="70">
        <v>64.7</v>
      </c>
      <c r="AW98" s="70">
        <f t="shared" si="104"/>
        <v>20.399999999999991</v>
      </c>
      <c r="AX98" s="70">
        <f t="shared" si="105"/>
        <v>6.3583827378091176</v>
      </c>
      <c r="AY98" s="70">
        <f t="shared" si="106"/>
        <v>58.341617262190887</v>
      </c>
      <c r="AZ98" s="71">
        <f t="shared" si="107"/>
        <v>0.10898536989871478</v>
      </c>
      <c r="BA98" s="70">
        <v>16.600000000000001</v>
      </c>
      <c r="BB98" s="70">
        <f t="shared" si="108"/>
        <v>1.8091571403186655</v>
      </c>
      <c r="BD98" s="67" t="s">
        <v>16</v>
      </c>
      <c r="BE98" s="64">
        <v>-28.239128264143588</v>
      </c>
      <c r="BF98" s="64">
        <v>0.13975709965704972</v>
      </c>
      <c r="BG98" s="64">
        <v>9.4607338300575421</v>
      </c>
      <c r="BH98" s="66">
        <v>0.26162751234639409</v>
      </c>
      <c r="BI98" s="62">
        <v>0.8</v>
      </c>
      <c r="BK98" s="64">
        <v>4.1953075197418785</v>
      </c>
      <c r="BL98" s="65">
        <v>0.29690246747059151</v>
      </c>
      <c r="BM98" s="61">
        <v>0.91717372260742613</v>
      </c>
      <c r="BN98" s="66">
        <v>1.0006130713493051E-2</v>
      </c>
      <c r="BO98" s="62">
        <v>1.6</v>
      </c>
      <c r="BP98" s="63" t="s">
        <v>299</v>
      </c>
    </row>
    <row r="99" spans="1:68" ht="15" customHeight="1" x14ac:dyDescent="0.35">
      <c r="A99" s="67" t="s">
        <v>40</v>
      </c>
      <c r="B99" s="68" t="s">
        <v>62</v>
      </c>
      <c r="C99" s="67" t="str">
        <f t="shared" si="109"/>
        <v>TB1_4-24_G</v>
      </c>
      <c r="D99" s="73">
        <v>45390</v>
      </c>
      <c r="E99" s="73" t="s">
        <v>16</v>
      </c>
      <c r="F99" s="73">
        <v>45544</v>
      </c>
      <c r="H99" s="67" t="str">
        <f t="shared" si="110"/>
        <v>C,N,S</v>
      </c>
      <c r="I99" s="67">
        <v>129.9</v>
      </c>
      <c r="K99" s="67">
        <v>148.9</v>
      </c>
      <c r="L99" s="67">
        <f>K99-I99</f>
        <v>19</v>
      </c>
      <c r="M99" s="67">
        <f t="shared" si="111"/>
        <v>105.80000000000001</v>
      </c>
      <c r="O99" s="67">
        <f t="shared" si="88"/>
        <v>26.086956521739129</v>
      </c>
      <c r="P99" s="67">
        <f t="shared" si="89"/>
        <v>4.6848031560779155</v>
      </c>
      <c r="Q99" s="67"/>
      <c r="R99" s="67">
        <f t="shared" si="90"/>
        <v>27.504725897920601</v>
      </c>
      <c r="S99" s="67">
        <f t="shared" si="91"/>
        <v>4.9394120232560619</v>
      </c>
      <c r="T99" s="67"/>
      <c r="U99" s="67">
        <f t="shared" si="92"/>
        <v>46.408317580340267</v>
      </c>
      <c r="V99" s="67">
        <f t="shared" si="93"/>
        <v>8.3341969189646967</v>
      </c>
      <c r="W99" s="67"/>
      <c r="X99" s="71">
        <v>37.799999999999997</v>
      </c>
      <c r="Y99" s="71">
        <v>27.6</v>
      </c>
      <c r="Z99" s="71">
        <f t="shared" si="94"/>
        <v>10.199999999999996</v>
      </c>
      <c r="AA99" s="71">
        <f t="shared" si="95"/>
        <v>4.6848031560779155</v>
      </c>
      <c r="AB99" s="71">
        <f t="shared" si="96"/>
        <v>22.915196843922086</v>
      </c>
      <c r="AC99" s="71">
        <f t="shared" si="97"/>
        <v>0.20444088645568365</v>
      </c>
      <c r="AD99" s="71">
        <v>17.5</v>
      </c>
      <c r="AE99" s="71">
        <f t="shared" si="85"/>
        <v>3.5777155129744638</v>
      </c>
      <c r="AF99" s="71">
        <f t="shared" si="86"/>
        <v>13.922284487025536</v>
      </c>
      <c r="AG99" s="71">
        <v>18</v>
      </c>
      <c r="AH99" s="71">
        <f t="shared" si="98"/>
        <v>0.20444088645568365</v>
      </c>
      <c r="AI99" s="71">
        <v>3.8</v>
      </c>
      <c r="AJ99" s="71">
        <f t="shared" si="99"/>
        <v>0.77687536853159778</v>
      </c>
      <c r="AL99" s="67">
        <v>40.6</v>
      </c>
      <c r="AM99" s="67">
        <v>29.1</v>
      </c>
      <c r="AN99" s="67">
        <f t="shared" si="100"/>
        <v>11.5</v>
      </c>
      <c r="AO99" s="70">
        <f t="shared" si="101"/>
        <v>4.9394120232560619</v>
      </c>
      <c r="AP99" s="70">
        <f t="shared" si="102"/>
        <v>24.16058797674394</v>
      </c>
      <c r="AQ99" s="71">
        <f t="shared" si="103"/>
        <v>0.20444088645568359</v>
      </c>
      <c r="AR99" s="67">
        <v>8.8000000000000007</v>
      </c>
      <c r="AS99" s="70">
        <f t="shared" si="87"/>
        <v>1.7990798008100157</v>
      </c>
      <c r="AU99" s="70">
        <v>75.8</v>
      </c>
      <c r="AV99" s="70">
        <v>49.1</v>
      </c>
      <c r="AW99" s="70">
        <f t="shared" si="104"/>
        <v>26.699999999999996</v>
      </c>
      <c r="AX99" s="70">
        <f t="shared" si="105"/>
        <v>8.3341969189646967</v>
      </c>
      <c r="AY99" s="70">
        <f t="shared" si="106"/>
        <v>40.765803081035301</v>
      </c>
      <c r="AZ99" s="71">
        <f t="shared" si="107"/>
        <v>0.20444088645568365</v>
      </c>
      <c r="BA99" s="70">
        <v>21.1</v>
      </c>
      <c r="BB99" s="70">
        <f t="shared" si="108"/>
        <v>4.3137027042149256</v>
      </c>
      <c r="BD99" s="67" t="s">
        <v>16</v>
      </c>
      <c r="BE99" s="64">
        <v>-25.925116796349556</v>
      </c>
      <c r="BF99" s="64">
        <v>0.13829125519016797</v>
      </c>
      <c r="BG99" s="64">
        <v>7.3550433125812633</v>
      </c>
      <c r="BH99" s="66">
        <v>0.20958137568162297</v>
      </c>
      <c r="BI99" s="62">
        <v>0.8</v>
      </c>
      <c r="BJ99" s="63" t="s">
        <v>299</v>
      </c>
      <c r="BK99" s="64">
        <v>4.1808453669236103</v>
      </c>
      <c r="BM99" s="61">
        <v>0.83449421483375463</v>
      </c>
      <c r="BN99" s="66">
        <v>2.0972048283797385E-2</v>
      </c>
      <c r="BO99" s="62">
        <v>1.1000000000000001</v>
      </c>
      <c r="BP99" s="63" t="s">
        <v>299</v>
      </c>
    </row>
    <row r="100" spans="1:68" ht="15" customHeight="1" x14ac:dyDescent="0.35">
      <c r="A100" s="67" t="s">
        <v>40</v>
      </c>
      <c r="B100" s="68" t="s">
        <v>63</v>
      </c>
      <c r="C100" s="67" t="str">
        <f t="shared" si="109"/>
        <v>TB1_8-24_G</v>
      </c>
      <c r="D100" s="73">
        <v>45505</v>
      </c>
      <c r="E100" s="67" t="s">
        <v>16</v>
      </c>
      <c r="H100" s="67" t="str">
        <f t="shared" si="110"/>
        <v>C,N,S</v>
      </c>
      <c r="I100" s="67">
        <v>133.6</v>
      </c>
      <c r="K100" s="67">
        <v>147.9</v>
      </c>
      <c r="L100" s="67">
        <f>K100-I100</f>
        <v>14.300000000000011</v>
      </c>
      <c r="M100" s="67">
        <f t="shared" si="111"/>
        <v>122.70000000000002</v>
      </c>
      <c r="O100" s="67">
        <f t="shared" si="88"/>
        <v>26.242868785656071</v>
      </c>
      <c r="P100" s="67">
        <f t="shared" si="89"/>
        <v>3.0584598503250371</v>
      </c>
      <c r="Q100" s="67"/>
      <c r="R100" s="67">
        <f t="shared" si="90"/>
        <v>27.383863080684595</v>
      </c>
      <c r="S100" s="67">
        <f t="shared" si="91"/>
        <v>3.1914363655565601</v>
      </c>
      <c r="T100" s="67"/>
      <c r="U100" s="67">
        <f t="shared" si="92"/>
        <v>46.373268133659323</v>
      </c>
      <c r="V100" s="67">
        <f t="shared" si="93"/>
        <v>5.4045455119097694</v>
      </c>
      <c r="W100" s="67"/>
      <c r="X100" s="71">
        <v>43</v>
      </c>
      <c r="Y100" s="71">
        <v>32.200000000000003</v>
      </c>
      <c r="Z100" s="71">
        <f t="shared" si="94"/>
        <v>10.799999999999997</v>
      </c>
      <c r="AA100" s="71">
        <f t="shared" si="95"/>
        <v>3.0584598503250371</v>
      </c>
      <c r="AB100" s="71">
        <f t="shared" si="96"/>
        <v>29.141540149674967</v>
      </c>
      <c r="AC100" s="71">
        <f t="shared" si="97"/>
        <v>0.10495189460187641</v>
      </c>
      <c r="AD100" s="71">
        <v>13.5</v>
      </c>
      <c r="AE100" s="71">
        <f t="shared" si="85"/>
        <v>1.4168505771253317</v>
      </c>
      <c r="AF100" s="71">
        <f t="shared" si="86"/>
        <v>12.083149422874669</v>
      </c>
      <c r="AG100" s="71">
        <v>14.2</v>
      </c>
      <c r="AH100" s="71">
        <f t="shared" si="98"/>
        <v>0.10495189460187641</v>
      </c>
      <c r="AI100" s="71">
        <v>3.5</v>
      </c>
      <c r="AJ100" s="71">
        <f t="shared" si="99"/>
        <v>0.36733163110656747</v>
      </c>
      <c r="AL100" s="67">
        <v>44.6</v>
      </c>
      <c r="AM100" s="67">
        <v>33.6</v>
      </c>
      <c r="AN100" s="67">
        <f t="shared" si="100"/>
        <v>11</v>
      </c>
      <c r="AO100" s="70">
        <f t="shared" si="101"/>
        <v>3.1914363655565601</v>
      </c>
      <c r="AP100" s="70">
        <f t="shared" si="102"/>
        <v>30.408563634443443</v>
      </c>
      <c r="AQ100" s="71">
        <f t="shared" si="103"/>
        <v>0.10495189460187641</v>
      </c>
      <c r="AR100" s="67">
        <v>5.8</v>
      </c>
      <c r="AS100" s="70">
        <f t="shared" si="87"/>
        <v>0.6087209886908832</v>
      </c>
      <c r="AU100" s="70">
        <v>79.099999999999994</v>
      </c>
      <c r="AV100" s="70">
        <v>56.9</v>
      </c>
      <c r="AW100" s="70">
        <f t="shared" si="104"/>
        <v>22.199999999999996</v>
      </c>
      <c r="AX100" s="70">
        <f t="shared" si="105"/>
        <v>5.4045455119097694</v>
      </c>
      <c r="AY100" s="70">
        <f t="shared" si="106"/>
        <v>51.495454488090232</v>
      </c>
      <c r="AZ100" s="71">
        <f t="shared" si="107"/>
        <v>0.10495189460187641</v>
      </c>
      <c r="BA100" s="70">
        <v>17</v>
      </c>
      <c r="BB100" s="70">
        <f t="shared" si="108"/>
        <v>1.784182208231899</v>
      </c>
      <c r="BD100" s="67" t="s">
        <v>16</v>
      </c>
      <c r="BE100" s="64">
        <v>-25.208089940762207</v>
      </c>
      <c r="BF100" s="64">
        <v>0.13894794442643582</v>
      </c>
      <c r="BG100" s="64">
        <v>5.3336344917981435</v>
      </c>
      <c r="BH100" s="66">
        <v>0.27067954437524888</v>
      </c>
      <c r="BI100" s="62">
        <v>0.9</v>
      </c>
      <c r="BN100" s="66"/>
      <c r="BO100" s="62">
        <v>1.8</v>
      </c>
      <c r="BP100" s="63" t="s">
        <v>352</v>
      </c>
    </row>
    <row r="101" spans="1:68" ht="15" customHeight="1" x14ac:dyDescent="0.35">
      <c r="A101" s="67" t="s">
        <v>40</v>
      </c>
      <c r="B101" s="68" t="s">
        <v>14</v>
      </c>
      <c r="C101" s="67" t="str">
        <f t="shared" si="109"/>
        <v>TB1_9-23_G</v>
      </c>
      <c r="D101" s="73">
        <v>45196</v>
      </c>
      <c r="E101" s="73" t="s">
        <v>16</v>
      </c>
      <c r="F101" s="73">
        <v>45275</v>
      </c>
      <c r="H101" s="67" t="str">
        <f t="shared" si="110"/>
        <v>C,N,S</v>
      </c>
      <c r="J101" s="67">
        <v>130.50101010101005</v>
      </c>
      <c r="K101" s="67">
        <v>141.5</v>
      </c>
      <c r="L101" s="67">
        <f>K101-J101</f>
        <v>10.998989898989947</v>
      </c>
      <c r="M101" s="67">
        <f t="shared" si="111"/>
        <v>119.60000000000001</v>
      </c>
      <c r="O101" s="67">
        <f t="shared" si="88"/>
        <v>25.334448160535118</v>
      </c>
      <c r="P101" s="67">
        <f t="shared" si="89"/>
        <v>2.3298774198512557</v>
      </c>
      <c r="Q101" s="67"/>
      <c r="R101" s="67">
        <f t="shared" si="90"/>
        <v>27.257525083612038</v>
      </c>
      <c r="S101" s="67">
        <f t="shared" si="91"/>
        <v>2.5067328015561365</v>
      </c>
      <c r="T101" s="67"/>
      <c r="U101" s="67">
        <f t="shared" si="92"/>
        <v>47.408026755852845</v>
      </c>
      <c r="V101" s="67">
        <f t="shared" si="93"/>
        <v>4.3598696272464093</v>
      </c>
      <c r="W101" s="67"/>
      <c r="X101" s="71">
        <v>38.6</v>
      </c>
      <c r="Y101" s="71">
        <v>30.3</v>
      </c>
      <c r="Z101" s="71">
        <f t="shared" si="94"/>
        <v>8.3000000000000007</v>
      </c>
      <c r="AA101" s="71">
        <f t="shared" si="95"/>
        <v>2.3298774198512557</v>
      </c>
      <c r="AB101" s="71">
        <f t="shared" si="96"/>
        <v>27.970122580148747</v>
      </c>
      <c r="AC101" s="71">
        <f t="shared" si="97"/>
        <v>8.329879188676996E-2</v>
      </c>
      <c r="AD101" s="71">
        <v>16.8</v>
      </c>
      <c r="AE101" s="71">
        <f t="shared" si="85"/>
        <v>1.3994197036977354</v>
      </c>
      <c r="AF101" s="71">
        <f t="shared" si="86"/>
        <v>15.400580296302266</v>
      </c>
      <c r="AG101" s="71">
        <v>16.899999999999999</v>
      </c>
      <c r="AH101" s="71">
        <f t="shared" si="98"/>
        <v>8.329879188676996E-2</v>
      </c>
      <c r="AI101" s="71">
        <v>3.9</v>
      </c>
      <c r="AJ101" s="71">
        <f t="shared" si="99"/>
        <v>0.32486528835840284</v>
      </c>
      <c r="AL101" s="67">
        <v>42.2</v>
      </c>
      <c r="AM101" s="67">
        <v>32.6</v>
      </c>
      <c r="AN101" s="67">
        <f t="shared" si="100"/>
        <v>9.6000000000000014</v>
      </c>
      <c r="AO101" s="70">
        <f t="shared" si="101"/>
        <v>2.5067328015561365</v>
      </c>
      <c r="AP101" s="70">
        <f t="shared" si="102"/>
        <v>30.093267198443865</v>
      </c>
      <c r="AQ101" s="71">
        <f t="shared" si="103"/>
        <v>8.329879188676996E-2</v>
      </c>
      <c r="AR101" s="67">
        <v>7.1</v>
      </c>
      <c r="AS101" s="70">
        <f t="shared" si="87"/>
        <v>0.59142142239606665</v>
      </c>
      <c r="AU101" s="70">
        <v>78.2</v>
      </c>
      <c r="AV101" s="70">
        <v>56.7</v>
      </c>
      <c r="AW101" s="70">
        <f t="shared" si="104"/>
        <v>21.5</v>
      </c>
      <c r="AX101" s="70">
        <f t="shared" si="105"/>
        <v>4.3598696272464093</v>
      </c>
      <c r="AY101" s="70">
        <f t="shared" si="106"/>
        <v>52.340130372753592</v>
      </c>
      <c r="AZ101" s="71">
        <f t="shared" si="107"/>
        <v>8.3298791886769974E-2</v>
      </c>
      <c r="BA101" s="70">
        <v>20.2</v>
      </c>
      <c r="BB101" s="70">
        <f t="shared" si="108"/>
        <v>1.6826355961127535</v>
      </c>
      <c r="BD101" s="67" t="s">
        <v>16</v>
      </c>
      <c r="BE101" s="64">
        <v>-27.904398751840109</v>
      </c>
      <c r="BF101" s="64">
        <v>0.14163434527898336</v>
      </c>
      <c r="BG101" s="64">
        <v>5.8449415371556945</v>
      </c>
      <c r="BH101" s="66">
        <v>2.0942004824806987E-2</v>
      </c>
      <c r="BI101" s="62">
        <v>0.9</v>
      </c>
      <c r="BJ101" s="63" t="s">
        <v>299</v>
      </c>
      <c r="BN101" s="66"/>
      <c r="BO101" s="62">
        <v>1.4</v>
      </c>
      <c r="BP101" s="63" t="s">
        <v>353</v>
      </c>
    </row>
    <row r="102" spans="1:68" ht="15" customHeight="1" x14ac:dyDescent="0.35">
      <c r="A102" s="75" t="s">
        <v>41</v>
      </c>
      <c r="B102" s="76" t="s">
        <v>110</v>
      </c>
      <c r="C102" s="75" t="str">
        <f t="shared" si="109"/>
        <v>TB2_11-24_G</v>
      </c>
      <c r="D102" s="77">
        <v>45612</v>
      </c>
      <c r="E102" s="67" t="s">
        <v>16</v>
      </c>
      <c r="F102" s="77"/>
      <c r="G102" s="75"/>
      <c r="H102" s="67" t="str">
        <f t="shared" si="110"/>
        <v>C,N,S</v>
      </c>
      <c r="I102" s="75">
        <v>134.4</v>
      </c>
      <c r="J102" s="75"/>
      <c r="K102" s="75">
        <v>157.4</v>
      </c>
      <c r="L102" s="75">
        <f>K102-I102</f>
        <v>23</v>
      </c>
      <c r="M102" s="75">
        <f t="shared" si="111"/>
        <v>114.3</v>
      </c>
      <c r="O102" s="67">
        <f t="shared" si="88"/>
        <v>28.783902012248468</v>
      </c>
      <c r="P102" s="67">
        <f t="shared" si="89"/>
        <v>5.7920362754305756</v>
      </c>
      <c r="Q102" s="67"/>
      <c r="R102" s="67">
        <f t="shared" si="90"/>
        <v>25.284339457567807</v>
      </c>
      <c r="S102" s="67">
        <f t="shared" si="91"/>
        <v>5.0878373361684996</v>
      </c>
      <c r="T102" s="67"/>
      <c r="U102" s="67">
        <f t="shared" si="92"/>
        <v>45.931758530183728</v>
      </c>
      <c r="V102" s="67">
        <f t="shared" si="93"/>
        <v>9.2426110778147486</v>
      </c>
      <c r="W102" s="67"/>
      <c r="X102" s="71">
        <v>41</v>
      </c>
      <c r="Y102" s="71">
        <v>32.9</v>
      </c>
      <c r="Z102" s="71">
        <f t="shared" si="94"/>
        <v>8.1000000000000014</v>
      </c>
      <c r="AA102" s="71">
        <f t="shared" si="95"/>
        <v>5.7920362754305756</v>
      </c>
      <c r="AB102" s="71">
        <f t="shared" si="96"/>
        <v>27.107963724569423</v>
      </c>
      <c r="AC102" s="71">
        <f t="shared" si="97"/>
        <v>0.21366548717124548</v>
      </c>
      <c r="AD102" s="71">
        <v>17</v>
      </c>
      <c r="AE102" s="71">
        <f t="shared" si="85"/>
        <v>3.632313281911173</v>
      </c>
      <c r="AF102" s="71">
        <f t="shared" si="86"/>
        <v>13.367686718088827</v>
      </c>
      <c r="AG102" s="71">
        <v>18.5</v>
      </c>
      <c r="AH102" s="71">
        <f t="shared" si="98"/>
        <v>0.21366548717124548</v>
      </c>
      <c r="AI102" s="71">
        <v>3</v>
      </c>
      <c r="AJ102" s="71">
        <f t="shared" si="99"/>
        <v>0.64099646151373646</v>
      </c>
      <c r="AL102" s="67">
        <v>34</v>
      </c>
      <c r="AM102" s="67">
        <v>28.9</v>
      </c>
      <c r="AN102" s="67">
        <f t="shared" si="100"/>
        <v>5.1000000000000014</v>
      </c>
      <c r="AO102" s="70">
        <f t="shared" si="101"/>
        <v>5.0878373361684996</v>
      </c>
      <c r="AP102" s="70">
        <f t="shared" si="102"/>
        <v>23.812162663831501</v>
      </c>
      <c r="AQ102" s="71">
        <f t="shared" si="103"/>
        <v>0.21366548717124545</v>
      </c>
      <c r="AR102" s="67">
        <v>7.2</v>
      </c>
      <c r="AS102" s="70">
        <f t="shared" si="87"/>
        <v>1.5383915076329673</v>
      </c>
      <c r="AU102" s="70">
        <v>65</v>
      </c>
      <c r="AV102" s="70">
        <v>52.5</v>
      </c>
      <c r="AW102" s="70">
        <f t="shared" si="104"/>
        <v>12.5</v>
      </c>
      <c r="AX102" s="70">
        <f t="shared" si="105"/>
        <v>9.2426110778147486</v>
      </c>
      <c r="AY102" s="70">
        <f t="shared" si="106"/>
        <v>43.25738892218525</v>
      </c>
      <c r="AZ102" s="71">
        <f t="shared" si="107"/>
        <v>0.21366548717124548</v>
      </c>
      <c r="BA102" s="70">
        <v>18</v>
      </c>
      <c r="BB102" s="70">
        <f t="shared" si="108"/>
        <v>3.8459787690824188</v>
      </c>
      <c r="BD102" s="67" t="s">
        <v>16</v>
      </c>
      <c r="BE102" s="64">
        <v>-22.859537067678616</v>
      </c>
      <c r="BF102" s="64">
        <v>0.13843161389271655</v>
      </c>
      <c r="BG102" s="64">
        <v>6.2891696060702396</v>
      </c>
      <c r="BH102" s="66">
        <v>0.35607753978904105</v>
      </c>
      <c r="BI102" s="62">
        <v>0.7</v>
      </c>
      <c r="BK102" s="64">
        <v>2.6652692551176917</v>
      </c>
      <c r="BL102" s="65">
        <v>0.25255536433039488</v>
      </c>
      <c r="BM102" s="61">
        <v>0.66960565325186328</v>
      </c>
      <c r="BN102" s="66">
        <v>9.2846177506530833E-3</v>
      </c>
      <c r="BO102" s="62">
        <v>1.9</v>
      </c>
      <c r="BP102" s="63" t="s">
        <v>299</v>
      </c>
    </row>
    <row r="103" spans="1:68" ht="15" customHeight="1" x14ac:dyDescent="0.35">
      <c r="A103" s="67" t="s">
        <v>41</v>
      </c>
      <c r="B103" s="68" t="s">
        <v>63</v>
      </c>
      <c r="C103" s="67" t="str">
        <f t="shared" si="109"/>
        <v>TB2_8-24_G</v>
      </c>
      <c r="D103" s="73">
        <v>45505</v>
      </c>
      <c r="E103" s="67" t="s">
        <v>16</v>
      </c>
      <c r="H103" s="67" t="str">
        <f t="shared" si="110"/>
        <v>C,N,S</v>
      </c>
      <c r="I103" s="67">
        <v>134.19999999999999</v>
      </c>
      <c r="K103" s="67">
        <v>168.3</v>
      </c>
      <c r="L103" s="67">
        <f>K103-I103</f>
        <v>34.100000000000023</v>
      </c>
      <c r="M103" s="67">
        <f t="shared" si="111"/>
        <v>114.30000000000001</v>
      </c>
      <c r="O103" s="67">
        <f t="shared" si="88"/>
        <v>24.321959755030619</v>
      </c>
      <c r="P103" s="67">
        <f t="shared" si="89"/>
        <v>7.2561577221919915</v>
      </c>
      <c r="Q103" s="67"/>
      <c r="R103" s="67">
        <f t="shared" si="90"/>
        <v>25.634295713035872</v>
      </c>
      <c r="S103" s="67">
        <f t="shared" si="91"/>
        <v>7.6476770237491136</v>
      </c>
      <c r="T103" s="67"/>
      <c r="U103" s="67">
        <f t="shared" si="92"/>
        <v>50.043744531933513</v>
      </c>
      <c r="V103" s="67">
        <f t="shared" si="93"/>
        <v>14.929936032711581</v>
      </c>
      <c r="W103" s="67"/>
      <c r="X103" s="71">
        <v>40.200000000000003</v>
      </c>
      <c r="Y103" s="71">
        <v>27.8</v>
      </c>
      <c r="Z103" s="71">
        <f t="shared" si="94"/>
        <v>12.400000000000002</v>
      </c>
      <c r="AA103" s="71">
        <f t="shared" si="95"/>
        <v>7.2561577221919915</v>
      </c>
      <c r="AB103" s="71">
        <f t="shared" si="96"/>
        <v>20.543842277808011</v>
      </c>
      <c r="AC103" s="71">
        <f t="shared" si="97"/>
        <v>0.3532035353498737</v>
      </c>
      <c r="AD103" s="71">
        <v>17.3</v>
      </c>
      <c r="AE103" s="71">
        <f t="shared" si="85"/>
        <v>6.1104211615528152</v>
      </c>
      <c r="AF103" s="71">
        <f t="shared" si="86"/>
        <v>11.189578838447186</v>
      </c>
      <c r="AG103" s="71">
        <v>20.9</v>
      </c>
      <c r="AH103" s="71">
        <f t="shared" si="98"/>
        <v>0.3532035353498737</v>
      </c>
      <c r="AI103" s="71">
        <v>2.8</v>
      </c>
      <c r="AJ103" s="71">
        <f t="shared" si="99"/>
        <v>0.98896989897964627</v>
      </c>
      <c r="AL103" s="67">
        <v>44</v>
      </c>
      <c r="AM103" s="67">
        <v>29.3</v>
      </c>
      <c r="AN103" s="67">
        <f t="shared" si="100"/>
        <v>14.7</v>
      </c>
      <c r="AO103" s="70">
        <f t="shared" si="101"/>
        <v>7.6476770237491136</v>
      </c>
      <c r="AP103" s="70">
        <f t="shared" si="102"/>
        <v>21.652322976250886</v>
      </c>
      <c r="AQ103" s="71">
        <f t="shared" si="103"/>
        <v>0.35320353534987375</v>
      </c>
      <c r="AR103" s="67">
        <v>5</v>
      </c>
      <c r="AS103" s="70">
        <f t="shared" si="87"/>
        <v>1.7660176767493687</v>
      </c>
      <c r="AU103" s="70">
        <v>80.900000000000006</v>
      </c>
      <c r="AV103" s="70">
        <v>57.2</v>
      </c>
      <c r="AW103" s="70">
        <f t="shared" si="104"/>
        <v>23.700000000000003</v>
      </c>
      <c r="AX103" s="70">
        <f t="shared" si="105"/>
        <v>14.929936032711581</v>
      </c>
      <c r="AY103" s="70">
        <f t="shared" si="106"/>
        <v>42.270063967288422</v>
      </c>
      <c r="AZ103" s="71">
        <f t="shared" si="107"/>
        <v>0.35320353534987375</v>
      </c>
      <c r="BA103" s="70">
        <v>17.2</v>
      </c>
      <c r="BB103" s="70">
        <f t="shared" si="108"/>
        <v>6.0751008080178286</v>
      </c>
      <c r="BD103" s="67" t="s">
        <v>16</v>
      </c>
      <c r="BE103" s="64">
        <v>-22.126868863682454</v>
      </c>
      <c r="BF103" s="64">
        <v>0.13829050501905385</v>
      </c>
      <c r="BG103" s="64">
        <v>3.7828557526919071</v>
      </c>
      <c r="BH103" s="66">
        <v>0.25832681361266474</v>
      </c>
      <c r="BI103" s="62">
        <v>1</v>
      </c>
      <c r="BN103" s="66"/>
      <c r="BO103" s="62">
        <v>1.7</v>
      </c>
      <c r="BP103" s="63" t="s">
        <v>354</v>
      </c>
    </row>
    <row r="104" spans="1:68" ht="15" customHeight="1" x14ac:dyDescent="0.35">
      <c r="A104" s="67" t="s">
        <v>41</v>
      </c>
      <c r="B104" s="68" t="s">
        <v>14</v>
      </c>
      <c r="C104" s="67" t="str">
        <f t="shared" si="109"/>
        <v>TB2_9-23_G</v>
      </c>
      <c r="D104" s="73">
        <v>45196</v>
      </c>
      <c r="E104" s="73" t="s">
        <v>16</v>
      </c>
      <c r="F104" s="73">
        <v>45275</v>
      </c>
      <c r="H104" s="67" t="str">
        <f t="shared" si="110"/>
        <v>C,N,S</v>
      </c>
      <c r="J104" s="67">
        <v>130.50101010101005</v>
      </c>
      <c r="K104" s="67">
        <v>157.19999999999999</v>
      </c>
      <c r="L104" s="67">
        <f>K104-J104</f>
        <v>26.698989898989936</v>
      </c>
      <c r="M104" s="67">
        <f t="shared" si="111"/>
        <v>119.7</v>
      </c>
      <c r="O104" s="67">
        <f t="shared" si="88"/>
        <v>25.730994152046783</v>
      </c>
      <c r="P104" s="67">
        <f t="shared" si="89"/>
        <v>5.7392778024767432</v>
      </c>
      <c r="Q104" s="67"/>
      <c r="R104" s="67">
        <f t="shared" si="90"/>
        <v>22.807017543859647</v>
      </c>
      <c r="S104" s="67">
        <f t="shared" si="91"/>
        <v>5.0870871431043856</v>
      </c>
      <c r="T104" s="67"/>
      <c r="U104" s="67">
        <f t="shared" si="92"/>
        <v>51.461988304093566</v>
      </c>
      <c r="V104" s="67">
        <f t="shared" si="93"/>
        <v>11.478555604953486</v>
      </c>
      <c r="W104" s="67"/>
      <c r="X104" s="71">
        <v>44.7</v>
      </c>
      <c r="Y104" s="71">
        <v>30.8</v>
      </c>
      <c r="Z104" s="71">
        <f t="shared" si="94"/>
        <v>13.900000000000002</v>
      </c>
      <c r="AA104" s="71">
        <f t="shared" si="95"/>
        <v>5.7392778024767432</v>
      </c>
      <c r="AB104" s="71">
        <f t="shared" si="96"/>
        <v>25.060722197523258</v>
      </c>
      <c r="AC104" s="71">
        <f t="shared" si="97"/>
        <v>0.22901486067484336</v>
      </c>
      <c r="AD104" s="71">
        <v>19.8</v>
      </c>
      <c r="AE104" s="71">
        <f t="shared" si="85"/>
        <v>4.5344942413618989</v>
      </c>
      <c r="AF104" s="71">
        <f t="shared" si="86"/>
        <v>15.265505758638103</v>
      </c>
      <c r="AG104" s="71">
        <v>21.3</v>
      </c>
      <c r="AH104" s="71">
        <f t="shared" si="98"/>
        <v>0.22901486067484336</v>
      </c>
      <c r="AI104" s="71">
        <v>2.2999999999999998</v>
      </c>
      <c r="AJ104" s="71">
        <f t="shared" si="99"/>
        <v>0.52673417955213975</v>
      </c>
      <c r="AL104" s="67">
        <v>43.4</v>
      </c>
      <c r="AM104" s="67">
        <v>27.3</v>
      </c>
      <c r="AN104" s="67">
        <f t="shared" si="100"/>
        <v>16.099999999999998</v>
      </c>
      <c r="AO104" s="70">
        <f t="shared" si="101"/>
        <v>5.0870871431043856</v>
      </c>
      <c r="AP104" s="70">
        <f t="shared" si="102"/>
        <v>22.212912856895613</v>
      </c>
      <c r="AQ104" s="71">
        <f t="shared" si="103"/>
        <v>0.22901486067484336</v>
      </c>
      <c r="AR104" s="67">
        <v>3.1</v>
      </c>
      <c r="AS104" s="70">
        <f t="shared" si="87"/>
        <v>0.70994606809201444</v>
      </c>
      <c r="AU104" s="70">
        <v>89.5</v>
      </c>
      <c r="AV104" s="70">
        <v>61.6</v>
      </c>
      <c r="AW104" s="70">
        <f t="shared" si="104"/>
        <v>27.9</v>
      </c>
      <c r="AX104" s="70">
        <f t="shared" si="105"/>
        <v>11.478555604953486</v>
      </c>
      <c r="AY104" s="70">
        <f t="shared" si="106"/>
        <v>50.121444395046517</v>
      </c>
      <c r="AZ104" s="71">
        <f t="shared" si="107"/>
        <v>0.22901486067484336</v>
      </c>
      <c r="BA104" s="70">
        <v>13.1</v>
      </c>
      <c r="BB104" s="70">
        <f t="shared" si="108"/>
        <v>3.0000946748404478</v>
      </c>
      <c r="BD104" s="67" t="s">
        <v>16</v>
      </c>
      <c r="BE104" s="64">
        <v>-20.168099065736467</v>
      </c>
      <c r="BF104" s="64">
        <v>0.13945734019214936</v>
      </c>
      <c r="BG104" s="64">
        <v>5.3597240591221231</v>
      </c>
      <c r="BH104" s="66">
        <v>1.8732937604665666E-2</v>
      </c>
      <c r="BI104" s="62">
        <v>1</v>
      </c>
      <c r="BJ104" s="63" t="s">
        <v>299</v>
      </c>
      <c r="BK104" s="64">
        <v>2.9815471027828577</v>
      </c>
      <c r="BL104" s="65">
        <v>0.29924014522431147</v>
      </c>
      <c r="BM104" s="61">
        <v>0.64728256158908271</v>
      </c>
      <c r="BN104" s="66">
        <v>9.7206292647795713E-3</v>
      </c>
      <c r="BO104" s="62">
        <v>1.8</v>
      </c>
      <c r="BP104" s="63" t="s">
        <v>299</v>
      </c>
    </row>
    <row r="105" spans="1:68" ht="15" customHeight="1" x14ac:dyDescent="0.35">
      <c r="A105" s="67" t="s">
        <v>50</v>
      </c>
      <c r="B105" s="68" t="s">
        <v>62</v>
      </c>
      <c r="C105" s="67" t="str">
        <f t="shared" si="109"/>
        <v>TBC_4-24_G</v>
      </c>
      <c r="D105" s="73">
        <v>45390</v>
      </c>
      <c r="E105" s="73" t="s">
        <v>16</v>
      </c>
      <c r="F105" s="73">
        <v>45544</v>
      </c>
      <c r="H105" s="67" t="str">
        <f t="shared" si="110"/>
        <v>C,N,S</v>
      </c>
      <c r="I105" s="67">
        <v>132</v>
      </c>
      <c r="K105" s="67">
        <v>160.19999999999999</v>
      </c>
      <c r="L105" s="67">
        <f>K105-I105</f>
        <v>28.199999999999989</v>
      </c>
      <c r="M105" s="67">
        <f t="shared" si="111"/>
        <v>119.8</v>
      </c>
      <c r="O105" s="67">
        <f t="shared" si="88"/>
        <v>25.208681135225376</v>
      </c>
      <c r="P105" s="67">
        <f t="shared" si="89"/>
        <v>5.9339299500280074</v>
      </c>
      <c r="Q105" s="67"/>
      <c r="R105" s="67">
        <f t="shared" si="90"/>
        <v>23.956594323873119</v>
      </c>
      <c r="S105" s="67">
        <f t="shared" si="91"/>
        <v>5.6391983299935031</v>
      </c>
      <c r="T105" s="67"/>
      <c r="U105" s="67">
        <f t="shared" si="92"/>
        <v>50.834724540901497</v>
      </c>
      <c r="V105" s="67">
        <f t="shared" si="93"/>
        <v>11.966103773400848</v>
      </c>
      <c r="W105" s="67"/>
      <c r="X105" s="71">
        <v>44.4</v>
      </c>
      <c r="Y105" s="71">
        <v>30.2</v>
      </c>
      <c r="Z105" s="71">
        <f t="shared" si="94"/>
        <v>14.2</v>
      </c>
      <c r="AA105" s="71">
        <f t="shared" si="95"/>
        <v>5.9339299500280074</v>
      </c>
      <c r="AB105" s="71">
        <f t="shared" si="96"/>
        <v>24.266070049971994</v>
      </c>
      <c r="AC105" s="71">
        <f t="shared" si="97"/>
        <v>0.24453609248667177</v>
      </c>
      <c r="AD105" s="71">
        <v>20</v>
      </c>
      <c r="AE105" s="71">
        <f t="shared" si="85"/>
        <v>4.8907218497334357</v>
      </c>
      <c r="AF105" s="71">
        <f t="shared" si="86"/>
        <v>15.109278150266565</v>
      </c>
      <c r="AG105" s="71">
        <v>19.600000000000001</v>
      </c>
      <c r="AH105" s="71">
        <f t="shared" si="98"/>
        <v>0.24453609248667177</v>
      </c>
      <c r="AI105" s="71">
        <v>2.2999999999999998</v>
      </c>
      <c r="AJ105" s="71">
        <f t="shared" si="99"/>
        <v>0.56243301271934498</v>
      </c>
      <c r="AL105" s="67">
        <v>42.9</v>
      </c>
      <c r="AM105" s="67">
        <v>28.7</v>
      </c>
      <c r="AN105" s="67">
        <f t="shared" si="100"/>
        <v>14.2</v>
      </c>
      <c r="AO105" s="70">
        <f t="shared" si="101"/>
        <v>5.6391983299935031</v>
      </c>
      <c r="AP105" s="70">
        <f t="shared" si="102"/>
        <v>23.060801670006498</v>
      </c>
      <c r="AQ105" s="71">
        <f t="shared" si="103"/>
        <v>0.24453609248667174</v>
      </c>
      <c r="AR105" s="67">
        <v>4</v>
      </c>
      <c r="AS105" s="70">
        <f t="shared" si="87"/>
        <v>0.97814436994668696</v>
      </c>
      <c r="AU105" s="70">
        <v>91.1</v>
      </c>
      <c r="AV105" s="70">
        <v>60.9</v>
      </c>
      <c r="AW105" s="70">
        <f t="shared" si="104"/>
        <v>30.199999999999996</v>
      </c>
      <c r="AX105" s="70">
        <f t="shared" si="105"/>
        <v>11.966103773400848</v>
      </c>
      <c r="AY105" s="70">
        <f t="shared" si="106"/>
        <v>48.933896226599153</v>
      </c>
      <c r="AZ105" s="71">
        <f t="shared" si="107"/>
        <v>0.24453609248667174</v>
      </c>
      <c r="BA105" s="70">
        <v>12.6</v>
      </c>
      <c r="BB105" s="70">
        <f t="shared" si="108"/>
        <v>3.0811547653320637</v>
      </c>
      <c r="BD105" s="67" t="s">
        <v>16</v>
      </c>
      <c r="BE105" s="64">
        <v>-28.810208797233159</v>
      </c>
      <c r="BF105" s="64">
        <v>0.13903054361411094</v>
      </c>
      <c r="BG105" s="64">
        <v>5.4687811226385605</v>
      </c>
      <c r="BH105" s="66">
        <v>0.19771618521485407</v>
      </c>
      <c r="BI105" s="62">
        <v>0.9</v>
      </c>
      <c r="BJ105" s="63" t="s">
        <v>299</v>
      </c>
      <c r="BK105" s="64">
        <v>2.1923112447863518</v>
      </c>
      <c r="BL105" s="65">
        <v>0.30080822272155283</v>
      </c>
      <c r="BM105" s="61">
        <v>0.83143081132809016</v>
      </c>
      <c r="BN105" s="66">
        <v>1.0398067793433241E-2</v>
      </c>
      <c r="BO105" s="62">
        <v>1.6</v>
      </c>
      <c r="BP105" s="63" t="s">
        <v>299</v>
      </c>
    </row>
    <row r="106" spans="1:68" ht="15" customHeight="1" x14ac:dyDescent="0.35">
      <c r="A106" s="67" t="s">
        <v>50</v>
      </c>
      <c r="B106" s="68" t="s">
        <v>63</v>
      </c>
      <c r="C106" s="67" t="str">
        <f t="shared" si="109"/>
        <v>TBC_8-24_G</v>
      </c>
      <c r="D106" s="73">
        <v>45505</v>
      </c>
      <c r="E106" s="67" t="s">
        <v>16</v>
      </c>
      <c r="H106" s="67" t="str">
        <f t="shared" si="110"/>
        <v>C,N,S</v>
      </c>
      <c r="I106" s="67">
        <v>133.6</v>
      </c>
      <c r="K106" s="67">
        <v>163.9</v>
      </c>
      <c r="L106" s="67">
        <f>K106-I106</f>
        <v>30.300000000000011</v>
      </c>
      <c r="M106" s="67">
        <f t="shared" si="111"/>
        <v>119</v>
      </c>
      <c r="O106" s="67">
        <f t="shared" si="88"/>
        <v>23.193277310924369</v>
      </c>
      <c r="P106" s="67">
        <f t="shared" si="89"/>
        <v>5.9055151472353664</v>
      </c>
      <c r="Q106" s="67"/>
      <c r="R106" s="67">
        <f t="shared" si="90"/>
        <v>25.294117647058822</v>
      </c>
      <c r="S106" s="67">
        <f t="shared" si="91"/>
        <v>6.440434997528425</v>
      </c>
      <c r="T106" s="67"/>
      <c r="U106" s="67">
        <f t="shared" si="92"/>
        <v>51.512605042016801</v>
      </c>
      <c r="V106" s="67">
        <f t="shared" si="93"/>
        <v>13.116234729185795</v>
      </c>
      <c r="W106" s="67"/>
      <c r="X106" s="71">
        <v>41.5</v>
      </c>
      <c r="Y106" s="71">
        <v>27.6</v>
      </c>
      <c r="Z106" s="71">
        <f t="shared" si="94"/>
        <v>13.899999999999999</v>
      </c>
      <c r="AA106" s="71">
        <f t="shared" si="95"/>
        <v>5.9055151472353664</v>
      </c>
      <c r="AB106" s="71">
        <f t="shared" si="96"/>
        <v>21.694484852764635</v>
      </c>
      <c r="AC106" s="71">
        <f t="shared" si="97"/>
        <v>0.27221273919683775</v>
      </c>
      <c r="AD106" s="71">
        <v>18.2</v>
      </c>
      <c r="AE106" s="71">
        <f t="shared" si="85"/>
        <v>4.9542718533824468</v>
      </c>
      <c r="AF106" s="71">
        <f t="shared" si="86"/>
        <v>13.245728146617552</v>
      </c>
      <c r="AG106" s="71">
        <v>17.8</v>
      </c>
      <c r="AH106" s="71">
        <f t="shared" si="98"/>
        <v>0.27221273919683775</v>
      </c>
      <c r="AI106" s="71">
        <v>2.5</v>
      </c>
      <c r="AJ106" s="71">
        <f t="shared" si="99"/>
        <v>0.68053184799209432</v>
      </c>
      <c r="AL106" s="67">
        <v>42.1</v>
      </c>
      <c r="AM106" s="67">
        <v>30.1</v>
      </c>
      <c r="AN106" s="67">
        <f t="shared" si="100"/>
        <v>12</v>
      </c>
      <c r="AO106" s="70">
        <f t="shared" si="101"/>
        <v>6.440434997528425</v>
      </c>
      <c r="AP106" s="70">
        <f t="shared" si="102"/>
        <v>23.659565002471577</v>
      </c>
      <c r="AQ106" s="71">
        <f t="shared" si="103"/>
        <v>0.27221273919683775</v>
      </c>
      <c r="AR106" s="67">
        <v>5.0999999999999996</v>
      </c>
      <c r="AS106" s="70">
        <f t="shared" si="87"/>
        <v>1.3882849699038724</v>
      </c>
      <c r="AU106" s="70">
        <v>84.3</v>
      </c>
      <c r="AV106" s="70">
        <v>61.3</v>
      </c>
      <c r="AW106" s="70">
        <f t="shared" si="104"/>
        <v>23</v>
      </c>
      <c r="AX106" s="70">
        <f t="shared" si="105"/>
        <v>13.116234729185795</v>
      </c>
      <c r="AY106" s="70">
        <f t="shared" si="106"/>
        <v>48.183765270814206</v>
      </c>
      <c r="AZ106" s="71">
        <f t="shared" si="107"/>
        <v>0.27221273919683775</v>
      </c>
      <c r="BA106" s="70">
        <v>14.1</v>
      </c>
      <c r="BB106" s="70">
        <f t="shared" si="108"/>
        <v>3.838199622675412</v>
      </c>
      <c r="BD106" s="67" t="s">
        <v>16</v>
      </c>
      <c r="BE106" s="64">
        <v>-23.741796012355934</v>
      </c>
      <c r="BF106" s="64">
        <v>0.20683710744243949</v>
      </c>
      <c r="BG106" s="64">
        <v>2.9512726115623424</v>
      </c>
      <c r="BH106" s="66">
        <v>0.22778988889119206</v>
      </c>
      <c r="BI106" s="62">
        <v>0.9</v>
      </c>
      <c r="BJ106" s="63" t="s">
        <v>302</v>
      </c>
      <c r="BN106" s="66"/>
      <c r="BO106" s="62">
        <v>1.5</v>
      </c>
      <c r="BP106" s="63" t="s">
        <v>355</v>
      </c>
    </row>
    <row r="107" spans="1:68" ht="15" customHeight="1" x14ac:dyDescent="0.35">
      <c r="A107" s="67" t="s">
        <v>50</v>
      </c>
      <c r="B107" s="68" t="s">
        <v>14</v>
      </c>
      <c r="C107" s="67" t="str">
        <f t="shared" si="109"/>
        <v>TBC_9-23_G</v>
      </c>
      <c r="D107" s="73">
        <v>45196</v>
      </c>
      <c r="E107" s="73" t="s">
        <v>16</v>
      </c>
      <c r="F107" s="73">
        <v>45275</v>
      </c>
      <c r="H107" s="67" t="str">
        <f t="shared" si="110"/>
        <v>C,N,S</v>
      </c>
      <c r="J107" s="67">
        <v>130.50101010101005</v>
      </c>
      <c r="K107" s="67">
        <v>153.19999999999999</v>
      </c>
      <c r="L107" s="67">
        <f>K107-J107</f>
        <v>22.698989898989936</v>
      </c>
      <c r="M107" s="67">
        <f t="shared" si="111"/>
        <v>130.80000000000001</v>
      </c>
      <c r="O107" s="67">
        <f t="shared" si="88"/>
        <v>27.752293577981646</v>
      </c>
      <c r="P107" s="67">
        <f t="shared" si="89"/>
        <v>4.8161240948043469</v>
      </c>
      <c r="Q107" s="67"/>
      <c r="R107" s="67">
        <f t="shared" si="90"/>
        <v>25</v>
      </c>
      <c r="S107" s="67">
        <f t="shared" si="91"/>
        <v>4.338491953170859</v>
      </c>
      <c r="T107" s="67"/>
      <c r="U107" s="67">
        <f t="shared" si="92"/>
        <v>47.247706422018339</v>
      </c>
      <c r="V107" s="67">
        <f t="shared" si="93"/>
        <v>8.1993517647082275</v>
      </c>
      <c r="W107" s="67"/>
      <c r="X107" s="71">
        <v>47.2</v>
      </c>
      <c r="Y107" s="71">
        <v>36.299999999999997</v>
      </c>
      <c r="Z107" s="71">
        <f t="shared" si="94"/>
        <v>10.900000000000006</v>
      </c>
      <c r="AA107" s="71">
        <f t="shared" si="95"/>
        <v>4.8161240948043469</v>
      </c>
      <c r="AB107" s="71">
        <f t="shared" si="96"/>
        <v>31.483875905195649</v>
      </c>
      <c r="AC107" s="71">
        <f t="shared" si="97"/>
        <v>0.15297113066087148</v>
      </c>
      <c r="AD107" s="71">
        <v>23.9</v>
      </c>
      <c r="AE107" s="71">
        <f t="shared" si="85"/>
        <v>3.656010022794828</v>
      </c>
      <c r="AF107" s="71">
        <f t="shared" si="86"/>
        <v>20.243989977205171</v>
      </c>
      <c r="AG107" s="71">
        <v>29.7</v>
      </c>
      <c r="AH107" s="71">
        <f t="shared" si="98"/>
        <v>0.15297113066087148</v>
      </c>
      <c r="AI107" s="71">
        <v>3</v>
      </c>
      <c r="AJ107" s="71">
        <f t="shared" si="99"/>
        <v>0.45891339198261444</v>
      </c>
      <c r="AL107" s="67">
        <v>44.9</v>
      </c>
      <c r="AM107" s="67">
        <v>32.700000000000003</v>
      </c>
      <c r="AN107" s="67">
        <f t="shared" si="100"/>
        <v>12.199999999999996</v>
      </c>
      <c r="AO107" s="70">
        <f t="shared" si="101"/>
        <v>4.338491953170859</v>
      </c>
      <c r="AP107" s="70">
        <f t="shared" si="102"/>
        <v>28.361508046829144</v>
      </c>
      <c r="AQ107" s="71">
        <f t="shared" si="103"/>
        <v>0.15297113066087148</v>
      </c>
      <c r="AR107" s="67">
        <v>5</v>
      </c>
      <c r="AS107" s="70">
        <f t="shared" si="87"/>
        <v>0.76485565330435734</v>
      </c>
      <c r="AU107" s="70">
        <v>72.7</v>
      </c>
      <c r="AV107" s="70">
        <v>61.8</v>
      </c>
      <c r="AW107" s="70">
        <f t="shared" si="104"/>
        <v>10.900000000000006</v>
      </c>
      <c r="AX107" s="70">
        <f t="shared" si="105"/>
        <v>8.1993517647082275</v>
      </c>
      <c r="AY107" s="70">
        <f t="shared" si="106"/>
        <v>53.600648235291771</v>
      </c>
      <c r="AZ107" s="71">
        <f t="shared" si="107"/>
        <v>0.15297113066087148</v>
      </c>
      <c r="BA107" s="70">
        <v>15.4</v>
      </c>
      <c r="BB107" s="70">
        <f t="shared" si="108"/>
        <v>2.3557554121774209</v>
      </c>
      <c r="BD107" s="67" t="s">
        <v>16</v>
      </c>
      <c r="BE107" s="64">
        <v>-23.481137036268859</v>
      </c>
      <c r="BF107" s="64">
        <v>0.14027367085069059</v>
      </c>
      <c r="BG107" s="64">
        <v>3.0482633460733246</v>
      </c>
      <c r="BH107" s="66">
        <v>2.1701407560433587E-2</v>
      </c>
      <c r="BI107" s="62">
        <v>1</v>
      </c>
      <c r="BJ107" s="63" t="s">
        <v>299</v>
      </c>
      <c r="BN107" s="66"/>
      <c r="BO107" s="62">
        <v>1.6</v>
      </c>
      <c r="BP107" s="63" t="s">
        <v>356</v>
      </c>
    </row>
    <row r="108" spans="1:68" ht="15" customHeight="1" x14ac:dyDescent="0.35">
      <c r="A108" s="67" t="s">
        <v>39</v>
      </c>
      <c r="B108" s="68" t="s">
        <v>62</v>
      </c>
      <c r="C108" s="67" t="str">
        <f t="shared" si="109"/>
        <v>TBCM_4-24_G</v>
      </c>
      <c r="D108" s="73">
        <v>45390</v>
      </c>
      <c r="E108" s="73" t="s">
        <v>16</v>
      </c>
      <c r="F108" s="73">
        <v>45541</v>
      </c>
      <c r="H108" s="67" t="str">
        <f t="shared" si="110"/>
        <v>C,N,S</v>
      </c>
      <c r="I108" s="67">
        <v>128.4</v>
      </c>
      <c r="K108" s="67">
        <v>149</v>
      </c>
      <c r="L108" s="67">
        <f>K108-I108</f>
        <v>20.599999999999994</v>
      </c>
      <c r="M108" s="67">
        <f t="shared" si="111"/>
        <v>115.9</v>
      </c>
      <c r="O108" s="67">
        <f t="shared" si="88"/>
        <v>24.849007765314926</v>
      </c>
      <c r="P108" s="67">
        <f t="shared" si="89"/>
        <v>4.4166484897798739</v>
      </c>
      <c r="Q108" s="67"/>
      <c r="R108" s="67">
        <f t="shared" si="90"/>
        <v>27.264883520276101</v>
      </c>
      <c r="S108" s="67">
        <f t="shared" si="91"/>
        <v>4.8460448707306947</v>
      </c>
      <c r="T108" s="67"/>
      <c r="U108" s="67">
        <f t="shared" si="92"/>
        <v>47.886108714408969</v>
      </c>
      <c r="V108" s="67">
        <f t="shared" si="93"/>
        <v>8.5112496938466293</v>
      </c>
      <c r="W108" s="67"/>
      <c r="X108" s="71">
        <v>40.9</v>
      </c>
      <c r="Y108" s="71">
        <v>28.8</v>
      </c>
      <c r="Z108" s="71">
        <f t="shared" si="94"/>
        <v>12.099999999999998</v>
      </c>
      <c r="AA108" s="71">
        <f t="shared" si="95"/>
        <v>4.4166484897798739</v>
      </c>
      <c r="AB108" s="71">
        <f t="shared" si="96"/>
        <v>24.383351510220127</v>
      </c>
      <c r="AC108" s="71">
        <f t="shared" si="97"/>
        <v>0.18113377432666153</v>
      </c>
      <c r="AD108" s="71">
        <v>20.100000000000001</v>
      </c>
      <c r="AE108" s="71">
        <f t="shared" ref="AE108:AE136" si="112">AD108*AC108</f>
        <v>3.6407888639658972</v>
      </c>
      <c r="AF108" s="71">
        <f t="shared" ref="AF108:AF125" si="113">AD108-AE108</f>
        <v>16.459211136034103</v>
      </c>
      <c r="AG108" s="71">
        <v>21</v>
      </c>
      <c r="AH108" s="71">
        <f t="shared" si="98"/>
        <v>0.18113377432666153</v>
      </c>
      <c r="AI108" s="71">
        <v>2.4</v>
      </c>
      <c r="AJ108" s="71">
        <f t="shared" si="99"/>
        <v>0.43472105838398767</v>
      </c>
      <c r="AL108" s="67">
        <v>44</v>
      </c>
      <c r="AM108" s="67">
        <v>31.6</v>
      </c>
      <c r="AN108" s="67">
        <f t="shared" si="100"/>
        <v>12.399999999999999</v>
      </c>
      <c r="AO108" s="70">
        <f t="shared" si="101"/>
        <v>4.8460448707306947</v>
      </c>
      <c r="AP108" s="70">
        <f t="shared" si="102"/>
        <v>26.753955129269308</v>
      </c>
      <c r="AQ108" s="71">
        <f t="shared" si="103"/>
        <v>0.1811337743266615</v>
      </c>
      <c r="AR108" s="67">
        <v>5</v>
      </c>
      <c r="AS108" s="70">
        <f t="shared" si="87"/>
        <v>0.90566887163330745</v>
      </c>
      <c r="AU108" s="70">
        <v>84</v>
      </c>
      <c r="AV108" s="70">
        <v>55.5</v>
      </c>
      <c r="AW108" s="70">
        <f t="shared" si="104"/>
        <v>28.5</v>
      </c>
      <c r="AX108" s="70">
        <f t="shared" si="105"/>
        <v>8.5112496938466293</v>
      </c>
      <c r="AY108" s="70">
        <f t="shared" si="106"/>
        <v>46.988750306153371</v>
      </c>
      <c r="AZ108" s="71">
        <f t="shared" si="107"/>
        <v>0.18113377432666147</v>
      </c>
      <c r="BA108" s="70">
        <v>12.2</v>
      </c>
      <c r="BB108" s="70">
        <f t="shared" si="108"/>
        <v>2.2098320467852699</v>
      </c>
      <c r="BD108" s="67" t="s">
        <v>16</v>
      </c>
      <c r="BE108" s="64">
        <v>-24.2339531697476</v>
      </c>
      <c r="BF108" s="64">
        <v>0.22512779732872079</v>
      </c>
      <c r="BG108" s="64">
        <v>3.4626354941429591</v>
      </c>
      <c r="BH108" s="66">
        <v>5.518631741257328E-2</v>
      </c>
      <c r="BI108" s="62">
        <v>0.8</v>
      </c>
      <c r="BJ108" s="63" t="s">
        <v>302</v>
      </c>
      <c r="BN108" s="66"/>
      <c r="BO108" s="62">
        <v>1.1000000000000001</v>
      </c>
      <c r="BP108" s="63" t="s">
        <v>357</v>
      </c>
    </row>
    <row r="109" spans="1:68" ht="15" customHeight="1" x14ac:dyDescent="0.35">
      <c r="A109" s="67" t="s">
        <v>39</v>
      </c>
      <c r="B109" s="68" t="s">
        <v>63</v>
      </c>
      <c r="C109" s="67" t="str">
        <f t="shared" si="109"/>
        <v>TBCM_8-24_G</v>
      </c>
      <c r="D109" s="73">
        <v>45505</v>
      </c>
      <c r="E109" s="67" t="s">
        <v>16</v>
      </c>
      <c r="H109" s="67" t="str">
        <f t="shared" si="110"/>
        <v>C,N,S</v>
      </c>
      <c r="I109" s="67">
        <v>129.5</v>
      </c>
      <c r="K109" s="67">
        <v>152</v>
      </c>
      <c r="L109" s="67">
        <f>K109-I109</f>
        <v>22.5</v>
      </c>
      <c r="M109" s="67">
        <f t="shared" si="111"/>
        <v>140.30000000000001</v>
      </c>
      <c r="O109" s="67">
        <f t="shared" si="88"/>
        <v>23.877405559515321</v>
      </c>
      <c r="P109" s="67">
        <f t="shared" si="89"/>
        <v>3.8292346763299689</v>
      </c>
      <c r="Q109" s="67"/>
      <c r="R109" s="67">
        <f t="shared" si="90"/>
        <v>24.946543121881682</v>
      </c>
      <c r="S109" s="67">
        <f t="shared" si="91"/>
        <v>4.0006929454193711</v>
      </c>
      <c r="T109" s="67"/>
      <c r="U109" s="67">
        <f t="shared" si="92"/>
        <v>51.176051318602987</v>
      </c>
      <c r="V109" s="67">
        <f t="shared" si="93"/>
        <v>8.2071358137460226</v>
      </c>
      <c r="W109" s="67"/>
      <c r="X109" s="71">
        <v>43</v>
      </c>
      <c r="Y109" s="71">
        <v>33.5</v>
      </c>
      <c r="Z109" s="71">
        <f t="shared" si="94"/>
        <v>9.5</v>
      </c>
      <c r="AA109" s="71">
        <f t="shared" si="95"/>
        <v>3.8292346763299689</v>
      </c>
      <c r="AB109" s="71">
        <f t="shared" si="96"/>
        <v>29.670765323670032</v>
      </c>
      <c r="AC109" s="71">
        <f t="shared" si="97"/>
        <v>0.12905749597484006</v>
      </c>
      <c r="AD109" s="71">
        <v>21.2</v>
      </c>
      <c r="AE109" s="71">
        <f t="shared" si="112"/>
        <v>2.7360189146666092</v>
      </c>
      <c r="AF109" s="71">
        <f t="shared" si="113"/>
        <v>18.463981085333391</v>
      </c>
      <c r="AG109" s="71">
        <v>24</v>
      </c>
      <c r="AH109" s="71">
        <f t="shared" si="98"/>
        <v>0.12905749597484006</v>
      </c>
      <c r="AI109" s="71">
        <v>3.9</v>
      </c>
      <c r="AJ109" s="71">
        <f t="shared" si="99"/>
        <v>0.50332423430187623</v>
      </c>
      <c r="AL109" s="67">
        <v>44.7</v>
      </c>
      <c r="AM109" s="67">
        <v>35</v>
      </c>
      <c r="AN109" s="67">
        <f t="shared" si="100"/>
        <v>9.7000000000000028</v>
      </c>
      <c r="AO109" s="70">
        <f t="shared" si="101"/>
        <v>4.0006929454193711</v>
      </c>
      <c r="AP109" s="70">
        <f t="shared" si="102"/>
        <v>30.99930705458063</v>
      </c>
      <c r="AQ109" s="71">
        <f t="shared" si="103"/>
        <v>0.12905749597484006</v>
      </c>
      <c r="AR109" s="67">
        <v>6.5</v>
      </c>
      <c r="AS109" s="70">
        <f t="shared" si="87"/>
        <v>0.83887372383646042</v>
      </c>
      <c r="AU109" s="70">
        <v>88.9</v>
      </c>
      <c r="AV109" s="70">
        <v>71.8</v>
      </c>
      <c r="AW109" s="70">
        <f t="shared" si="104"/>
        <v>17.100000000000009</v>
      </c>
      <c r="AX109" s="70">
        <f t="shared" si="105"/>
        <v>8.2071358137460226</v>
      </c>
      <c r="AY109" s="70">
        <f t="shared" si="106"/>
        <v>63.592864186253976</v>
      </c>
      <c r="AZ109" s="71">
        <f t="shared" si="107"/>
        <v>0.12905749597484006</v>
      </c>
      <c r="BA109" s="70">
        <v>18.7</v>
      </c>
      <c r="BB109" s="70">
        <f t="shared" si="108"/>
        <v>2.4133751747295089</v>
      </c>
      <c r="BD109" s="67" t="s">
        <v>16</v>
      </c>
      <c r="BE109" s="64">
        <v>-21.785626138533551</v>
      </c>
      <c r="BF109" s="64">
        <v>0.13822804077075085</v>
      </c>
      <c r="BG109" s="64">
        <v>5.983089940530963</v>
      </c>
      <c r="BH109" s="66">
        <v>0.26178508628204961</v>
      </c>
      <c r="BI109" s="62">
        <v>0.9</v>
      </c>
      <c r="BN109" s="66"/>
      <c r="BO109" s="62">
        <v>1.5</v>
      </c>
      <c r="BP109" s="63" t="s">
        <v>358</v>
      </c>
    </row>
    <row r="110" spans="1:68" ht="15" customHeight="1" x14ac:dyDescent="0.35">
      <c r="A110" s="67" t="s">
        <v>39</v>
      </c>
      <c r="B110" s="68" t="s">
        <v>14</v>
      </c>
      <c r="C110" s="67" t="str">
        <f t="shared" si="109"/>
        <v>TBCM_9-23_G</v>
      </c>
      <c r="D110" s="73">
        <v>45196</v>
      </c>
      <c r="E110" s="73" t="s">
        <v>16</v>
      </c>
      <c r="F110" s="73">
        <v>45568</v>
      </c>
      <c r="H110" s="67" t="str">
        <f t="shared" si="110"/>
        <v>C,N,S</v>
      </c>
      <c r="J110" s="67">
        <v>130.50101010101005</v>
      </c>
      <c r="K110" s="67">
        <v>149.1</v>
      </c>
      <c r="L110" s="67">
        <f>K110-J110</f>
        <v>18.598989898989942</v>
      </c>
      <c r="M110" s="67">
        <f t="shared" si="111"/>
        <v>142.69999999999999</v>
      </c>
      <c r="O110" s="67">
        <f t="shared" si="88"/>
        <v>25.227750525578134</v>
      </c>
      <c r="P110" s="67">
        <f t="shared" si="89"/>
        <v>3.2880916412015835</v>
      </c>
      <c r="Q110" s="67"/>
      <c r="R110" s="67">
        <f t="shared" si="90"/>
        <v>25.227750525578134</v>
      </c>
      <c r="S110" s="67">
        <f t="shared" si="91"/>
        <v>3.2880916412015835</v>
      </c>
      <c r="T110" s="67"/>
      <c r="U110" s="67">
        <f t="shared" si="92"/>
        <v>49.544498948843732</v>
      </c>
      <c r="V110" s="67">
        <f t="shared" si="93"/>
        <v>6.4574466398042221</v>
      </c>
      <c r="W110" s="67"/>
      <c r="X110" s="71">
        <v>45.4</v>
      </c>
      <c r="Y110" s="71">
        <v>36</v>
      </c>
      <c r="Z110" s="71">
        <f t="shared" si="94"/>
        <v>9.3999999999999986</v>
      </c>
      <c r="AA110" s="71">
        <f t="shared" si="95"/>
        <v>3.2880916412015835</v>
      </c>
      <c r="AB110" s="71">
        <f t="shared" si="96"/>
        <v>32.711908358798418</v>
      </c>
      <c r="AC110" s="71">
        <f t="shared" si="97"/>
        <v>0.10051665604881153</v>
      </c>
      <c r="AD110" s="71">
        <v>22.9</v>
      </c>
      <c r="AE110" s="71">
        <f t="shared" si="112"/>
        <v>2.3018314235177839</v>
      </c>
      <c r="AF110" s="71">
        <f t="shared" si="113"/>
        <v>20.598168576482216</v>
      </c>
      <c r="AG110" s="71">
        <v>23.2</v>
      </c>
      <c r="AH110" s="71">
        <f t="shared" si="98"/>
        <v>0.10051665604881153</v>
      </c>
      <c r="AI110" s="71">
        <v>4</v>
      </c>
      <c r="AJ110" s="71">
        <f t="shared" si="99"/>
        <v>0.40206662419524614</v>
      </c>
      <c r="AL110" s="67">
        <v>45.7</v>
      </c>
      <c r="AM110" s="67">
        <v>36</v>
      </c>
      <c r="AN110" s="67">
        <f t="shared" si="100"/>
        <v>9.7000000000000028</v>
      </c>
      <c r="AO110" s="70">
        <f t="shared" si="101"/>
        <v>3.2880916412015835</v>
      </c>
      <c r="AP110" s="70">
        <f t="shared" si="102"/>
        <v>32.711908358798418</v>
      </c>
      <c r="AQ110" s="71">
        <f t="shared" si="103"/>
        <v>0.10051665604881153</v>
      </c>
      <c r="AR110" s="67">
        <v>5.3</v>
      </c>
      <c r="AS110" s="70">
        <f t="shared" si="87"/>
        <v>0.53273827705870114</v>
      </c>
      <c r="AU110" s="70">
        <v>82.4</v>
      </c>
      <c r="AV110" s="70">
        <v>70.7</v>
      </c>
      <c r="AW110" s="70">
        <f t="shared" si="104"/>
        <v>11.700000000000003</v>
      </c>
      <c r="AX110" s="70">
        <f t="shared" si="105"/>
        <v>6.4574466398042221</v>
      </c>
      <c r="AY110" s="70">
        <f t="shared" si="106"/>
        <v>64.242553360195785</v>
      </c>
      <c r="AZ110" s="71">
        <f t="shared" si="107"/>
        <v>0.10051665604881155</v>
      </c>
      <c r="BA110" s="70">
        <v>21.8</v>
      </c>
      <c r="BB110" s="70">
        <f t="shared" si="108"/>
        <v>2.191263101864092</v>
      </c>
      <c r="BD110" s="67" t="s">
        <v>16</v>
      </c>
      <c r="BE110" s="64">
        <v>-24.279617084995085</v>
      </c>
      <c r="BF110" s="64">
        <v>0.14049081175934797</v>
      </c>
      <c r="BG110" s="64">
        <v>5.1877798946695082</v>
      </c>
      <c r="BH110" s="66">
        <v>2.1731148838856705E-2</v>
      </c>
      <c r="BI110" s="62">
        <v>0.9</v>
      </c>
      <c r="BJ110" s="63" t="s">
        <v>299</v>
      </c>
      <c r="BN110" s="66"/>
      <c r="BO110" s="62">
        <v>1.5</v>
      </c>
      <c r="BP110" s="63" t="s">
        <v>359</v>
      </c>
    </row>
    <row r="111" spans="1:68" ht="15" customHeight="1" x14ac:dyDescent="0.35">
      <c r="A111" s="67" t="s">
        <v>38</v>
      </c>
      <c r="B111" s="68" t="s">
        <v>62</v>
      </c>
      <c r="C111" s="67" t="str">
        <f t="shared" si="109"/>
        <v>TBHM_4-24_G</v>
      </c>
      <c r="D111" s="73">
        <v>45390</v>
      </c>
      <c r="E111" s="73" t="s">
        <v>16</v>
      </c>
      <c r="F111" s="73">
        <v>45541</v>
      </c>
      <c r="H111" s="67" t="str">
        <f t="shared" si="110"/>
        <v>C,N,S</v>
      </c>
      <c r="I111" s="67">
        <v>129.5</v>
      </c>
      <c r="K111" s="67">
        <v>151.80000000000001</v>
      </c>
      <c r="L111" s="67">
        <f>K111-I111</f>
        <v>22.300000000000011</v>
      </c>
      <c r="M111" s="67">
        <f t="shared" si="111"/>
        <v>116.5</v>
      </c>
      <c r="O111" s="67">
        <f t="shared" si="88"/>
        <v>24.463519313304722</v>
      </c>
      <c r="P111" s="67">
        <f t="shared" si="89"/>
        <v>4.6827165724179878</v>
      </c>
      <c r="Q111" s="67"/>
      <c r="R111" s="67">
        <f t="shared" si="90"/>
        <v>26.180257510729614</v>
      </c>
      <c r="S111" s="67">
        <f t="shared" si="91"/>
        <v>5.011328261710478</v>
      </c>
      <c r="T111" s="67"/>
      <c r="U111" s="67">
        <f t="shared" si="92"/>
        <v>49.356223175965667</v>
      </c>
      <c r="V111" s="67">
        <f t="shared" si="93"/>
        <v>9.447586067159099</v>
      </c>
      <c r="W111" s="67"/>
      <c r="X111" s="71">
        <v>34.1</v>
      </c>
      <c r="Y111" s="71">
        <v>28.5</v>
      </c>
      <c r="Z111" s="71">
        <f t="shared" si="94"/>
        <v>5.6000000000000014</v>
      </c>
      <c r="AA111" s="71">
        <f t="shared" si="95"/>
        <v>4.6827165724179878</v>
      </c>
      <c r="AB111" s="71">
        <f t="shared" si="96"/>
        <v>23.817283427582012</v>
      </c>
      <c r="AC111" s="71">
        <f t="shared" si="97"/>
        <v>0.1966100200577488</v>
      </c>
      <c r="AD111" s="71">
        <v>21.5</v>
      </c>
      <c r="AE111" s="71">
        <f t="shared" si="112"/>
        <v>4.2271154312415993</v>
      </c>
      <c r="AF111" s="71">
        <f t="shared" si="113"/>
        <v>17.2728845687584</v>
      </c>
      <c r="AG111" s="71">
        <v>21.7</v>
      </c>
      <c r="AH111" s="71">
        <f t="shared" si="98"/>
        <v>0.1966100200577488</v>
      </c>
      <c r="AI111" s="71">
        <v>3.6</v>
      </c>
      <c r="AJ111" s="71">
        <f t="shared" si="99"/>
        <v>0.70779607220789575</v>
      </c>
      <c r="AL111" s="67">
        <v>41.4</v>
      </c>
      <c r="AM111" s="67">
        <v>30.5</v>
      </c>
      <c r="AN111" s="67">
        <f t="shared" si="100"/>
        <v>10.899999999999999</v>
      </c>
      <c r="AO111" s="70">
        <f t="shared" si="101"/>
        <v>5.011328261710478</v>
      </c>
      <c r="AP111" s="70">
        <f t="shared" si="102"/>
        <v>25.488671738289522</v>
      </c>
      <c r="AQ111" s="71">
        <f t="shared" si="103"/>
        <v>0.1966100200577488</v>
      </c>
      <c r="AR111" s="67">
        <v>6.5</v>
      </c>
      <c r="AS111" s="70">
        <f t="shared" si="87"/>
        <v>1.2779651303753672</v>
      </c>
      <c r="AU111" s="70">
        <v>84.4</v>
      </c>
      <c r="AV111" s="70">
        <v>57.5</v>
      </c>
      <c r="AW111" s="70">
        <f t="shared" si="104"/>
        <v>26.900000000000006</v>
      </c>
      <c r="AX111" s="70">
        <f t="shared" si="105"/>
        <v>9.447586067159099</v>
      </c>
      <c r="AY111" s="70">
        <f t="shared" si="106"/>
        <v>48.052413932840899</v>
      </c>
      <c r="AZ111" s="71">
        <f t="shared" si="107"/>
        <v>0.19661002005774883</v>
      </c>
      <c r="BA111" s="70">
        <v>18.899999999999999</v>
      </c>
      <c r="BB111" s="70">
        <f t="shared" si="108"/>
        <v>3.7159293790914525</v>
      </c>
      <c r="BD111" s="67" t="s">
        <v>16</v>
      </c>
      <c r="BE111" s="64">
        <v>-26.378496958189405</v>
      </c>
      <c r="BF111" s="64">
        <v>0.15126006661711308</v>
      </c>
      <c r="BG111" s="64">
        <v>10.8608140600618</v>
      </c>
      <c r="BH111" s="66">
        <v>3.9273454752869287E-2</v>
      </c>
      <c r="BI111" s="62">
        <v>0.8</v>
      </c>
      <c r="BJ111" s="63" t="s">
        <v>299</v>
      </c>
      <c r="BK111" s="64">
        <v>3.5809805033714595</v>
      </c>
      <c r="BL111" s="65">
        <v>0.2541794654198391</v>
      </c>
      <c r="BM111" s="61">
        <v>0.85906630406071771</v>
      </c>
      <c r="BN111" s="66">
        <v>1.8933618459876456E-2</v>
      </c>
      <c r="BO111" s="62">
        <v>1.4</v>
      </c>
      <c r="BP111" s="63" t="s">
        <v>299</v>
      </c>
    </row>
    <row r="112" spans="1:68" ht="15" customHeight="1" x14ac:dyDescent="0.35">
      <c r="A112" s="67" t="s">
        <v>38</v>
      </c>
      <c r="B112" s="68" t="s">
        <v>63</v>
      </c>
      <c r="C112" s="67" t="str">
        <f t="shared" si="109"/>
        <v>TBHM_8-24_G</v>
      </c>
      <c r="D112" s="73">
        <v>45505</v>
      </c>
      <c r="E112" s="67" t="s">
        <v>16</v>
      </c>
      <c r="H112" s="67" t="str">
        <f t="shared" si="110"/>
        <v>C,N,S</v>
      </c>
      <c r="I112" s="67">
        <v>132.5</v>
      </c>
      <c r="K112" s="67">
        <v>152.5</v>
      </c>
      <c r="L112" s="67">
        <f>K112-I112</f>
        <v>20</v>
      </c>
      <c r="M112" s="67">
        <f t="shared" si="111"/>
        <v>126.4</v>
      </c>
      <c r="O112" s="67">
        <f t="shared" si="88"/>
        <v>27.768987341772149</v>
      </c>
      <c r="P112" s="67">
        <f t="shared" si="89"/>
        <v>4.3938271110398972</v>
      </c>
      <c r="Q112" s="67"/>
      <c r="R112" s="67">
        <f t="shared" si="90"/>
        <v>23.575949367088608</v>
      </c>
      <c r="S112" s="67">
        <f t="shared" si="91"/>
        <v>3.7303717352988301</v>
      </c>
      <c r="T112" s="67"/>
      <c r="U112" s="67">
        <f t="shared" si="92"/>
        <v>48.655063291139236</v>
      </c>
      <c r="V112" s="67">
        <f t="shared" si="93"/>
        <v>7.6985859637878526</v>
      </c>
      <c r="W112" s="67"/>
      <c r="X112" s="71">
        <v>43.6</v>
      </c>
      <c r="Y112" s="71">
        <v>35.1</v>
      </c>
      <c r="Z112" s="71">
        <f t="shared" si="94"/>
        <v>8.5</v>
      </c>
      <c r="AA112" s="71">
        <f t="shared" si="95"/>
        <v>4.3938271110398972</v>
      </c>
      <c r="AB112" s="71">
        <f t="shared" si="96"/>
        <v>30.706172888960104</v>
      </c>
      <c r="AC112" s="71">
        <f t="shared" si="97"/>
        <v>0.14309263244654058</v>
      </c>
      <c r="AD112" s="71">
        <v>22.4</v>
      </c>
      <c r="AE112" s="71">
        <f t="shared" si="112"/>
        <v>3.2052749668025089</v>
      </c>
      <c r="AF112" s="71">
        <f t="shared" si="113"/>
        <v>19.194725033197489</v>
      </c>
      <c r="AG112" s="71">
        <v>22.2</v>
      </c>
      <c r="AH112" s="71">
        <f t="shared" si="98"/>
        <v>0.14309263244654058</v>
      </c>
      <c r="AI112" s="71">
        <v>4.3</v>
      </c>
      <c r="AJ112" s="71">
        <f t="shared" si="99"/>
        <v>0.61529831952012448</v>
      </c>
      <c r="AL112" s="67">
        <v>40.200000000000003</v>
      </c>
      <c r="AM112" s="67">
        <v>29.8</v>
      </c>
      <c r="AN112" s="67">
        <f t="shared" si="100"/>
        <v>10.400000000000002</v>
      </c>
      <c r="AO112" s="70">
        <f t="shared" si="101"/>
        <v>3.7303717352988301</v>
      </c>
      <c r="AP112" s="70">
        <f t="shared" si="102"/>
        <v>26.069628264701169</v>
      </c>
      <c r="AQ112" s="71">
        <f t="shared" si="103"/>
        <v>0.14309263244654058</v>
      </c>
      <c r="AR112" s="67">
        <v>8.1</v>
      </c>
      <c r="AS112" s="70">
        <f t="shared" si="87"/>
        <v>1.1590503228169786</v>
      </c>
      <c r="AU112" s="70">
        <v>81.2</v>
      </c>
      <c r="AV112" s="70">
        <v>61.5</v>
      </c>
      <c r="AW112" s="70">
        <f t="shared" si="104"/>
        <v>19.700000000000003</v>
      </c>
      <c r="AX112" s="70">
        <f t="shared" si="105"/>
        <v>7.6985859637878526</v>
      </c>
      <c r="AY112" s="70">
        <f t="shared" si="106"/>
        <v>53.801414036212151</v>
      </c>
      <c r="AZ112" s="71">
        <f t="shared" si="107"/>
        <v>0.14309263244654055</v>
      </c>
      <c r="BA112" s="70">
        <v>19.5</v>
      </c>
      <c r="BB112" s="70">
        <f t="shared" si="108"/>
        <v>2.7903063327075408</v>
      </c>
      <c r="BD112" s="67" t="s">
        <v>16</v>
      </c>
      <c r="BE112" s="64">
        <v>-24.52921086935304</v>
      </c>
      <c r="BF112" s="64">
        <v>0.14057021114348159</v>
      </c>
      <c r="BG112" s="64">
        <v>6.2278567213101352</v>
      </c>
      <c r="BH112" s="66">
        <v>2.3970543446638137E-2</v>
      </c>
      <c r="BI112" s="62">
        <v>0.8</v>
      </c>
      <c r="BJ112" s="63" t="s">
        <v>299</v>
      </c>
      <c r="BK112" s="64">
        <v>1.5144230682364845</v>
      </c>
      <c r="BL112" s="65">
        <v>0.3126447443967405</v>
      </c>
      <c r="BM112" s="61">
        <v>0.7828205492009821</v>
      </c>
      <c r="BN112" s="66">
        <v>5.3159360893712732E-2</v>
      </c>
      <c r="BO112" s="62">
        <v>1.9</v>
      </c>
      <c r="BP112" s="63" t="s">
        <v>299</v>
      </c>
    </row>
    <row r="113" spans="1:68" ht="15" customHeight="1" x14ac:dyDescent="0.35">
      <c r="A113" s="67" t="s">
        <v>38</v>
      </c>
      <c r="B113" s="68" t="s">
        <v>14</v>
      </c>
      <c r="C113" s="67" t="str">
        <f t="shared" si="109"/>
        <v>TBHM_9-23_G</v>
      </c>
      <c r="D113" s="73">
        <v>45196</v>
      </c>
      <c r="E113" s="73" t="s">
        <v>16</v>
      </c>
      <c r="F113" s="73">
        <v>45568</v>
      </c>
      <c r="H113" s="67" t="str">
        <f t="shared" si="110"/>
        <v>C,N,S</v>
      </c>
      <c r="J113" s="67">
        <v>130.50101010101005</v>
      </c>
      <c r="K113" s="67">
        <v>144.69999999999999</v>
      </c>
      <c r="L113" s="67">
        <f>K113-J113</f>
        <v>14.198989898989936</v>
      </c>
      <c r="M113" s="67">
        <f t="shared" si="111"/>
        <v>127.8</v>
      </c>
      <c r="O113" s="67">
        <f t="shared" si="88"/>
        <v>22.691705790297341</v>
      </c>
      <c r="P113" s="67">
        <f t="shared" si="89"/>
        <v>2.5211212934842209</v>
      </c>
      <c r="Q113" s="67"/>
      <c r="R113" s="67">
        <f t="shared" si="90"/>
        <v>23.865414710485133</v>
      </c>
      <c r="S113" s="67">
        <f t="shared" si="91"/>
        <v>2.6515241190092662</v>
      </c>
      <c r="T113" s="67"/>
      <c r="U113" s="67">
        <f t="shared" si="92"/>
        <v>53.442879499217518</v>
      </c>
      <c r="V113" s="67">
        <f t="shared" si="93"/>
        <v>5.9376753222404215</v>
      </c>
      <c r="W113" s="67"/>
      <c r="X113" s="71">
        <v>38.1</v>
      </c>
      <c r="Y113" s="71">
        <v>29</v>
      </c>
      <c r="Z113" s="71">
        <f t="shared" si="94"/>
        <v>9.1000000000000014</v>
      </c>
      <c r="AA113" s="71">
        <f t="shared" si="95"/>
        <v>2.5211212934842209</v>
      </c>
      <c r="AB113" s="71">
        <f t="shared" si="96"/>
        <v>26.478878706515779</v>
      </c>
      <c r="AC113" s="71">
        <f t="shared" si="97"/>
        <v>9.5212539829484438E-2</v>
      </c>
      <c r="AD113" s="71">
        <v>21.2</v>
      </c>
      <c r="AE113" s="71">
        <f t="shared" si="112"/>
        <v>2.0185058443850701</v>
      </c>
      <c r="AF113" s="71">
        <f t="shared" si="113"/>
        <v>19.181494155614928</v>
      </c>
      <c r="AG113" s="71">
        <v>20.8</v>
      </c>
      <c r="AH113" s="71">
        <f t="shared" si="98"/>
        <v>9.5212539829484438E-2</v>
      </c>
      <c r="AI113" s="71">
        <v>3.9</v>
      </c>
      <c r="AJ113" s="71">
        <f t="shared" si="99"/>
        <v>0.3713289053349893</v>
      </c>
      <c r="AL113" s="67">
        <v>38.6</v>
      </c>
      <c r="AM113" s="67">
        <v>30.5</v>
      </c>
      <c r="AN113" s="67">
        <f t="shared" si="100"/>
        <v>8.1000000000000014</v>
      </c>
      <c r="AO113" s="70">
        <f t="shared" si="101"/>
        <v>2.6515241190092662</v>
      </c>
      <c r="AP113" s="70">
        <f t="shared" si="102"/>
        <v>27.848475880990733</v>
      </c>
      <c r="AQ113" s="71">
        <f t="shared" si="103"/>
        <v>9.5212539829484411E-2</v>
      </c>
      <c r="AR113" s="67">
        <v>8.3000000000000007</v>
      </c>
      <c r="AS113" s="70">
        <f t="shared" si="87"/>
        <v>0.79026408058472064</v>
      </c>
      <c r="AU113" s="70">
        <v>81.8</v>
      </c>
      <c r="AV113" s="70">
        <v>68.3</v>
      </c>
      <c r="AW113" s="70">
        <f t="shared" si="104"/>
        <v>13.5</v>
      </c>
      <c r="AX113" s="70">
        <f t="shared" si="105"/>
        <v>5.9376753222404215</v>
      </c>
      <c r="AY113" s="70">
        <f t="shared" si="106"/>
        <v>62.362324677759574</v>
      </c>
      <c r="AZ113" s="71">
        <f t="shared" si="107"/>
        <v>9.5212539829484397E-2</v>
      </c>
      <c r="BA113" s="70">
        <v>26.2</v>
      </c>
      <c r="BB113" s="70">
        <f t="shared" si="108"/>
        <v>2.4945685435324911</v>
      </c>
      <c r="BD113" s="67" t="s">
        <v>16</v>
      </c>
      <c r="BE113" s="64">
        <v>-28.395885402785844</v>
      </c>
      <c r="BF113" s="64">
        <v>0.14181183843900991</v>
      </c>
      <c r="BG113" s="64">
        <v>8.6641157082705025</v>
      </c>
      <c r="BH113" s="66">
        <v>2.138237588297439E-2</v>
      </c>
      <c r="BI113" s="62">
        <v>0.8</v>
      </c>
      <c r="BJ113" s="63" t="s">
        <v>299</v>
      </c>
      <c r="BK113" s="64">
        <v>2.9861637006375945</v>
      </c>
      <c r="BL113" s="65">
        <v>0.25370101267589706</v>
      </c>
      <c r="BM113" s="61">
        <v>1.3112984448393343</v>
      </c>
      <c r="BN113" s="66">
        <v>1.2338580788330063E-2</v>
      </c>
      <c r="BO113" s="62">
        <v>1.7</v>
      </c>
      <c r="BP113" s="63" t="s">
        <v>299</v>
      </c>
    </row>
    <row r="114" spans="1:68" ht="15" customHeight="1" x14ac:dyDescent="0.35">
      <c r="A114" s="67" t="s">
        <v>53</v>
      </c>
      <c r="B114" s="68" t="s">
        <v>109</v>
      </c>
      <c r="C114" s="67" t="str">
        <f t="shared" si="109"/>
        <v>TKB_1123E_G</v>
      </c>
      <c r="D114" s="73">
        <v>45260</v>
      </c>
      <c r="E114" s="73" t="s">
        <v>16</v>
      </c>
      <c r="F114" s="73">
        <v>45320</v>
      </c>
      <c r="H114" s="67" t="str">
        <f t="shared" si="110"/>
        <v>C,N,S</v>
      </c>
      <c r="J114" s="67">
        <v>130.50101010101005</v>
      </c>
      <c r="K114" s="67">
        <v>148</v>
      </c>
      <c r="L114" s="67">
        <f>K114-J114</f>
        <v>17.498989898989947</v>
      </c>
      <c r="M114" s="67">
        <f t="shared" si="111"/>
        <v>111.7</v>
      </c>
      <c r="O114" s="67">
        <f t="shared" si="88"/>
        <v>24.888093106535365</v>
      </c>
      <c r="P114" s="67">
        <f t="shared" si="89"/>
        <v>3.8989837947751447</v>
      </c>
      <c r="Q114" s="67"/>
      <c r="R114" s="67">
        <f t="shared" si="90"/>
        <v>24.888093106535365</v>
      </c>
      <c r="S114" s="67">
        <f t="shared" si="91"/>
        <v>3.8989837947751447</v>
      </c>
      <c r="T114" s="67"/>
      <c r="U114" s="67">
        <f t="shared" si="92"/>
        <v>50.22381378692927</v>
      </c>
      <c r="V114" s="67">
        <f t="shared" si="93"/>
        <v>7.8680931973699852</v>
      </c>
      <c r="W114" s="67"/>
      <c r="X114" s="71">
        <v>27.8</v>
      </c>
      <c r="Y114" s="71">
        <v>27.8</v>
      </c>
      <c r="Z114" s="71">
        <f t="shared" si="94"/>
        <v>0</v>
      </c>
      <c r="AA114" s="71">
        <f t="shared" si="95"/>
        <v>3.8989837947751447</v>
      </c>
      <c r="AB114" s="71">
        <f t="shared" si="96"/>
        <v>23.901016205224856</v>
      </c>
      <c r="AC114" s="71">
        <f t="shared" si="97"/>
        <v>0.16313046111917248</v>
      </c>
      <c r="AD114" s="71">
        <v>17.899999999999999</v>
      </c>
      <c r="AE114" s="71">
        <f t="shared" si="112"/>
        <v>2.9200352540331873</v>
      </c>
      <c r="AF114" s="71">
        <f t="shared" si="113"/>
        <v>14.979964745966811</v>
      </c>
      <c r="AG114" s="71">
        <v>18</v>
      </c>
      <c r="AH114" s="71">
        <f t="shared" si="98"/>
        <v>0.16313046111917248</v>
      </c>
      <c r="AI114" s="71">
        <v>4.2</v>
      </c>
      <c r="AJ114" s="71">
        <f t="shared" si="99"/>
        <v>0.68514793670052443</v>
      </c>
      <c r="AL114" s="67">
        <v>27.8</v>
      </c>
      <c r="AM114" s="67">
        <v>27.8</v>
      </c>
      <c r="AN114" s="67">
        <f t="shared" si="100"/>
        <v>0</v>
      </c>
      <c r="AO114" s="70">
        <f t="shared" si="101"/>
        <v>3.8989837947751447</v>
      </c>
      <c r="AP114" s="70">
        <f t="shared" si="102"/>
        <v>23.901016205224856</v>
      </c>
      <c r="AQ114" s="71">
        <f t="shared" si="103"/>
        <v>0.16313046111917248</v>
      </c>
      <c r="AR114" s="67">
        <v>6.1</v>
      </c>
      <c r="AS114" s="70">
        <f t="shared" si="87"/>
        <v>0.99509581282695203</v>
      </c>
      <c r="AU114" s="70">
        <v>56.1</v>
      </c>
      <c r="AV114" s="70">
        <v>56.1</v>
      </c>
      <c r="AW114" s="70">
        <f t="shared" si="104"/>
        <v>0</v>
      </c>
      <c r="AX114" s="70">
        <f t="shared" si="105"/>
        <v>7.8680931973699852</v>
      </c>
      <c r="AY114" s="70">
        <f t="shared" si="106"/>
        <v>48.231906802630014</v>
      </c>
      <c r="AZ114" s="71">
        <f t="shared" si="107"/>
        <v>0.16313046111917245</v>
      </c>
      <c r="BA114" s="70">
        <v>20.100000000000001</v>
      </c>
      <c r="BB114" s="70">
        <f t="shared" si="108"/>
        <v>3.2789222684953665</v>
      </c>
      <c r="BD114" s="67" t="s">
        <v>16</v>
      </c>
      <c r="BE114" s="64">
        <v>-24.859604578909536</v>
      </c>
      <c r="BF114" s="64">
        <v>0.14066438478463478</v>
      </c>
      <c r="BG114" s="64">
        <v>2.5272249780224278</v>
      </c>
      <c r="BH114" s="66">
        <v>2.8975580084437357E-2</v>
      </c>
      <c r="BI114" s="62">
        <v>0.8</v>
      </c>
      <c r="BJ114" s="63" t="s">
        <v>299</v>
      </c>
      <c r="BM114" s="61"/>
      <c r="BN114" s="66"/>
      <c r="BO114" s="62">
        <v>1.5</v>
      </c>
      <c r="BP114" s="63" t="s">
        <v>360</v>
      </c>
    </row>
    <row r="115" spans="1:68" ht="15" customHeight="1" x14ac:dyDescent="0.35">
      <c r="A115" s="75" t="s">
        <v>53</v>
      </c>
      <c r="B115" s="76" t="s">
        <v>110</v>
      </c>
      <c r="C115" s="75" t="str">
        <f t="shared" si="109"/>
        <v>TKB_11-24_G</v>
      </c>
      <c r="D115" s="77">
        <v>45612</v>
      </c>
      <c r="E115" s="67" t="s">
        <v>16</v>
      </c>
      <c r="F115" s="77"/>
      <c r="G115" s="75"/>
      <c r="H115" s="67" t="str">
        <f t="shared" si="110"/>
        <v>C,N,S</v>
      </c>
      <c r="I115" s="75">
        <v>134.1</v>
      </c>
      <c r="J115" s="75"/>
      <c r="K115" s="75">
        <v>167.5</v>
      </c>
      <c r="L115" s="75">
        <f>K115-I115</f>
        <v>33.400000000000006</v>
      </c>
      <c r="M115" s="75">
        <f t="shared" si="111"/>
        <v>107.8</v>
      </c>
      <c r="O115" s="67">
        <f t="shared" si="88"/>
        <v>24.489795918367346</v>
      </c>
      <c r="P115" s="67">
        <f t="shared" si="89"/>
        <v>7.5877475294384933</v>
      </c>
      <c r="Q115" s="67"/>
      <c r="R115" s="67">
        <f t="shared" si="90"/>
        <v>25.881261595547311</v>
      </c>
      <c r="S115" s="67">
        <f t="shared" si="91"/>
        <v>8.018869548156589</v>
      </c>
      <c r="T115" s="67"/>
      <c r="U115" s="67">
        <f t="shared" si="92"/>
        <v>49.628942486085343</v>
      </c>
      <c r="V115" s="67">
        <f t="shared" si="93"/>
        <v>15.376685334278763</v>
      </c>
      <c r="W115" s="67"/>
      <c r="X115" s="71">
        <v>37.1</v>
      </c>
      <c r="Y115" s="71">
        <v>26.4</v>
      </c>
      <c r="Z115" s="71">
        <f t="shared" si="94"/>
        <v>10.700000000000003</v>
      </c>
      <c r="AA115" s="71">
        <f t="shared" si="95"/>
        <v>7.5877475294384933</v>
      </c>
      <c r="AB115" s="71">
        <f t="shared" si="96"/>
        <v>18.812252470561504</v>
      </c>
      <c r="AC115" s="71">
        <f t="shared" si="97"/>
        <v>0.40334072388791498</v>
      </c>
      <c r="AD115" s="71">
        <v>19.2</v>
      </c>
      <c r="AE115" s="71">
        <f t="shared" si="112"/>
        <v>7.7441418986479675</v>
      </c>
      <c r="AF115" s="71">
        <f t="shared" si="113"/>
        <v>11.455858101352032</v>
      </c>
      <c r="AG115" s="71">
        <v>20.6</v>
      </c>
      <c r="AH115" s="71">
        <f t="shared" si="98"/>
        <v>0.40334072388791498</v>
      </c>
      <c r="AI115" s="71">
        <v>3.6</v>
      </c>
      <c r="AJ115" s="71">
        <f t="shared" si="99"/>
        <v>1.4520266059964939</v>
      </c>
      <c r="AL115" s="67">
        <v>39</v>
      </c>
      <c r="AM115" s="67">
        <v>27.9</v>
      </c>
      <c r="AN115" s="67">
        <f t="shared" si="100"/>
        <v>11.100000000000001</v>
      </c>
      <c r="AO115" s="70">
        <f t="shared" si="101"/>
        <v>8.018869548156589</v>
      </c>
      <c r="AP115" s="70">
        <f t="shared" si="102"/>
        <v>19.881130451843411</v>
      </c>
      <c r="AQ115" s="71">
        <f t="shared" si="103"/>
        <v>0.40334072388791486</v>
      </c>
      <c r="AR115" s="67">
        <v>7.5</v>
      </c>
      <c r="AS115" s="70">
        <f t="shared" ref="AS115:AS136" si="114">AR115*AQ115</f>
        <v>3.0250554291593614</v>
      </c>
      <c r="AU115" s="70">
        <v>75.2</v>
      </c>
      <c r="AV115" s="70">
        <v>53.5</v>
      </c>
      <c r="AW115" s="70">
        <f t="shared" si="104"/>
        <v>21.700000000000003</v>
      </c>
      <c r="AX115" s="70">
        <f t="shared" si="105"/>
        <v>15.376685334278763</v>
      </c>
      <c r="AY115" s="70">
        <f t="shared" si="106"/>
        <v>38.123314665721239</v>
      </c>
      <c r="AZ115" s="71">
        <f t="shared" si="107"/>
        <v>0.40334072388791481</v>
      </c>
      <c r="BA115" s="70">
        <v>20.7</v>
      </c>
      <c r="BB115" s="70">
        <f t="shared" si="108"/>
        <v>8.3491529844798364</v>
      </c>
      <c r="BD115" s="67" t="s">
        <v>16</v>
      </c>
      <c r="BE115" s="64">
        <v>-24.650337753207644</v>
      </c>
      <c r="BF115" s="64">
        <v>0.27190909004949559</v>
      </c>
      <c r="BG115" s="64">
        <v>2.5778029233160025</v>
      </c>
      <c r="BH115" s="66">
        <v>0.20098804764048372</v>
      </c>
      <c r="BI115" s="62">
        <v>0.9</v>
      </c>
      <c r="BJ115" s="63" t="s">
        <v>301</v>
      </c>
      <c r="BK115" s="64">
        <v>3.3721718294872813</v>
      </c>
      <c r="BL115" s="65">
        <v>0.50704649018790093</v>
      </c>
      <c r="BM115" s="61">
        <v>0.44813224730489892</v>
      </c>
      <c r="BN115" s="66">
        <v>1.1911844597423341E-2</v>
      </c>
      <c r="BO115" s="62">
        <v>1.7</v>
      </c>
      <c r="BP115" s="63" t="s">
        <v>321</v>
      </c>
    </row>
    <row r="116" spans="1:68" ht="15" customHeight="1" x14ac:dyDescent="0.35">
      <c r="A116" s="88" t="s">
        <v>53</v>
      </c>
      <c r="B116" s="89" t="s">
        <v>60</v>
      </c>
      <c r="C116" s="88" t="str">
        <f t="shared" si="109"/>
        <v>TKB_1-24_G</v>
      </c>
      <c r="D116" s="74">
        <v>45297</v>
      </c>
      <c r="E116" s="74" t="s">
        <v>16</v>
      </c>
      <c r="F116" s="88"/>
      <c r="G116" s="88"/>
      <c r="H116" s="88" t="str">
        <f t="shared" si="110"/>
        <v>C,N,S</v>
      </c>
      <c r="I116" s="88">
        <v>133.9</v>
      </c>
      <c r="J116" s="88"/>
      <c r="K116" s="88">
        <v>146.69999999999999</v>
      </c>
      <c r="L116" s="88">
        <f>K116-I116</f>
        <v>12.799999999999983</v>
      </c>
      <c r="M116" s="88">
        <f t="shared" si="111"/>
        <v>102.4</v>
      </c>
      <c r="O116" s="67">
        <f t="shared" si="88"/>
        <v>25.292968749999993</v>
      </c>
      <c r="P116" s="67">
        <f t="shared" si="89"/>
        <v>3.1616210937499947</v>
      </c>
      <c r="Q116" s="67"/>
      <c r="R116" s="67">
        <f t="shared" si="90"/>
        <v>24.90234375</v>
      </c>
      <c r="S116" s="67">
        <f t="shared" si="91"/>
        <v>3.112792968749996</v>
      </c>
      <c r="T116" s="67"/>
      <c r="U116" s="67">
        <f t="shared" si="92"/>
        <v>49.8046875</v>
      </c>
      <c r="V116" s="67">
        <f t="shared" si="93"/>
        <v>6.225585937499992</v>
      </c>
      <c r="W116" s="67"/>
      <c r="X116" s="71">
        <v>38</v>
      </c>
      <c r="Y116" s="71">
        <v>25.9</v>
      </c>
      <c r="Z116" s="71">
        <f t="shared" si="94"/>
        <v>12.100000000000001</v>
      </c>
      <c r="AA116" s="71">
        <f t="shared" si="95"/>
        <v>3.1616210937499947</v>
      </c>
      <c r="AB116" s="71">
        <f t="shared" si="96"/>
        <v>22.738378906250006</v>
      </c>
      <c r="AC116" s="71">
        <f t="shared" si="97"/>
        <v>0.13904338153503867</v>
      </c>
      <c r="AD116" s="71">
        <v>18.100000000000001</v>
      </c>
      <c r="AE116" s="71">
        <f t="shared" si="112"/>
        <v>2.5166852057842002</v>
      </c>
      <c r="AF116" s="71">
        <f t="shared" si="113"/>
        <v>15.583314794215802</v>
      </c>
      <c r="AG116" s="71">
        <v>18.100000000000001</v>
      </c>
      <c r="AH116" s="71">
        <f t="shared" si="98"/>
        <v>0.13904338153503867</v>
      </c>
      <c r="AI116" s="71">
        <v>3.3</v>
      </c>
      <c r="AJ116" s="71">
        <f t="shared" si="99"/>
        <v>0.45884315906562761</v>
      </c>
      <c r="AL116" s="67">
        <v>37.4</v>
      </c>
      <c r="AM116" s="67">
        <v>25.5</v>
      </c>
      <c r="AN116" s="67">
        <f t="shared" si="100"/>
        <v>11.899999999999999</v>
      </c>
      <c r="AO116" s="70">
        <f t="shared" si="101"/>
        <v>3.112792968749996</v>
      </c>
      <c r="AP116" s="70">
        <f t="shared" si="102"/>
        <v>22.387207031250004</v>
      </c>
      <c r="AQ116" s="71">
        <f t="shared" si="103"/>
        <v>0.13904338153503873</v>
      </c>
      <c r="AR116" s="67">
        <v>6.1</v>
      </c>
      <c r="AS116" s="70">
        <f t="shared" si="114"/>
        <v>0.84816462736373621</v>
      </c>
      <c r="AU116" s="70">
        <v>76.400000000000006</v>
      </c>
      <c r="AV116" s="70">
        <v>51</v>
      </c>
      <c r="AW116" s="70">
        <f t="shared" si="104"/>
        <v>25.400000000000006</v>
      </c>
      <c r="AX116" s="70">
        <f t="shared" si="105"/>
        <v>6.225585937499992</v>
      </c>
      <c r="AY116" s="70">
        <f t="shared" si="106"/>
        <v>44.774414062500007</v>
      </c>
      <c r="AZ116" s="71">
        <f t="shared" si="107"/>
        <v>0.13904338153503873</v>
      </c>
      <c r="BA116" s="70">
        <v>18.899999999999999</v>
      </c>
      <c r="BB116" s="70">
        <f t="shared" si="108"/>
        <v>2.6279199110122318</v>
      </c>
      <c r="BD116" s="67" t="s">
        <v>16</v>
      </c>
      <c r="BE116" s="64">
        <v>-24.746408606737226</v>
      </c>
      <c r="BF116" s="64">
        <v>0.13883876922488766</v>
      </c>
      <c r="BG116" s="64">
        <v>5.0050119821319861</v>
      </c>
      <c r="BH116" s="66">
        <v>0.27532453075149738</v>
      </c>
      <c r="BI116" s="62">
        <v>0.9</v>
      </c>
      <c r="BN116" s="66"/>
      <c r="BO116" s="62">
        <v>1.5</v>
      </c>
      <c r="BP116" s="63" t="s">
        <v>361</v>
      </c>
    </row>
    <row r="117" spans="1:68" ht="15" customHeight="1" x14ac:dyDescent="0.35">
      <c r="A117" s="67" t="s">
        <v>53</v>
      </c>
      <c r="B117" s="68" t="s">
        <v>62</v>
      </c>
      <c r="C117" s="67" t="str">
        <f t="shared" si="109"/>
        <v>TKB_4-24_G</v>
      </c>
      <c r="D117" s="73">
        <v>45393</v>
      </c>
      <c r="E117" s="73" t="s">
        <v>16</v>
      </c>
      <c r="F117" s="73">
        <v>45541</v>
      </c>
      <c r="H117" s="67" t="str">
        <f t="shared" si="110"/>
        <v>C,N,S</v>
      </c>
      <c r="I117" s="67">
        <v>126.9</v>
      </c>
      <c r="K117" s="67">
        <v>159.80000000000001</v>
      </c>
      <c r="L117" s="67">
        <f>K117-I117</f>
        <v>32.900000000000006</v>
      </c>
      <c r="M117" s="67">
        <f t="shared" si="111"/>
        <v>104.89999999999999</v>
      </c>
      <c r="O117" s="67">
        <f t="shared" si="88"/>
        <v>26.406101048617732</v>
      </c>
      <c r="P117" s="67">
        <f t="shared" si="89"/>
        <v>8.2817990896046112</v>
      </c>
      <c r="Q117" s="67"/>
      <c r="R117" s="67">
        <f t="shared" si="90"/>
        <v>24.690181124880837</v>
      </c>
      <c r="S117" s="67">
        <f t="shared" si="91"/>
        <v>7.7436316397386058</v>
      </c>
      <c r="T117" s="67"/>
      <c r="U117" s="67">
        <f t="shared" si="92"/>
        <v>48.903717826501428</v>
      </c>
      <c r="V117" s="67">
        <f t="shared" si="93"/>
        <v>15.337772321181099</v>
      </c>
      <c r="W117" s="67"/>
      <c r="X117" s="71">
        <v>37.700000000000003</v>
      </c>
      <c r="Y117" s="71">
        <v>27.7</v>
      </c>
      <c r="Z117" s="71">
        <f t="shared" si="94"/>
        <v>10.000000000000004</v>
      </c>
      <c r="AA117" s="71">
        <f t="shared" si="95"/>
        <v>8.2817990896046112</v>
      </c>
      <c r="AB117" s="71">
        <f t="shared" si="96"/>
        <v>19.418200910395388</v>
      </c>
      <c r="AC117" s="71">
        <f t="shared" si="97"/>
        <v>0.42649672479034928</v>
      </c>
      <c r="AD117" s="71">
        <v>19.3</v>
      </c>
      <c r="AE117" s="71">
        <f t="shared" si="112"/>
        <v>8.2313867884537419</v>
      </c>
      <c r="AF117" s="71">
        <f t="shared" si="113"/>
        <v>11.068613211546259</v>
      </c>
      <c r="AG117" s="71">
        <v>17.7</v>
      </c>
      <c r="AH117" s="71">
        <f t="shared" si="98"/>
        <v>0.42649672479034928</v>
      </c>
      <c r="AI117" s="71">
        <v>4.0999999999999996</v>
      </c>
      <c r="AJ117" s="71">
        <f t="shared" si="99"/>
        <v>1.748636571640432</v>
      </c>
      <c r="AL117" s="67">
        <v>36.9</v>
      </c>
      <c r="AM117" s="67">
        <v>25.9</v>
      </c>
      <c r="AN117" s="67">
        <f t="shared" si="100"/>
        <v>11</v>
      </c>
      <c r="AO117" s="70">
        <f t="shared" si="101"/>
        <v>7.7436316397386058</v>
      </c>
      <c r="AP117" s="70">
        <f t="shared" si="102"/>
        <v>18.156368360261393</v>
      </c>
      <c r="AQ117" s="71">
        <f t="shared" si="103"/>
        <v>0.42649672479034911</v>
      </c>
      <c r="AR117" s="67">
        <v>5.8</v>
      </c>
      <c r="AS117" s="70">
        <f t="shared" si="114"/>
        <v>2.4736810037840247</v>
      </c>
      <c r="AU117" s="70">
        <v>78.099999999999994</v>
      </c>
      <c r="AV117" s="70">
        <v>51.3</v>
      </c>
      <c r="AW117" s="70">
        <f t="shared" si="104"/>
        <v>26.799999999999997</v>
      </c>
      <c r="AX117" s="70">
        <f t="shared" si="105"/>
        <v>15.337772321181099</v>
      </c>
      <c r="AY117" s="70">
        <f t="shared" si="106"/>
        <v>35.962227678818898</v>
      </c>
      <c r="AZ117" s="71">
        <f t="shared" si="107"/>
        <v>0.42649672479034911</v>
      </c>
      <c r="BA117" s="70">
        <v>17.8</v>
      </c>
      <c r="BB117" s="70">
        <f t="shared" si="108"/>
        <v>7.5916417012682142</v>
      </c>
      <c r="BD117" s="67" t="s">
        <v>16</v>
      </c>
      <c r="BE117" s="64">
        <v>-24.93543945568651</v>
      </c>
      <c r="BF117" s="64">
        <v>0.30091544516278856</v>
      </c>
      <c r="BG117" s="64">
        <v>2.123341685985535</v>
      </c>
      <c r="BH117" s="66">
        <v>5.1686799081312733E-2</v>
      </c>
      <c r="BI117" s="62">
        <v>0.9</v>
      </c>
      <c r="BJ117" s="63" t="s">
        <v>301</v>
      </c>
      <c r="BN117" s="66"/>
      <c r="BO117" s="62">
        <v>1.9</v>
      </c>
      <c r="BP117" s="63" t="s">
        <v>362</v>
      </c>
    </row>
    <row r="118" spans="1:68" ht="18.75" customHeight="1" x14ac:dyDescent="0.35">
      <c r="A118" s="67" t="s">
        <v>53</v>
      </c>
      <c r="B118" s="68" t="s">
        <v>63</v>
      </c>
      <c r="C118" s="67" t="str">
        <f t="shared" si="109"/>
        <v>TKB_8-24_G</v>
      </c>
      <c r="D118" s="73">
        <v>45505</v>
      </c>
      <c r="E118" s="67" t="s">
        <v>16</v>
      </c>
      <c r="H118" s="67" t="str">
        <f t="shared" si="110"/>
        <v>C,N,S</v>
      </c>
      <c r="I118" s="67">
        <v>128.80000000000001</v>
      </c>
      <c r="K118" s="67">
        <v>157.5</v>
      </c>
      <c r="L118" s="67">
        <f>K118-I118</f>
        <v>28.699999999999989</v>
      </c>
      <c r="M118" s="67">
        <f t="shared" si="111"/>
        <v>112.80000000000001</v>
      </c>
      <c r="O118" s="67">
        <f t="shared" si="88"/>
        <v>24.999999999999996</v>
      </c>
      <c r="P118" s="67">
        <f t="shared" si="89"/>
        <v>6.3608156028368761</v>
      </c>
      <c r="Q118" s="67"/>
      <c r="R118" s="67">
        <f t="shared" si="90"/>
        <v>23.492907801418436</v>
      </c>
      <c r="S118" s="67">
        <f t="shared" si="91"/>
        <v>5.9773621799708225</v>
      </c>
      <c r="T118" s="67"/>
      <c r="U118" s="67">
        <f t="shared" si="92"/>
        <v>51.50709219858156</v>
      </c>
      <c r="V118" s="67">
        <f t="shared" si="93"/>
        <v>13.105084628539805</v>
      </c>
      <c r="W118" s="67"/>
      <c r="X118" s="71">
        <v>38.1</v>
      </c>
      <c r="Y118" s="71">
        <v>28.2</v>
      </c>
      <c r="Z118" s="71">
        <f t="shared" si="94"/>
        <v>9.9000000000000021</v>
      </c>
      <c r="AA118" s="71">
        <f t="shared" si="95"/>
        <v>6.3608156028368761</v>
      </c>
      <c r="AB118" s="71">
        <f t="shared" si="96"/>
        <v>21.839184397163123</v>
      </c>
      <c r="AC118" s="71">
        <f t="shared" si="97"/>
        <v>0.29125701249462121</v>
      </c>
      <c r="AD118" s="71">
        <v>17.8</v>
      </c>
      <c r="AE118" s="71">
        <f t="shared" si="112"/>
        <v>5.1843748224042576</v>
      </c>
      <c r="AF118" s="71">
        <f t="shared" si="113"/>
        <v>12.615625177595742</v>
      </c>
      <c r="AG118" s="71">
        <v>21.1</v>
      </c>
      <c r="AH118" s="71">
        <f t="shared" si="98"/>
        <v>0.29125701249462121</v>
      </c>
      <c r="AI118" s="71">
        <v>3.9</v>
      </c>
      <c r="AJ118" s="71">
        <f t="shared" si="99"/>
        <v>1.1359023487290227</v>
      </c>
      <c r="AL118" s="67">
        <v>39.5</v>
      </c>
      <c r="AM118" s="67">
        <v>26.5</v>
      </c>
      <c r="AN118" s="67">
        <f t="shared" si="100"/>
        <v>13</v>
      </c>
      <c r="AO118" s="70">
        <f t="shared" si="101"/>
        <v>5.9773621799708225</v>
      </c>
      <c r="AP118" s="70">
        <f t="shared" si="102"/>
        <v>20.522637820029178</v>
      </c>
      <c r="AQ118" s="71">
        <f t="shared" si="103"/>
        <v>0.2912570124946211</v>
      </c>
      <c r="AR118" s="67">
        <v>7.6</v>
      </c>
      <c r="AS118" s="70">
        <f t="shared" si="114"/>
        <v>2.2135532949591203</v>
      </c>
      <c r="AU118" s="70">
        <v>78.900000000000006</v>
      </c>
      <c r="AV118" s="70">
        <v>58.1</v>
      </c>
      <c r="AW118" s="70">
        <f t="shared" si="104"/>
        <v>20.800000000000004</v>
      </c>
      <c r="AX118" s="70">
        <f t="shared" si="105"/>
        <v>13.105084628539805</v>
      </c>
      <c r="AY118" s="70">
        <f t="shared" si="106"/>
        <v>44.994915371460195</v>
      </c>
      <c r="AZ118" s="71">
        <f t="shared" si="107"/>
        <v>0.29125701249462116</v>
      </c>
      <c r="BA118" s="70">
        <v>23.2</v>
      </c>
      <c r="BB118" s="70">
        <f t="shared" si="108"/>
        <v>6.7571626898752104</v>
      </c>
      <c r="BD118" s="67" t="s">
        <v>16</v>
      </c>
      <c r="BE118" s="64">
        <v>-20.946669839248926</v>
      </c>
      <c r="BF118" s="64">
        <v>0.137570166063569</v>
      </c>
      <c r="BG118" s="64">
        <v>10.961837894072341</v>
      </c>
      <c r="BH118" s="66">
        <v>0.17893482077050599</v>
      </c>
      <c r="BI118" s="62">
        <v>0.8</v>
      </c>
      <c r="BJ118" s="63" t="s">
        <v>299</v>
      </c>
      <c r="BO118" s="62">
        <v>1.8</v>
      </c>
      <c r="BP118" s="63" t="s">
        <v>363</v>
      </c>
    </row>
    <row r="119" spans="1:68" ht="15" customHeight="1" x14ac:dyDescent="0.35">
      <c r="A119" s="67" t="s">
        <v>53</v>
      </c>
      <c r="B119" s="68" t="s">
        <v>14</v>
      </c>
      <c r="C119" s="67" t="str">
        <f t="shared" si="109"/>
        <v>TKB_9-23_G</v>
      </c>
      <c r="D119" s="73">
        <v>45204</v>
      </c>
      <c r="E119" s="73" t="s">
        <v>16</v>
      </c>
      <c r="F119" s="73">
        <v>45275</v>
      </c>
      <c r="H119" s="67" t="str">
        <f t="shared" si="110"/>
        <v>C,N,S</v>
      </c>
      <c r="J119" s="67">
        <v>130.50101010101005</v>
      </c>
      <c r="K119" s="67">
        <v>176.3</v>
      </c>
      <c r="L119" s="67">
        <f>K119-J119</f>
        <v>45.798989898989959</v>
      </c>
      <c r="M119" s="67">
        <f t="shared" si="111"/>
        <v>119.89999999999999</v>
      </c>
      <c r="O119" s="67">
        <f t="shared" si="88"/>
        <v>27.356130108423688</v>
      </c>
      <c r="P119" s="67">
        <f t="shared" si="89"/>
        <v>10.449400554721866</v>
      </c>
      <c r="Q119" s="67"/>
      <c r="R119" s="67">
        <f t="shared" si="90"/>
        <v>26.105087572977482</v>
      </c>
      <c r="S119" s="67">
        <f t="shared" si="91"/>
        <v>9.9715316269144623</v>
      </c>
      <c r="T119" s="67"/>
      <c r="U119" s="67">
        <f t="shared" si="92"/>
        <v>46.538782318598834</v>
      </c>
      <c r="V119" s="67">
        <f t="shared" si="93"/>
        <v>17.776724114435368</v>
      </c>
      <c r="W119" s="67"/>
      <c r="X119" s="71">
        <v>40.799999999999997</v>
      </c>
      <c r="Y119" s="71">
        <v>32.799999999999997</v>
      </c>
      <c r="Z119" s="71">
        <f t="shared" si="94"/>
        <v>8</v>
      </c>
      <c r="AA119" s="71">
        <f t="shared" si="95"/>
        <v>10.449400554721866</v>
      </c>
      <c r="AB119" s="71">
        <f t="shared" si="96"/>
        <v>22.350599445278132</v>
      </c>
      <c r="AC119" s="71">
        <f t="shared" si="97"/>
        <v>0.46752216110827594</v>
      </c>
      <c r="AD119" s="71">
        <v>23.2</v>
      </c>
      <c r="AE119" s="71">
        <f t="shared" si="112"/>
        <v>10.846514137712001</v>
      </c>
      <c r="AF119" s="71">
        <f t="shared" si="113"/>
        <v>12.353485862287998</v>
      </c>
      <c r="AG119" s="71">
        <v>22.8</v>
      </c>
      <c r="AH119" s="71">
        <f t="shared" si="98"/>
        <v>0.46752216110827594</v>
      </c>
      <c r="AI119" s="71">
        <v>5.0999999999999996</v>
      </c>
      <c r="AJ119" s="71">
        <f t="shared" si="99"/>
        <v>2.3843630216522071</v>
      </c>
      <c r="AL119" s="67">
        <v>39.6</v>
      </c>
      <c r="AM119" s="67">
        <v>31.3</v>
      </c>
      <c r="AN119" s="67">
        <f t="shared" si="100"/>
        <v>8.3000000000000007</v>
      </c>
      <c r="AO119" s="70">
        <f t="shared" si="101"/>
        <v>9.9715316269144623</v>
      </c>
      <c r="AP119" s="70">
        <f t="shared" si="102"/>
        <v>21.328468373085538</v>
      </c>
      <c r="AQ119" s="71">
        <f t="shared" si="103"/>
        <v>0.46752216110827582</v>
      </c>
      <c r="AR119" s="67">
        <v>8</v>
      </c>
      <c r="AS119" s="70">
        <f t="shared" si="114"/>
        <v>3.7401772888662066</v>
      </c>
      <c r="AU119" s="70">
        <v>77.8</v>
      </c>
      <c r="AV119" s="70">
        <v>55.8</v>
      </c>
      <c r="AW119" s="70">
        <f t="shared" si="104"/>
        <v>22</v>
      </c>
      <c r="AX119" s="70">
        <f t="shared" si="105"/>
        <v>17.776724114435368</v>
      </c>
      <c r="AY119" s="70">
        <f t="shared" si="106"/>
        <v>38.02327588556463</v>
      </c>
      <c r="AZ119" s="71">
        <f t="shared" si="107"/>
        <v>0.46752216110827588</v>
      </c>
      <c r="BA119" s="70">
        <v>26.5</v>
      </c>
      <c r="BB119" s="70">
        <f t="shared" si="108"/>
        <v>12.38933726936931</v>
      </c>
      <c r="BD119" s="67" t="s">
        <v>16</v>
      </c>
      <c r="BE119" s="64">
        <v>-16.995516623763351</v>
      </c>
      <c r="BF119" s="64">
        <v>0.13885232191045591</v>
      </c>
      <c r="BG119" s="64">
        <v>4.8469506635004791</v>
      </c>
      <c r="BH119" s="66">
        <v>1.9339827996835986E-2</v>
      </c>
      <c r="BI119" s="62">
        <v>1</v>
      </c>
      <c r="BJ119" s="63" t="s">
        <v>299</v>
      </c>
      <c r="BK119" s="64">
        <v>3.2262735126123463</v>
      </c>
      <c r="BL119" s="65">
        <v>0.29862004211944188</v>
      </c>
      <c r="BM119" s="61">
        <v>1.0927667484672248</v>
      </c>
      <c r="BN119" s="66">
        <v>8.6752436341713656E-3</v>
      </c>
      <c r="BO119" s="62">
        <v>1.7</v>
      </c>
      <c r="BP119" s="63" t="s">
        <v>299</v>
      </c>
    </row>
    <row r="120" spans="1:68" ht="14.5" x14ac:dyDescent="0.35">
      <c r="A120" s="67" t="s">
        <v>57</v>
      </c>
      <c r="B120" s="68" t="s">
        <v>56</v>
      </c>
      <c r="C120" s="67" t="str">
        <f t="shared" si="109"/>
        <v>TSH_11_23_G</v>
      </c>
      <c r="D120" s="73">
        <v>45259</v>
      </c>
      <c r="E120" s="73" t="s">
        <v>16</v>
      </c>
      <c r="F120" s="73">
        <v>45544</v>
      </c>
      <c r="H120" s="67" t="str">
        <f t="shared" si="110"/>
        <v>C,N,S</v>
      </c>
      <c r="I120" s="67">
        <v>128.5</v>
      </c>
      <c r="K120" s="67">
        <v>151.6</v>
      </c>
      <c r="L120" s="67">
        <f t="shared" ref="L120:L131" si="115">K120-I120</f>
        <v>23.099999999999994</v>
      </c>
      <c r="M120" s="67">
        <f t="shared" si="111"/>
        <v>112.1</v>
      </c>
      <c r="O120" s="67">
        <f t="shared" si="88"/>
        <v>23.104371097234612</v>
      </c>
      <c r="P120" s="67">
        <f t="shared" si="89"/>
        <v>4.7610256230697541</v>
      </c>
      <c r="Q120" s="67"/>
      <c r="R120" s="67">
        <f t="shared" si="90"/>
        <v>24.442462087421944</v>
      </c>
      <c r="S120" s="67">
        <f t="shared" si="91"/>
        <v>5.0367606977649135</v>
      </c>
      <c r="T120" s="67"/>
      <c r="U120" s="67">
        <f t="shared" si="92"/>
        <v>52.453166815343444</v>
      </c>
      <c r="V120" s="67">
        <f t="shared" si="93"/>
        <v>10.808814928050253</v>
      </c>
      <c r="W120" s="67"/>
      <c r="X120" s="71">
        <v>35.799999999999997</v>
      </c>
      <c r="Y120" s="71">
        <v>25.9</v>
      </c>
      <c r="Z120" s="71">
        <f t="shared" si="94"/>
        <v>9.8999999999999986</v>
      </c>
      <c r="AA120" s="71">
        <f t="shared" si="95"/>
        <v>4.7610256230697541</v>
      </c>
      <c r="AB120" s="71">
        <f t="shared" si="96"/>
        <v>21.138974376930243</v>
      </c>
      <c r="AC120" s="71">
        <f t="shared" si="97"/>
        <v>0.22522500563062511</v>
      </c>
      <c r="AD120" s="71">
        <v>18.100000000000001</v>
      </c>
      <c r="AE120" s="71">
        <f t="shared" si="112"/>
        <v>4.0765726019143145</v>
      </c>
      <c r="AF120" s="71">
        <f t="shared" si="113"/>
        <v>14.023427398085687</v>
      </c>
      <c r="AG120" s="71">
        <v>18.600000000000001</v>
      </c>
      <c r="AH120" s="71">
        <f t="shared" si="98"/>
        <v>0.22522500563062511</v>
      </c>
      <c r="AI120" s="71">
        <v>5.6</v>
      </c>
      <c r="AJ120" s="71">
        <f t="shared" si="99"/>
        <v>1.2612600315315006</v>
      </c>
      <c r="AL120" s="67">
        <v>36.299999999999997</v>
      </c>
      <c r="AM120" s="67">
        <v>27.4</v>
      </c>
      <c r="AN120" s="67">
        <f t="shared" si="100"/>
        <v>8.8999999999999986</v>
      </c>
      <c r="AO120" s="70">
        <f t="shared" si="101"/>
        <v>5.0367606977649135</v>
      </c>
      <c r="AP120" s="70">
        <f t="shared" si="102"/>
        <v>22.363239302235087</v>
      </c>
      <c r="AQ120" s="71">
        <f t="shared" si="103"/>
        <v>0.22522500563062509</v>
      </c>
      <c r="AR120" s="67">
        <v>11.1</v>
      </c>
      <c r="AS120" s="70">
        <f t="shared" si="114"/>
        <v>2.4999975624999382</v>
      </c>
      <c r="AU120" s="70">
        <v>77.099999999999994</v>
      </c>
      <c r="AV120" s="70">
        <v>58.8</v>
      </c>
      <c r="AW120" s="70">
        <f t="shared" si="104"/>
        <v>18.299999999999997</v>
      </c>
      <c r="AX120" s="70">
        <f t="shared" si="105"/>
        <v>10.808814928050253</v>
      </c>
      <c r="AY120" s="70">
        <f t="shared" si="106"/>
        <v>47.991185071949744</v>
      </c>
      <c r="AZ120" s="71">
        <f t="shared" si="107"/>
        <v>0.22522500563062511</v>
      </c>
      <c r="BA120" s="70">
        <v>36.700000000000003</v>
      </c>
      <c r="BB120" s="70">
        <f t="shared" si="108"/>
        <v>8.2657577066439423</v>
      </c>
      <c r="BD120" s="67" t="s">
        <v>16</v>
      </c>
      <c r="BE120" s="64">
        <v>-29.865049483970694</v>
      </c>
      <c r="BF120" s="64">
        <v>0.14025657849929205</v>
      </c>
      <c r="BG120" s="64">
        <v>3.989230688762254</v>
      </c>
      <c r="BH120" s="66">
        <v>0.25526795133530744</v>
      </c>
      <c r="BI120" s="62">
        <v>1</v>
      </c>
      <c r="BO120" s="62">
        <v>1.3</v>
      </c>
      <c r="BP120" s="63" t="s">
        <v>364</v>
      </c>
    </row>
    <row r="121" spans="1:68" ht="15" customHeight="1" x14ac:dyDescent="0.35">
      <c r="A121" s="67" t="s">
        <v>57</v>
      </c>
      <c r="B121" s="68" t="s">
        <v>14</v>
      </c>
      <c r="C121" s="67" t="str">
        <f t="shared" si="109"/>
        <v>TSH_9-23_G</v>
      </c>
      <c r="D121" s="73">
        <v>45184</v>
      </c>
      <c r="E121" s="73" t="s">
        <v>16</v>
      </c>
      <c r="F121" s="73">
        <v>45538</v>
      </c>
      <c r="H121" s="67" t="str">
        <f t="shared" si="110"/>
        <v>C,N,S</v>
      </c>
      <c r="I121" s="67">
        <v>129</v>
      </c>
      <c r="K121" s="67">
        <v>149.30000000000001</v>
      </c>
      <c r="L121" s="67">
        <f t="shared" si="115"/>
        <v>20.300000000000011</v>
      </c>
      <c r="M121" s="67">
        <f t="shared" si="111"/>
        <v>101.80000000000001</v>
      </c>
      <c r="O121" s="67">
        <f t="shared" si="88"/>
        <v>26.031434184675835</v>
      </c>
      <c r="P121" s="67">
        <f t="shared" si="89"/>
        <v>5.1909441448813327</v>
      </c>
      <c r="Q121" s="67"/>
      <c r="R121" s="67">
        <f t="shared" si="90"/>
        <v>26.2278978388998</v>
      </c>
      <c r="S121" s="67">
        <f t="shared" si="91"/>
        <v>5.2301210818238326</v>
      </c>
      <c r="T121" s="67"/>
      <c r="U121" s="67">
        <f t="shared" si="92"/>
        <v>47.740667976424355</v>
      </c>
      <c r="V121" s="67">
        <f t="shared" si="93"/>
        <v>9.5199956770276497</v>
      </c>
      <c r="W121" s="67"/>
      <c r="X121" s="71">
        <v>36.1</v>
      </c>
      <c r="Y121" s="71">
        <v>26.5</v>
      </c>
      <c r="Z121" s="71">
        <f t="shared" si="94"/>
        <v>9.6000000000000014</v>
      </c>
      <c r="AA121" s="71">
        <f t="shared" si="95"/>
        <v>5.1909441448813327</v>
      </c>
      <c r="AB121" s="71">
        <f t="shared" si="96"/>
        <v>21.309055855118668</v>
      </c>
      <c r="AC121" s="71">
        <f t="shared" si="97"/>
        <v>0.24360272835055763</v>
      </c>
      <c r="AD121" s="71">
        <v>19.100000000000001</v>
      </c>
      <c r="AE121" s="71">
        <f t="shared" si="112"/>
        <v>4.6528121114956509</v>
      </c>
      <c r="AF121" s="71">
        <f t="shared" si="113"/>
        <v>14.447187888504351</v>
      </c>
      <c r="AG121" s="71">
        <v>19.3</v>
      </c>
      <c r="AH121" s="71">
        <f t="shared" si="98"/>
        <v>0.24360272835055763</v>
      </c>
      <c r="AI121" s="71">
        <v>5.3</v>
      </c>
      <c r="AJ121" s="71">
        <f t="shared" si="99"/>
        <v>1.2910944602579555</v>
      </c>
      <c r="AL121" s="67">
        <v>36.6</v>
      </c>
      <c r="AM121" s="67">
        <v>26.7</v>
      </c>
      <c r="AN121" s="67">
        <f t="shared" si="100"/>
        <v>9.9000000000000021</v>
      </c>
      <c r="AO121" s="70">
        <f t="shared" si="101"/>
        <v>5.2301210818238326</v>
      </c>
      <c r="AP121" s="70">
        <f t="shared" si="102"/>
        <v>21.469878918176168</v>
      </c>
      <c r="AQ121" s="71">
        <f t="shared" si="103"/>
        <v>0.2436027283505576</v>
      </c>
      <c r="AR121" s="67">
        <v>8.6</v>
      </c>
      <c r="AS121" s="70">
        <f t="shared" si="114"/>
        <v>2.0949834638147955</v>
      </c>
      <c r="AU121" s="70">
        <v>71.5</v>
      </c>
      <c r="AV121" s="70">
        <v>48.6</v>
      </c>
      <c r="AW121" s="70">
        <f t="shared" si="104"/>
        <v>22.9</v>
      </c>
      <c r="AX121" s="70">
        <f t="shared" si="105"/>
        <v>9.5199956770276497</v>
      </c>
      <c r="AY121" s="70">
        <f t="shared" si="106"/>
        <v>39.08000432297235</v>
      </c>
      <c r="AZ121" s="71">
        <f t="shared" si="107"/>
        <v>0.2436027283505576</v>
      </c>
      <c r="BA121" s="70">
        <v>27.4</v>
      </c>
      <c r="BB121" s="70">
        <f t="shared" si="108"/>
        <v>6.6747147568052778</v>
      </c>
      <c r="BD121" s="67" t="s">
        <v>16</v>
      </c>
      <c r="BE121" s="64">
        <v>-28.462913350693587</v>
      </c>
      <c r="BF121" s="64">
        <v>0.15250322207042111</v>
      </c>
      <c r="BG121" s="64">
        <v>12.75859815869925</v>
      </c>
      <c r="BH121" s="66">
        <v>3.7209384201136397E-2</v>
      </c>
      <c r="BI121" s="62">
        <v>0.8</v>
      </c>
      <c r="BJ121" s="63" t="s">
        <v>299</v>
      </c>
      <c r="BN121" s="66"/>
      <c r="BO121" s="62">
        <v>1.7</v>
      </c>
      <c r="BP121" s="63" t="s">
        <v>365</v>
      </c>
    </row>
    <row r="122" spans="1:68" ht="15" customHeight="1" x14ac:dyDescent="0.35">
      <c r="A122" s="67" t="s">
        <v>44</v>
      </c>
      <c r="B122" s="68" t="s">
        <v>60</v>
      </c>
      <c r="C122" s="67" t="str">
        <f t="shared" si="109"/>
        <v>TSM1_1-24_G</v>
      </c>
      <c r="D122" s="73">
        <v>45324</v>
      </c>
      <c r="E122" s="73" t="s">
        <v>16</v>
      </c>
      <c r="F122" s="73">
        <v>45546</v>
      </c>
      <c r="H122" s="67" t="str">
        <f t="shared" si="110"/>
        <v>C,N,S</v>
      </c>
      <c r="I122" s="67">
        <v>132.5</v>
      </c>
      <c r="K122" s="67">
        <v>153.80000000000001</v>
      </c>
      <c r="L122" s="67">
        <f t="shared" si="115"/>
        <v>21.300000000000011</v>
      </c>
      <c r="M122" s="67">
        <f t="shared" si="111"/>
        <v>107</v>
      </c>
      <c r="O122" s="67">
        <f t="shared" si="88"/>
        <v>23.551401869158877</v>
      </c>
      <c r="P122" s="67">
        <f t="shared" si="89"/>
        <v>4.6882697178792929</v>
      </c>
      <c r="Q122" s="67"/>
      <c r="R122" s="67">
        <f t="shared" si="90"/>
        <v>22.523364485981308</v>
      </c>
      <c r="S122" s="67">
        <f t="shared" si="91"/>
        <v>4.4836230238448795</v>
      </c>
      <c r="T122" s="67"/>
      <c r="U122" s="67">
        <f t="shared" si="92"/>
        <v>53.925233644859816</v>
      </c>
      <c r="V122" s="67">
        <f t="shared" si="93"/>
        <v>10.734649314350603</v>
      </c>
      <c r="W122" s="67"/>
      <c r="X122" s="71">
        <v>38.4</v>
      </c>
      <c r="Y122" s="71">
        <v>25.2</v>
      </c>
      <c r="Z122" s="71">
        <f t="shared" si="94"/>
        <v>13.2</v>
      </c>
      <c r="AA122" s="71">
        <f t="shared" si="95"/>
        <v>4.6882697178792929</v>
      </c>
      <c r="AB122" s="71">
        <f t="shared" si="96"/>
        <v>20.511730282120705</v>
      </c>
      <c r="AC122" s="71">
        <f t="shared" si="97"/>
        <v>0.22856529670565526</v>
      </c>
      <c r="AD122" s="71">
        <v>16.3</v>
      </c>
      <c r="AE122" s="71">
        <f t="shared" si="112"/>
        <v>3.725614336302181</v>
      </c>
      <c r="AF122" s="71">
        <f t="shared" si="113"/>
        <v>12.57438566369782</v>
      </c>
      <c r="AG122" s="71">
        <v>16.100000000000001</v>
      </c>
      <c r="AH122" s="71">
        <f t="shared" si="98"/>
        <v>0.22856529670565526</v>
      </c>
      <c r="AI122" s="71">
        <v>6</v>
      </c>
      <c r="AJ122" s="71">
        <f t="shared" si="99"/>
        <v>1.3713917802339315</v>
      </c>
      <c r="AL122" s="67">
        <v>35.4</v>
      </c>
      <c r="AM122" s="67">
        <v>24.1</v>
      </c>
      <c r="AN122" s="67">
        <f t="shared" si="100"/>
        <v>11.299999999999997</v>
      </c>
      <c r="AO122" s="70">
        <f t="shared" si="101"/>
        <v>4.4836230238448795</v>
      </c>
      <c r="AP122" s="70">
        <f t="shared" si="102"/>
        <v>19.616376976155124</v>
      </c>
      <c r="AQ122" s="71">
        <f t="shared" si="103"/>
        <v>0.22856529670565523</v>
      </c>
      <c r="AR122" s="67">
        <v>12.4</v>
      </c>
      <c r="AS122" s="70">
        <f t="shared" si="114"/>
        <v>2.834209679150125</v>
      </c>
      <c r="AU122" s="70">
        <v>74.400000000000006</v>
      </c>
      <c r="AV122" s="70">
        <v>57.7</v>
      </c>
      <c r="AW122" s="70">
        <f t="shared" si="104"/>
        <v>16.700000000000003</v>
      </c>
      <c r="AX122" s="70">
        <f t="shared" si="105"/>
        <v>10.734649314350603</v>
      </c>
      <c r="AY122" s="70">
        <f t="shared" si="106"/>
        <v>46.965350685649398</v>
      </c>
      <c r="AZ122" s="71">
        <f t="shared" si="107"/>
        <v>0.22856529670565523</v>
      </c>
      <c r="BA122" s="70">
        <v>36.1</v>
      </c>
      <c r="BB122" s="70">
        <f t="shared" si="108"/>
        <v>8.2512072110741546</v>
      </c>
      <c r="BD122" s="67" t="s">
        <v>16</v>
      </c>
      <c r="BE122" s="64">
        <v>-28.643295538506454</v>
      </c>
      <c r="BF122" s="64">
        <v>0.15261541492412886</v>
      </c>
      <c r="BG122" s="64">
        <v>4.6966168979866536</v>
      </c>
      <c r="BH122" s="66">
        <v>3.9201200169407313E-2</v>
      </c>
      <c r="BI122" s="62">
        <v>1</v>
      </c>
      <c r="BJ122" s="63" t="s">
        <v>299</v>
      </c>
      <c r="BO122" s="62">
        <v>1.3</v>
      </c>
      <c r="BP122" s="63" t="s">
        <v>366</v>
      </c>
    </row>
    <row r="123" spans="1:68" ht="15" customHeight="1" x14ac:dyDescent="0.35">
      <c r="A123" s="67" t="s">
        <v>44</v>
      </c>
      <c r="B123" s="68" t="s">
        <v>62</v>
      </c>
      <c r="C123" s="67" t="str">
        <f t="shared" si="109"/>
        <v>TSM1_4-24_G</v>
      </c>
      <c r="D123" s="73">
        <v>45391</v>
      </c>
      <c r="E123" s="73" t="s">
        <v>16</v>
      </c>
      <c r="F123" s="73">
        <v>45541</v>
      </c>
      <c r="H123" s="67" t="str">
        <f t="shared" si="110"/>
        <v>C,N,S</v>
      </c>
      <c r="I123" s="67">
        <v>129.19999999999999</v>
      </c>
      <c r="K123" s="67">
        <v>182.3</v>
      </c>
      <c r="L123" s="67">
        <f t="shared" si="115"/>
        <v>53.100000000000023</v>
      </c>
      <c r="M123" s="67">
        <f t="shared" si="111"/>
        <v>102.4</v>
      </c>
      <c r="O123" s="67">
        <f t="shared" si="88"/>
        <v>26.757812499999993</v>
      </c>
      <c r="P123" s="67">
        <f t="shared" si="89"/>
        <v>13.875389099121094</v>
      </c>
      <c r="Q123" s="67"/>
      <c r="R123" s="67">
        <f t="shared" si="90"/>
        <v>24.0234375</v>
      </c>
      <c r="S123" s="67">
        <f t="shared" si="91"/>
        <v>12.457466125488287</v>
      </c>
      <c r="T123" s="67"/>
      <c r="U123" s="67">
        <f t="shared" si="92"/>
        <v>49.218749999999993</v>
      </c>
      <c r="V123" s="67">
        <f t="shared" si="93"/>
        <v>25.522613525390629</v>
      </c>
      <c r="W123" s="67"/>
      <c r="X123" s="71">
        <v>37.9</v>
      </c>
      <c r="Y123" s="71">
        <v>27.4</v>
      </c>
      <c r="Z123" s="71">
        <f t="shared" si="94"/>
        <v>10.5</v>
      </c>
      <c r="AA123" s="71">
        <f t="shared" si="95"/>
        <v>13.875389099121094</v>
      </c>
      <c r="AB123" s="71">
        <f t="shared" si="96"/>
        <v>13.524610900878905</v>
      </c>
      <c r="AC123" s="71">
        <f t="shared" si="97"/>
        <v>1.0259362876176641</v>
      </c>
      <c r="AD123" s="71">
        <v>16.7</v>
      </c>
      <c r="AE123" s="71">
        <f t="shared" si="112"/>
        <v>17.13313600321499</v>
      </c>
      <c r="AF123" s="71">
        <f t="shared" si="113"/>
        <v>-0.43313600321499024</v>
      </c>
      <c r="AG123" s="71">
        <v>16.8</v>
      </c>
      <c r="AH123" s="71">
        <f t="shared" si="98"/>
        <v>1.0259362876176641</v>
      </c>
      <c r="AI123" s="71">
        <v>7.6</v>
      </c>
      <c r="AJ123" s="71">
        <f t="shared" si="99"/>
        <v>7.7971157858942464</v>
      </c>
      <c r="AL123" s="67">
        <v>37.200000000000003</v>
      </c>
      <c r="AM123" s="67">
        <v>24.6</v>
      </c>
      <c r="AN123" s="67">
        <f t="shared" si="100"/>
        <v>12.600000000000001</v>
      </c>
      <c r="AO123" s="70">
        <f t="shared" si="101"/>
        <v>12.457466125488287</v>
      </c>
      <c r="AP123" s="70">
        <f t="shared" si="102"/>
        <v>12.142533874511715</v>
      </c>
      <c r="AQ123" s="71">
        <f t="shared" si="103"/>
        <v>1.0259362876176648</v>
      </c>
      <c r="AR123" s="67">
        <v>11.6</v>
      </c>
      <c r="AS123" s="70">
        <f t="shared" si="114"/>
        <v>11.900860936364911</v>
      </c>
      <c r="AU123" s="70">
        <v>71.7</v>
      </c>
      <c r="AV123" s="70">
        <v>50.4</v>
      </c>
      <c r="AW123" s="70">
        <f t="shared" si="104"/>
        <v>21.300000000000004</v>
      </c>
      <c r="AX123" s="70">
        <f t="shared" si="105"/>
        <v>25.522613525390629</v>
      </c>
      <c r="AY123" s="70">
        <f t="shared" si="106"/>
        <v>24.87738647460937</v>
      </c>
      <c r="AZ123" s="71">
        <f t="shared" si="107"/>
        <v>1.0259362876176643</v>
      </c>
      <c r="BA123" s="70">
        <v>33.4</v>
      </c>
      <c r="BB123" s="70">
        <f t="shared" si="108"/>
        <v>34.266272006429986</v>
      </c>
      <c r="BD123" s="67" t="s">
        <v>16</v>
      </c>
      <c r="BE123" s="64">
        <v>-28.801175105565299</v>
      </c>
      <c r="BF123" s="64">
        <v>0.13992463053269633</v>
      </c>
      <c r="BG123" s="64">
        <v>2.1563361616895826</v>
      </c>
      <c r="BH123" s="66">
        <v>0.25465157043272835</v>
      </c>
      <c r="BI123" s="62">
        <v>1.1000000000000001</v>
      </c>
      <c r="BN123" s="66"/>
      <c r="BO123" s="62">
        <v>1.4</v>
      </c>
      <c r="BP123" s="63" t="s">
        <v>367</v>
      </c>
    </row>
    <row r="124" spans="1:68" ht="15" customHeight="1" x14ac:dyDescent="0.35">
      <c r="A124" s="67" t="s">
        <v>44</v>
      </c>
      <c r="B124" s="68" t="s">
        <v>63</v>
      </c>
      <c r="C124" s="67" t="str">
        <f t="shared" si="109"/>
        <v>TSM1_8-24_G</v>
      </c>
      <c r="D124" s="73">
        <v>45505</v>
      </c>
      <c r="E124" s="67" t="s">
        <v>16</v>
      </c>
      <c r="F124" s="73">
        <v>45548</v>
      </c>
      <c r="H124" s="67" t="str">
        <f t="shared" si="110"/>
        <v>C,N,S</v>
      </c>
      <c r="I124" s="67">
        <v>131.1</v>
      </c>
      <c r="K124" s="67">
        <v>156.9</v>
      </c>
      <c r="L124" s="67">
        <f t="shared" si="115"/>
        <v>25.800000000000011</v>
      </c>
      <c r="M124" s="67">
        <f t="shared" si="111"/>
        <v>116.1</v>
      </c>
      <c r="O124" s="67">
        <f t="shared" si="88"/>
        <v>24.46167097329888</v>
      </c>
      <c r="P124" s="67">
        <f t="shared" si="89"/>
        <v>5.4359268829553091</v>
      </c>
      <c r="Q124" s="67"/>
      <c r="R124" s="67">
        <f t="shared" si="90"/>
        <v>28.85443583118002</v>
      </c>
      <c r="S124" s="67">
        <f t="shared" si="91"/>
        <v>6.4120968513733407</v>
      </c>
      <c r="T124" s="67"/>
      <c r="U124" s="67">
        <f t="shared" si="92"/>
        <v>46.683893195521108</v>
      </c>
      <c r="V124" s="67">
        <f t="shared" si="93"/>
        <v>10.374198487893585</v>
      </c>
      <c r="W124" s="67"/>
      <c r="X124" s="71">
        <v>37.200000000000003</v>
      </c>
      <c r="Y124" s="71">
        <v>28.4</v>
      </c>
      <c r="Z124" s="71">
        <f t="shared" si="94"/>
        <v>8.8000000000000043</v>
      </c>
      <c r="AA124" s="71">
        <f t="shared" si="95"/>
        <v>5.4359268829553091</v>
      </c>
      <c r="AB124" s="71">
        <f t="shared" si="96"/>
        <v>22.964073117044691</v>
      </c>
      <c r="AC124" s="71">
        <f t="shared" si="97"/>
        <v>0.23671440407148789</v>
      </c>
      <c r="AD124" s="71">
        <v>18.899999999999999</v>
      </c>
      <c r="AE124" s="71">
        <f t="shared" si="112"/>
        <v>4.4739022369511208</v>
      </c>
      <c r="AF124" s="71">
        <f t="shared" si="113"/>
        <v>14.426097763048878</v>
      </c>
      <c r="AG124" s="71">
        <v>18.5</v>
      </c>
      <c r="AH124" s="71">
        <f t="shared" si="98"/>
        <v>0.23671440407148789</v>
      </c>
      <c r="AI124" s="71">
        <v>6.2</v>
      </c>
      <c r="AJ124" s="71">
        <f t="shared" si="99"/>
        <v>1.467629305243225</v>
      </c>
      <c r="AL124" s="67">
        <v>39.799999999999997</v>
      </c>
      <c r="AM124" s="67">
        <v>33.5</v>
      </c>
      <c r="AN124" s="67">
        <f t="shared" si="100"/>
        <v>6.2999999999999972</v>
      </c>
      <c r="AO124" s="70">
        <f t="shared" si="101"/>
        <v>6.4120968513733407</v>
      </c>
      <c r="AP124" s="70">
        <f t="shared" si="102"/>
        <v>27.087903148626658</v>
      </c>
      <c r="AQ124" s="71">
        <f t="shared" si="103"/>
        <v>0.23671440407148792</v>
      </c>
      <c r="AR124" s="67">
        <v>14.8</v>
      </c>
      <c r="AS124" s="70">
        <f t="shared" si="114"/>
        <v>3.5033731802580212</v>
      </c>
      <c r="AU124" s="70">
        <v>69.8</v>
      </c>
      <c r="AV124" s="70">
        <v>54.2</v>
      </c>
      <c r="AW124" s="70">
        <f t="shared" si="104"/>
        <v>15.599999999999994</v>
      </c>
      <c r="AX124" s="70">
        <f t="shared" si="105"/>
        <v>10.374198487893585</v>
      </c>
      <c r="AY124" s="70">
        <f t="shared" si="106"/>
        <v>43.825801512106416</v>
      </c>
      <c r="AZ124" s="71">
        <f t="shared" si="107"/>
        <v>0.23671440407148792</v>
      </c>
      <c r="BA124" s="70">
        <v>36.9</v>
      </c>
      <c r="BB124" s="70">
        <f t="shared" si="108"/>
        <v>8.7347615102379041</v>
      </c>
      <c r="BD124" s="67" t="s">
        <v>16</v>
      </c>
      <c r="BE124" s="64">
        <v>-24.694929871936026</v>
      </c>
      <c r="BF124" s="64">
        <v>0.15032870209713808</v>
      </c>
      <c r="BG124" s="64">
        <v>5.3127663280468775</v>
      </c>
      <c r="BH124" s="66">
        <v>3.7749940750561935E-2</v>
      </c>
      <c r="BI124" s="62">
        <v>1</v>
      </c>
      <c r="BJ124" s="63" t="s">
        <v>299</v>
      </c>
      <c r="BN124" s="66"/>
      <c r="BO124" s="62">
        <v>1.6</v>
      </c>
      <c r="BP124" s="63" t="s">
        <v>368</v>
      </c>
    </row>
    <row r="125" spans="1:68" ht="15" customHeight="1" x14ac:dyDescent="0.35">
      <c r="A125" s="67" t="s">
        <v>44</v>
      </c>
      <c r="B125" s="68" t="s">
        <v>14</v>
      </c>
      <c r="C125" s="67" t="str">
        <f t="shared" si="109"/>
        <v>TSM1_9-23_G</v>
      </c>
      <c r="D125" s="73">
        <v>45199</v>
      </c>
      <c r="E125" s="73" t="s">
        <v>16</v>
      </c>
      <c r="F125" s="73">
        <v>45538</v>
      </c>
      <c r="H125" s="67" t="str">
        <f t="shared" si="110"/>
        <v>C,N,S</v>
      </c>
      <c r="I125" s="67">
        <v>129.19999999999999</v>
      </c>
      <c r="K125" s="67">
        <v>146.4</v>
      </c>
      <c r="L125" s="67">
        <f t="shared" si="115"/>
        <v>17.200000000000017</v>
      </c>
      <c r="M125" s="67">
        <f t="shared" si="111"/>
        <v>103.89999999999999</v>
      </c>
      <c r="N125" s="75"/>
      <c r="O125" s="75">
        <f t="shared" si="88"/>
        <v>25.21655437921078</v>
      </c>
      <c r="P125" s="75">
        <f t="shared" si="89"/>
        <v>4.1744440358270056</v>
      </c>
      <c r="Q125" s="75"/>
      <c r="R125" s="75">
        <f t="shared" si="90"/>
        <v>26.371511068334939</v>
      </c>
      <c r="S125" s="75">
        <f t="shared" si="91"/>
        <v>4.365639945864884</v>
      </c>
      <c r="T125" s="75"/>
      <c r="U125" s="75">
        <f t="shared" si="92"/>
        <v>48.411934552454284</v>
      </c>
      <c r="V125" s="75">
        <f t="shared" si="93"/>
        <v>8.0142952290877236</v>
      </c>
      <c r="W125" s="75"/>
      <c r="X125" s="78">
        <v>37.299999999999997</v>
      </c>
      <c r="Y125" s="78">
        <v>26.2</v>
      </c>
      <c r="Z125" s="78">
        <f t="shared" si="94"/>
        <v>11.099999999999998</v>
      </c>
      <c r="AA125" s="78">
        <f t="shared" si="95"/>
        <v>4.1744440358270056</v>
      </c>
      <c r="AB125" s="78">
        <f t="shared" si="96"/>
        <v>22.025555964172995</v>
      </c>
      <c r="AC125" s="78">
        <f t="shared" si="97"/>
        <v>0.18952729468519211</v>
      </c>
      <c r="AD125" s="78">
        <v>16</v>
      </c>
      <c r="AE125" s="78">
        <f t="shared" si="112"/>
        <v>3.0324367149630738</v>
      </c>
      <c r="AF125" s="78">
        <f t="shared" si="113"/>
        <v>12.967563285036926</v>
      </c>
      <c r="AG125" s="78">
        <v>16</v>
      </c>
      <c r="AH125" s="78">
        <f t="shared" si="98"/>
        <v>0.18952729468519211</v>
      </c>
      <c r="AI125" s="78">
        <v>8</v>
      </c>
      <c r="AJ125" s="78">
        <f t="shared" si="99"/>
        <v>1.5162183574815369</v>
      </c>
      <c r="AK125" s="75"/>
      <c r="AL125" s="75">
        <v>36.799999999999997</v>
      </c>
      <c r="AM125" s="75">
        <v>27.4</v>
      </c>
      <c r="AN125" s="75">
        <f t="shared" si="100"/>
        <v>9.3999999999999986</v>
      </c>
      <c r="AO125" s="79">
        <f t="shared" si="101"/>
        <v>4.365639945864884</v>
      </c>
      <c r="AP125" s="79">
        <f t="shared" si="102"/>
        <v>23.034360054135114</v>
      </c>
      <c r="AQ125" s="78">
        <f t="shared" si="103"/>
        <v>0.18952729468519214</v>
      </c>
      <c r="AR125" s="75">
        <v>14.5</v>
      </c>
      <c r="AS125" s="79">
        <f t="shared" si="114"/>
        <v>2.7481457729352861</v>
      </c>
      <c r="AT125" s="75"/>
      <c r="AU125" s="79">
        <v>71.3</v>
      </c>
      <c r="AV125" s="79">
        <v>50.3</v>
      </c>
      <c r="AW125" s="79">
        <f t="shared" si="104"/>
        <v>21</v>
      </c>
      <c r="AX125" s="79">
        <f t="shared" si="105"/>
        <v>8.0142952290877236</v>
      </c>
      <c r="AY125" s="79">
        <f t="shared" si="106"/>
        <v>42.285704770912275</v>
      </c>
      <c r="AZ125" s="78">
        <f t="shared" si="107"/>
        <v>0.18952729468519208</v>
      </c>
      <c r="BA125" s="79">
        <v>24.6</v>
      </c>
      <c r="BB125" s="79">
        <f t="shared" si="108"/>
        <v>4.6623714492557253</v>
      </c>
      <c r="BC125" s="75"/>
      <c r="BD125" s="67" t="s">
        <v>16</v>
      </c>
      <c r="BE125" s="64">
        <v>-27.009834615534423</v>
      </c>
      <c r="BF125" s="64">
        <v>0.15162617542193288</v>
      </c>
      <c r="BG125" s="64">
        <v>6.7358134178559004</v>
      </c>
      <c r="BH125" s="66">
        <v>4.0099098282185983E-2</v>
      </c>
      <c r="BI125" s="62">
        <v>0.9</v>
      </c>
      <c r="BJ125" s="63" t="s">
        <v>299</v>
      </c>
      <c r="BO125" s="62">
        <v>1.1000000000000001</v>
      </c>
      <c r="BP125" s="63" t="s">
        <v>369</v>
      </c>
    </row>
    <row r="126" spans="1:68" ht="15" customHeight="1" x14ac:dyDescent="0.35">
      <c r="A126" s="75" t="s">
        <v>45</v>
      </c>
      <c r="B126" s="76" t="s">
        <v>110</v>
      </c>
      <c r="C126" s="75" t="str">
        <f t="shared" si="109"/>
        <v>TSM3_11-24_G</v>
      </c>
      <c r="D126" s="77">
        <v>45606</v>
      </c>
      <c r="E126" s="67" t="s">
        <v>16</v>
      </c>
      <c r="F126" s="77"/>
      <c r="G126" s="75"/>
      <c r="H126" s="67" t="str">
        <f t="shared" si="110"/>
        <v>C,N,S</v>
      </c>
      <c r="I126" s="75">
        <v>132.9</v>
      </c>
      <c r="J126" s="75"/>
      <c r="K126" s="75">
        <v>150.9</v>
      </c>
      <c r="L126" s="75">
        <f t="shared" si="115"/>
        <v>18</v>
      </c>
      <c r="M126" s="75">
        <f t="shared" si="111"/>
        <v>109.1</v>
      </c>
      <c r="N126" s="75"/>
      <c r="O126" s="75">
        <f t="shared" ref="O126:O139" si="116">(Y126/M126)*100</f>
        <v>25.297891842346477</v>
      </c>
      <c r="P126" s="75">
        <f t="shared" ref="P126:P139" si="117">((O126/M126)*L126)</f>
        <v>4.1738043369590887</v>
      </c>
      <c r="Q126" s="75"/>
      <c r="R126" s="75">
        <f t="shared" ref="R126:R139" si="118">(AM126/M126)*100</f>
        <v>26.48945921173236</v>
      </c>
      <c r="S126" s="75">
        <f t="shared" ref="S126:S139" si="119">((R126/M126)*L126)</f>
        <v>4.3703965702216543</v>
      </c>
      <c r="T126" s="75"/>
      <c r="U126" s="75">
        <f t="shared" ref="U126:U139" si="120">(AV126/M126)*100</f>
        <v>48.212648945921174</v>
      </c>
      <c r="V126" s="75">
        <f t="shared" ref="V126:V139" si="121">((U126/M126)*L126)</f>
        <v>7.9544242073930445</v>
      </c>
      <c r="W126" s="75"/>
      <c r="X126" s="78">
        <v>41.4</v>
      </c>
      <c r="Y126" s="78">
        <v>27.6</v>
      </c>
      <c r="Z126" s="78">
        <f t="shared" ref="Z126:Z139" si="122">X126-Y126</f>
        <v>13.799999999999997</v>
      </c>
      <c r="AA126" s="78">
        <f t="shared" ref="AA126:AA139" si="123">P126</f>
        <v>4.1738043369590887</v>
      </c>
      <c r="AB126" s="78">
        <f t="shared" ref="AB126:AB139" si="124">Y126-AA126</f>
        <v>23.426195663040914</v>
      </c>
      <c r="AC126" s="78">
        <f t="shared" ref="AC126:AC139" si="125">AA126/AB126</f>
        <v>0.17816825219914065</v>
      </c>
      <c r="AD126" s="78">
        <v>20.9</v>
      </c>
      <c r="AE126" s="78">
        <f t="shared" si="112"/>
        <v>3.7237164709620392</v>
      </c>
      <c r="AF126" s="78">
        <v>16.2</v>
      </c>
      <c r="AG126" s="78">
        <v>18.7</v>
      </c>
      <c r="AH126" s="78">
        <f t="shared" ref="AH126:AH139" si="126">AC126</f>
        <v>0.17816825219914065</v>
      </c>
      <c r="AI126" s="78">
        <v>5.2</v>
      </c>
      <c r="AJ126" s="78">
        <f t="shared" ref="AJ126:AJ139" si="127">AI126*AH126</f>
        <v>0.9264749114355314</v>
      </c>
      <c r="AK126" s="75"/>
      <c r="AL126" s="75">
        <v>38</v>
      </c>
      <c r="AM126" s="75">
        <v>28.9</v>
      </c>
      <c r="AN126" s="75">
        <f t="shared" ref="AN126:AN139" si="128">AL126-AM126</f>
        <v>9.1000000000000014</v>
      </c>
      <c r="AO126" s="79">
        <f t="shared" ref="AO126:AO139" si="129">S126</f>
        <v>4.3703965702216543</v>
      </c>
      <c r="AP126" s="79">
        <f t="shared" ref="AP126:AP139" si="130">AM126-AO126</f>
        <v>24.529603429778344</v>
      </c>
      <c r="AQ126" s="78">
        <f t="shared" ref="AQ126:AQ139" si="131">AO126/AP126</f>
        <v>0.17816825219914068</v>
      </c>
      <c r="AR126" s="75">
        <v>8.6999999999999993</v>
      </c>
      <c r="AS126" s="79">
        <f t="shared" si="114"/>
        <v>1.5500637941325237</v>
      </c>
      <c r="AT126" s="75"/>
      <c r="AU126" s="79">
        <v>72</v>
      </c>
      <c r="AV126" s="79">
        <v>52.6</v>
      </c>
      <c r="AW126" s="79">
        <f t="shared" ref="AW126:AW139" si="132">AU126-AV126</f>
        <v>19.399999999999999</v>
      </c>
      <c r="AX126" s="79">
        <f t="shared" ref="AX126:AX139" si="133">V126</f>
        <v>7.9544242073930445</v>
      </c>
      <c r="AY126" s="79">
        <f t="shared" ref="AY126:AY139" si="134">AV126-AX126</f>
        <v>44.645575792606955</v>
      </c>
      <c r="AZ126" s="78">
        <f t="shared" ref="AZ126:AZ139" si="135">AX126/AY126</f>
        <v>0.17816825219914065</v>
      </c>
      <c r="BA126" s="79">
        <v>26.9</v>
      </c>
      <c r="BB126" s="79">
        <f t="shared" ref="BB126:BB139" si="136">BA126*AZ126</f>
        <v>4.792725984156883</v>
      </c>
      <c r="BC126" s="75"/>
      <c r="BD126" s="67" t="s">
        <v>16</v>
      </c>
      <c r="BE126" s="64">
        <v>-28.282204086259924</v>
      </c>
      <c r="BF126" s="64">
        <v>0.20492451854770677</v>
      </c>
      <c r="BG126" s="64">
        <v>4.3859117161962118</v>
      </c>
      <c r="BH126" s="66">
        <v>0.1914668798005752</v>
      </c>
      <c r="BI126" s="62">
        <v>0.9</v>
      </c>
      <c r="BJ126" s="63" t="s">
        <v>302</v>
      </c>
      <c r="BN126" s="66"/>
      <c r="BO126" s="62">
        <v>1.6</v>
      </c>
      <c r="BP126" s="63" t="s">
        <v>370</v>
      </c>
    </row>
    <row r="127" spans="1:68" ht="15" customHeight="1" x14ac:dyDescent="0.35">
      <c r="A127" s="67" t="s">
        <v>45</v>
      </c>
      <c r="B127" s="68" t="s">
        <v>62</v>
      </c>
      <c r="C127" s="67" t="str">
        <f t="shared" si="109"/>
        <v>TSM3_4-24_G</v>
      </c>
      <c r="D127" s="73">
        <v>45391</v>
      </c>
      <c r="E127" s="73" t="s">
        <v>16</v>
      </c>
      <c r="F127" s="73">
        <v>45544</v>
      </c>
      <c r="H127" s="67" t="str">
        <f t="shared" si="110"/>
        <v>C,N,S</v>
      </c>
      <c r="I127" s="67">
        <v>129.80000000000001</v>
      </c>
      <c r="K127" s="67">
        <v>169.4</v>
      </c>
      <c r="L127" s="67">
        <f t="shared" si="115"/>
        <v>39.599999999999994</v>
      </c>
      <c r="M127" s="67">
        <f t="shared" si="111"/>
        <v>118</v>
      </c>
      <c r="N127" s="75"/>
      <c r="O127" s="75">
        <f t="shared" si="116"/>
        <v>24.83050847457627</v>
      </c>
      <c r="P127" s="75">
        <f t="shared" si="117"/>
        <v>8.3329503016374584</v>
      </c>
      <c r="Q127" s="75"/>
      <c r="R127" s="75">
        <f t="shared" si="118"/>
        <v>21.1864406779661</v>
      </c>
      <c r="S127" s="75">
        <f t="shared" si="119"/>
        <v>7.1100258546394697</v>
      </c>
      <c r="T127" s="75"/>
      <c r="U127" s="75">
        <f t="shared" si="120"/>
        <v>53.983050847457626</v>
      </c>
      <c r="V127" s="75">
        <f t="shared" si="121"/>
        <v>18.11634587762137</v>
      </c>
      <c r="W127" s="75"/>
      <c r="X127" s="78">
        <v>36.5</v>
      </c>
      <c r="Y127" s="78">
        <v>29.3</v>
      </c>
      <c r="Z127" s="78">
        <f t="shared" si="122"/>
        <v>7.1999999999999993</v>
      </c>
      <c r="AA127" s="78">
        <f t="shared" si="123"/>
        <v>8.3329503016374584</v>
      </c>
      <c r="AB127" s="78">
        <f t="shared" si="124"/>
        <v>20.967049698362544</v>
      </c>
      <c r="AC127" s="78">
        <f t="shared" si="125"/>
        <v>0.39743075070252892</v>
      </c>
      <c r="AD127" s="78">
        <v>15.6</v>
      </c>
      <c r="AE127" s="78">
        <f t="shared" si="112"/>
        <v>6.1999197109594508</v>
      </c>
      <c r="AF127" s="78">
        <f t="shared" ref="AF127:AF134" si="137">AD127-AE127</f>
        <v>9.4000802890405488</v>
      </c>
      <c r="AG127" s="78">
        <v>16.2</v>
      </c>
      <c r="AH127" s="78">
        <f t="shared" si="126"/>
        <v>0.39743075070252892</v>
      </c>
      <c r="AI127" s="78">
        <v>4.2</v>
      </c>
      <c r="AJ127" s="78">
        <f t="shared" si="127"/>
        <v>1.6692091529506214</v>
      </c>
      <c r="AK127" s="75"/>
      <c r="AL127" s="75">
        <v>37.700000000000003</v>
      </c>
      <c r="AM127" s="75">
        <v>25</v>
      </c>
      <c r="AN127" s="75">
        <f t="shared" si="128"/>
        <v>12.700000000000003</v>
      </c>
      <c r="AO127" s="79">
        <f t="shared" si="129"/>
        <v>7.1100258546394697</v>
      </c>
      <c r="AP127" s="79">
        <f t="shared" si="130"/>
        <v>17.889974145360529</v>
      </c>
      <c r="AQ127" s="78">
        <f t="shared" si="131"/>
        <v>0.39743075070252898</v>
      </c>
      <c r="AR127" s="75">
        <v>8.1</v>
      </c>
      <c r="AS127" s="79">
        <f t="shared" si="114"/>
        <v>3.2191890806904846</v>
      </c>
      <c r="AT127" s="75"/>
      <c r="AU127" s="79">
        <v>86.8</v>
      </c>
      <c r="AV127" s="79">
        <v>63.7</v>
      </c>
      <c r="AW127" s="79">
        <f t="shared" si="132"/>
        <v>23.099999999999994</v>
      </c>
      <c r="AX127" s="79">
        <f t="shared" si="133"/>
        <v>18.11634587762137</v>
      </c>
      <c r="AY127" s="79">
        <f t="shared" si="134"/>
        <v>45.583654122378633</v>
      </c>
      <c r="AZ127" s="78">
        <f t="shared" si="135"/>
        <v>0.39743075070252898</v>
      </c>
      <c r="BA127" s="79">
        <v>18.8</v>
      </c>
      <c r="BB127" s="79">
        <f t="shared" si="136"/>
        <v>7.4716981132075455</v>
      </c>
      <c r="BC127" s="75"/>
      <c r="BD127" s="67" t="s">
        <v>16</v>
      </c>
      <c r="BE127" s="64">
        <v>-27.476350407928408</v>
      </c>
      <c r="BF127" s="64">
        <v>0.13953844800757054</v>
      </c>
      <c r="BG127" s="64">
        <v>3.5874349002770991</v>
      </c>
      <c r="BH127" s="66">
        <v>0.26125565973273829</v>
      </c>
      <c r="BI127" s="62">
        <v>1</v>
      </c>
      <c r="BO127" s="62">
        <v>1.1000000000000001</v>
      </c>
      <c r="BP127" s="63" t="s">
        <v>371</v>
      </c>
    </row>
    <row r="128" spans="1:68" ht="15" customHeight="1" x14ac:dyDescent="0.35">
      <c r="A128" s="67" t="s">
        <v>45</v>
      </c>
      <c r="B128" s="68" t="s">
        <v>63</v>
      </c>
      <c r="C128" s="67" t="str">
        <f t="shared" si="109"/>
        <v>TSM3_8-24_G</v>
      </c>
      <c r="D128" s="73">
        <v>45505</v>
      </c>
      <c r="E128" s="67" t="s">
        <v>16</v>
      </c>
      <c r="F128" s="73">
        <v>45548</v>
      </c>
      <c r="H128" s="67" t="str">
        <f t="shared" si="110"/>
        <v>C,N,S</v>
      </c>
      <c r="I128" s="67">
        <v>133.80000000000001</v>
      </c>
      <c r="K128" s="67">
        <v>157.9</v>
      </c>
      <c r="L128" s="67">
        <f t="shared" si="115"/>
        <v>24.099999999999994</v>
      </c>
      <c r="M128" s="67">
        <f t="shared" si="111"/>
        <v>103.8</v>
      </c>
      <c r="N128" s="75"/>
      <c r="O128" s="75">
        <f t="shared" si="116"/>
        <v>24.181117533718691</v>
      </c>
      <c r="P128" s="75">
        <f t="shared" si="117"/>
        <v>5.6143057086957642</v>
      </c>
      <c r="Q128" s="75"/>
      <c r="R128" s="75">
        <f t="shared" si="118"/>
        <v>25.240847784200387</v>
      </c>
      <c r="S128" s="75">
        <f t="shared" si="119"/>
        <v>5.8603509787979693</v>
      </c>
      <c r="T128" s="75"/>
      <c r="U128" s="75">
        <f t="shared" si="120"/>
        <v>50.578034682080933</v>
      </c>
      <c r="V128" s="75">
        <f t="shared" si="121"/>
        <v>11.743069709423413</v>
      </c>
      <c r="W128" s="75"/>
      <c r="X128" s="78">
        <v>39.200000000000003</v>
      </c>
      <c r="Y128" s="78">
        <v>25.1</v>
      </c>
      <c r="Z128" s="78">
        <f t="shared" si="122"/>
        <v>14.100000000000001</v>
      </c>
      <c r="AA128" s="78">
        <f t="shared" si="123"/>
        <v>5.6143057086957642</v>
      </c>
      <c r="AB128" s="78">
        <f t="shared" si="124"/>
        <v>19.485694291304238</v>
      </c>
      <c r="AC128" s="78">
        <f t="shared" si="125"/>
        <v>0.28812448890780484</v>
      </c>
      <c r="AD128" s="78">
        <v>12.5</v>
      </c>
      <c r="AE128" s="78">
        <f t="shared" si="112"/>
        <v>3.6015561113475605</v>
      </c>
      <c r="AF128" s="78">
        <f t="shared" si="137"/>
        <v>8.8984438886524391</v>
      </c>
      <c r="AG128" s="78">
        <v>13.4</v>
      </c>
      <c r="AH128" s="78">
        <f t="shared" si="126"/>
        <v>0.28812448890780484</v>
      </c>
      <c r="AI128" s="78">
        <v>5.0999999999999996</v>
      </c>
      <c r="AJ128" s="78">
        <f t="shared" si="127"/>
        <v>1.4694348934298045</v>
      </c>
      <c r="AK128" s="75"/>
      <c r="AL128" s="75">
        <v>38.4</v>
      </c>
      <c r="AM128" s="75">
        <v>26.2</v>
      </c>
      <c r="AN128" s="75">
        <f t="shared" si="128"/>
        <v>12.2</v>
      </c>
      <c r="AO128" s="79">
        <f t="shared" si="129"/>
        <v>5.8603509787979693</v>
      </c>
      <c r="AP128" s="79">
        <f t="shared" si="130"/>
        <v>20.339649021202028</v>
      </c>
      <c r="AQ128" s="78">
        <f t="shared" si="131"/>
        <v>0.28812448890780495</v>
      </c>
      <c r="AR128" s="75">
        <v>9.1</v>
      </c>
      <c r="AS128" s="79">
        <f t="shared" si="114"/>
        <v>2.6219328490610252</v>
      </c>
      <c r="AT128" s="75"/>
      <c r="AU128" s="79">
        <v>74.2</v>
      </c>
      <c r="AV128" s="79">
        <v>52.5</v>
      </c>
      <c r="AW128" s="79">
        <f t="shared" si="132"/>
        <v>21.700000000000003</v>
      </c>
      <c r="AX128" s="79">
        <f t="shared" si="133"/>
        <v>11.743069709423413</v>
      </c>
      <c r="AY128" s="79">
        <f t="shared" si="134"/>
        <v>40.756930290576591</v>
      </c>
      <c r="AZ128" s="78">
        <f t="shared" si="135"/>
        <v>0.2881244889078049</v>
      </c>
      <c r="BA128" s="79">
        <v>25.5</v>
      </c>
      <c r="BB128" s="79">
        <f t="shared" si="136"/>
        <v>7.3471744671490251</v>
      </c>
      <c r="BC128" s="75"/>
      <c r="BD128" s="67" t="s">
        <v>16</v>
      </c>
      <c r="BE128" s="64">
        <v>-24.80657030663523</v>
      </c>
      <c r="BF128" s="64">
        <v>0.1406416448623744</v>
      </c>
      <c r="BG128" s="64">
        <v>11.492400213515774</v>
      </c>
      <c r="BH128" s="66">
        <v>1.5171060885318567E-2</v>
      </c>
      <c r="BI128" s="62">
        <v>1</v>
      </c>
      <c r="BJ128" s="63" t="s">
        <v>299</v>
      </c>
      <c r="BK128" s="64">
        <v>2.6469871193638186</v>
      </c>
      <c r="BL128" s="65">
        <v>0.29988470059196226</v>
      </c>
      <c r="BM128" s="61">
        <v>0.79644077480601783</v>
      </c>
      <c r="BN128" s="66">
        <v>1.0572697229874087E-2</v>
      </c>
      <c r="BO128" s="62">
        <v>1.6</v>
      </c>
      <c r="BP128" s="63" t="s">
        <v>299</v>
      </c>
    </row>
    <row r="129" spans="1:305" ht="15" customHeight="1" x14ac:dyDescent="0.35">
      <c r="A129" s="67" t="s">
        <v>45</v>
      </c>
      <c r="B129" s="68" t="s">
        <v>14</v>
      </c>
      <c r="C129" s="67" t="str">
        <f t="shared" si="109"/>
        <v>TSM3_9-23_G</v>
      </c>
      <c r="D129" s="73">
        <v>45199</v>
      </c>
      <c r="E129" s="73" t="s">
        <v>16</v>
      </c>
      <c r="F129" s="73">
        <v>45538</v>
      </c>
      <c r="H129" s="67" t="str">
        <f t="shared" si="110"/>
        <v>C,N,S</v>
      </c>
      <c r="I129" s="67">
        <v>130</v>
      </c>
      <c r="K129" s="67">
        <v>152.4</v>
      </c>
      <c r="L129" s="67">
        <f t="shared" si="115"/>
        <v>22.400000000000006</v>
      </c>
      <c r="M129" s="67">
        <f t="shared" si="111"/>
        <v>114.4</v>
      </c>
      <c r="N129" s="75"/>
      <c r="O129" s="75">
        <f t="shared" si="116"/>
        <v>28.146853146853147</v>
      </c>
      <c r="P129" s="75">
        <f t="shared" si="117"/>
        <v>5.5112719448383798</v>
      </c>
      <c r="Q129" s="75"/>
      <c r="R129" s="75">
        <f t="shared" si="118"/>
        <v>26.223776223776223</v>
      </c>
      <c r="S129" s="75">
        <f t="shared" si="119"/>
        <v>5.1347254144456951</v>
      </c>
      <c r="T129" s="75"/>
      <c r="U129" s="75">
        <f t="shared" si="120"/>
        <v>45.629370629370634</v>
      </c>
      <c r="V129" s="75">
        <f t="shared" si="121"/>
        <v>8.9344222211355113</v>
      </c>
      <c r="W129" s="75"/>
      <c r="X129" s="78">
        <v>42.1</v>
      </c>
      <c r="Y129" s="78">
        <v>32.200000000000003</v>
      </c>
      <c r="Z129" s="78">
        <f t="shared" si="122"/>
        <v>9.8999999999999986</v>
      </c>
      <c r="AA129" s="78">
        <f t="shared" si="123"/>
        <v>5.5112719448383798</v>
      </c>
      <c r="AB129" s="78">
        <f t="shared" si="124"/>
        <v>26.688728055161622</v>
      </c>
      <c r="AC129" s="78">
        <f t="shared" si="125"/>
        <v>0.2065018585167267</v>
      </c>
      <c r="AD129" s="78">
        <v>16.8</v>
      </c>
      <c r="AE129" s="78">
        <f t="shared" si="112"/>
        <v>3.4692312230810085</v>
      </c>
      <c r="AF129" s="78">
        <f t="shared" si="137"/>
        <v>13.330768776918992</v>
      </c>
      <c r="AG129" s="78">
        <v>18.2</v>
      </c>
      <c r="AH129" s="78">
        <f t="shared" si="126"/>
        <v>0.2065018585167267</v>
      </c>
      <c r="AI129" s="78">
        <v>3.6</v>
      </c>
      <c r="AJ129" s="78">
        <f t="shared" si="127"/>
        <v>0.74340669066021614</v>
      </c>
      <c r="AK129" s="75"/>
      <c r="AL129" s="75">
        <v>40.5</v>
      </c>
      <c r="AM129" s="75">
        <v>30</v>
      </c>
      <c r="AN129" s="75">
        <f t="shared" si="128"/>
        <v>10.5</v>
      </c>
      <c r="AO129" s="79">
        <f t="shared" si="129"/>
        <v>5.1347254144456951</v>
      </c>
      <c r="AP129" s="79">
        <f t="shared" si="130"/>
        <v>24.865274585554303</v>
      </c>
      <c r="AQ129" s="78">
        <f t="shared" si="131"/>
        <v>0.2065018585167267</v>
      </c>
      <c r="AR129" s="75">
        <v>8.6999999999999993</v>
      </c>
      <c r="AS129" s="79">
        <f t="shared" si="114"/>
        <v>1.7965661690955221</v>
      </c>
      <c r="AT129" s="75"/>
      <c r="AU129" s="79">
        <v>76.099999999999994</v>
      </c>
      <c r="AV129" s="79">
        <v>52.2</v>
      </c>
      <c r="AW129" s="79">
        <f t="shared" si="132"/>
        <v>23.899999999999991</v>
      </c>
      <c r="AX129" s="79">
        <f t="shared" si="133"/>
        <v>8.9344222211355113</v>
      </c>
      <c r="AY129" s="79">
        <f t="shared" si="134"/>
        <v>43.26557777886449</v>
      </c>
      <c r="AZ129" s="78">
        <f t="shared" si="135"/>
        <v>0.20650185851672676</v>
      </c>
      <c r="BA129" s="79">
        <v>26.5</v>
      </c>
      <c r="BB129" s="79">
        <f t="shared" si="136"/>
        <v>5.4722992506932586</v>
      </c>
      <c r="BC129" s="75"/>
      <c r="BD129" s="67" t="s">
        <v>16</v>
      </c>
      <c r="BE129" s="64">
        <v>-25.573517831545232</v>
      </c>
      <c r="BF129" s="64">
        <v>0.13821900949675145</v>
      </c>
      <c r="BG129" s="64">
        <v>4.1460766085633756</v>
      </c>
      <c r="BH129" s="66">
        <v>0.21303308455517628</v>
      </c>
      <c r="BI129" s="62">
        <v>0.9</v>
      </c>
      <c r="BJ129" s="63" t="s">
        <v>299</v>
      </c>
      <c r="BO129" s="62">
        <v>1.2</v>
      </c>
      <c r="BP129" s="63" t="s">
        <v>372</v>
      </c>
    </row>
    <row r="130" spans="1:305" ht="15" customHeight="1" x14ac:dyDescent="0.35">
      <c r="A130" s="67" t="s">
        <v>46</v>
      </c>
      <c r="B130" s="68" t="s">
        <v>62</v>
      </c>
      <c r="C130" s="67" t="str">
        <f t="shared" ref="C130:C161" si="138">A130&amp;"_"&amp;B130&amp;"_G"</f>
        <v>TSM4_4-24_G</v>
      </c>
      <c r="D130" s="73">
        <v>45391</v>
      </c>
      <c r="E130" s="73" t="s">
        <v>16</v>
      </c>
      <c r="F130" s="73">
        <v>45541</v>
      </c>
      <c r="H130" s="67" t="str">
        <f t="shared" ref="H130:H139" si="139">IF(OR(AI130&lt;&gt;"", AR130&lt;&gt;"", BA130&lt;&gt;""),
    IF(AI130&lt;&gt;"", "C", "") &amp;
    IF(BA130&lt;&gt;"", IF(AI130&lt;&gt;"", ",N", "N"), "") &amp;
    IF(BA130&lt;&gt;"", IF(OR(AI130&lt;&gt;"", AR130&lt;&gt;""), ",S", "S"), ""),
"")</f>
        <v>C,N,S</v>
      </c>
      <c r="I130" s="67">
        <v>128.69999999999999</v>
      </c>
      <c r="K130" s="67">
        <v>143.5</v>
      </c>
      <c r="L130" s="67">
        <f t="shared" si="115"/>
        <v>14.800000000000011</v>
      </c>
      <c r="M130" s="67">
        <f t="shared" ref="M130:M139" si="140">Y130+AM130+AV130</f>
        <v>118.8</v>
      </c>
      <c r="N130" s="75"/>
      <c r="O130" s="75">
        <f t="shared" si="116"/>
        <v>25.841750841750844</v>
      </c>
      <c r="P130" s="75">
        <f t="shared" si="117"/>
        <v>3.2193426974571784</v>
      </c>
      <c r="Q130" s="75"/>
      <c r="R130" s="75">
        <f t="shared" si="118"/>
        <v>24.747474747474747</v>
      </c>
      <c r="S130" s="75">
        <f t="shared" si="119"/>
        <v>3.0830187395843986</v>
      </c>
      <c r="T130" s="75"/>
      <c r="U130" s="75">
        <f t="shared" si="120"/>
        <v>49.410774410774415</v>
      </c>
      <c r="V130" s="75">
        <f t="shared" si="121"/>
        <v>6.1555510208708908</v>
      </c>
      <c r="W130" s="75"/>
      <c r="X130" s="78">
        <v>40.4</v>
      </c>
      <c r="Y130" s="78">
        <v>30.7</v>
      </c>
      <c r="Z130" s="78">
        <f t="shared" si="122"/>
        <v>9.6999999999999993</v>
      </c>
      <c r="AA130" s="78">
        <f t="shared" si="123"/>
        <v>3.2193426974571784</v>
      </c>
      <c r="AB130" s="78">
        <f t="shared" si="124"/>
        <v>27.48065730254282</v>
      </c>
      <c r="AC130" s="78">
        <f t="shared" si="125"/>
        <v>0.11714940665408642</v>
      </c>
      <c r="AD130" s="78">
        <v>17.5</v>
      </c>
      <c r="AE130" s="78">
        <f t="shared" si="112"/>
        <v>2.0501146164465123</v>
      </c>
      <c r="AF130" s="78">
        <f t="shared" si="137"/>
        <v>15.449885383553488</v>
      </c>
      <c r="AG130" s="78">
        <v>19.2</v>
      </c>
      <c r="AH130" s="78">
        <f t="shared" si="126"/>
        <v>0.11714940665408642</v>
      </c>
      <c r="AI130" s="78">
        <v>3.8</v>
      </c>
      <c r="AJ130" s="78">
        <f t="shared" si="127"/>
        <v>0.44516774528552838</v>
      </c>
      <c r="AK130" s="75"/>
      <c r="AL130" s="75">
        <v>39.799999999999997</v>
      </c>
      <c r="AM130" s="75">
        <v>29.4</v>
      </c>
      <c r="AN130" s="75">
        <f t="shared" si="128"/>
        <v>10.399999999999999</v>
      </c>
      <c r="AO130" s="79">
        <f t="shared" si="129"/>
        <v>3.0830187395843986</v>
      </c>
      <c r="AP130" s="79">
        <f t="shared" si="130"/>
        <v>26.316981260415599</v>
      </c>
      <c r="AQ130" s="78">
        <f t="shared" si="131"/>
        <v>0.11714940665408642</v>
      </c>
      <c r="AR130" s="75">
        <v>6.2</v>
      </c>
      <c r="AS130" s="79">
        <f t="shared" si="114"/>
        <v>0.72632632125533581</v>
      </c>
      <c r="AT130" s="75"/>
      <c r="AU130" s="79">
        <v>84.3</v>
      </c>
      <c r="AV130" s="79">
        <v>58.7</v>
      </c>
      <c r="AW130" s="79">
        <f t="shared" si="132"/>
        <v>25.599999999999994</v>
      </c>
      <c r="AX130" s="79">
        <f t="shared" si="133"/>
        <v>6.1555510208708908</v>
      </c>
      <c r="AY130" s="79">
        <f t="shared" si="134"/>
        <v>52.544448979129115</v>
      </c>
      <c r="AZ130" s="78">
        <f t="shared" si="135"/>
        <v>0.11714940665408638</v>
      </c>
      <c r="BA130" s="79">
        <v>20.2</v>
      </c>
      <c r="BB130" s="79">
        <f t="shared" si="136"/>
        <v>2.3664180144125448</v>
      </c>
      <c r="BC130" s="75"/>
      <c r="BD130" s="67" t="s">
        <v>16</v>
      </c>
      <c r="BE130" s="64">
        <v>-28.279274467102283</v>
      </c>
      <c r="BF130" s="64">
        <v>0.13976888582673072</v>
      </c>
      <c r="BG130" s="64">
        <v>8.1100953153296373</v>
      </c>
      <c r="BH130" s="66">
        <v>0.27692332966011607</v>
      </c>
      <c r="BI130" s="62">
        <v>0.8</v>
      </c>
      <c r="BO130" s="62">
        <v>1.3</v>
      </c>
      <c r="BP130" s="63" t="s">
        <v>373</v>
      </c>
    </row>
    <row r="131" spans="1:305" ht="15" customHeight="1" x14ac:dyDescent="0.35">
      <c r="A131" s="67" t="s">
        <v>46</v>
      </c>
      <c r="B131" s="68" t="s">
        <v>14</v>
      </c>
      <c r="C131" s="67" t="str">
        <f t="shared" si="138"/>
        <v>TSM4_9-23_G</v>
      </c>
      <c r="D131" s="73">
        <v>45199</v>
      </c>
      <c r="E131" s="73" t="s">
        <v>16</v>
      </c>
      <c r="F131" s="73">
        <v>45538</v>
      </c>
      <c r="H131" s="67" t="str">
        <f t="shared" si="139"/>
        <v>C,N,S</v>
      </c>
      <c r="I131" s="67">
        <v>128.69999999999999</v>
      </c>
      <c r="K131" s="67">
        <v>155.80000000000001</v>
      </c>
      <c r="L131" s="67">
        <f t="shared" si="115"/>
        <v>27.100000000000023</v>
      </c>
      <c r="M131" s="67">
        <f t="shared" si="140"/>
        <v>117.1</v>
      </c>
      <c r="N131" s="75"/>
      <c r="O131" s="75">
        <f t="shared" si="116"/>
        <v>25.533731853116993</v>
      </c>
      <c r="P131" s="75">
        <f t="shared" si="117"/>
        <v>5.9091727858195657</v>
      </c>
      <c r="Q131" s="75"/>
      <c r="R131" s="75">
        <f t="shared" si="118"/>
        <v>26.13151152860803</v>
      </c>
      <c r="S131" s="75">
        <f t="shared" si="119"/>
        <v>6.0475146236146733</v>
      </c>
      <c r="T131" s="75"/>
      <c r="U131" s="75">
        <f t="shared" si="120"/>
        <v>48.33475661827498</v>
      </c>
      <c r="V131" s="75">
        <f t="shared" si="121"/>
        <v>11.185925741718643</v>
      </c>
      <c r="W131" s="75"/>
      <c r="X131" s="78">
        <v>39.4</v>
      </c>
      <c r="Y131" s="78">
        <v>29.9</v>
      </c>
      <c r="Z131" s="78">
        <f t="shared" si="122"/>
        <v>9.5</v>
      </c>
      <c r="AA131" s="78">
        <f t="shared" si="123"/>
        <v>5.9091727858195657</v>
      </c>
      <c r="AB131" s="78">
        <f t="shared" si="124"/>
        <v>23.990827214180435</v>
      </c>
      <c r="AC131" s="78">
        <f t="shared" si="125"/>
        <v>0.2463096721536466</v>
      </c>
      <c r="AD131" s="78">
        <v>14.9</v>
      </c>
      <c r="AE131" s="78">
        <f t="shared" si="112"/>
        <v>3.6700141150893346</v>
      </c>
      <c r="AF131" s="78">
        <f t="shared" si="137"/>
        <v>11.229985884910665</v>
      </c>
      <c r="AG131" s="78">
        <v>15.9</v>
      </c>
      <c r="AH131" s="78">
        <f t="shared" si="126"/>
        <v>0.2463096721536466</v>
      </c>
      <c r="AI131" s="78">
        <v>3.8</v>
      </c>
      <c r="AJ131" s="78">
        <f t="shared" si="127"/>
        <v>0.93597675418385706</v>
      </c>
      <c r="AK131" s="75"/>
      <c r="AL131" s="75">
        <v>41.5</v>
      </c>
      <c r="AM131" s="75">
        <v>30.6</v>
      </c>
      <c r="AN131" s="75">
        <f t="shared" si="128"/>
        <v>10.899999999999999</v>
      </c>
      <c r="AO131" s="79">
        <f t="shared" si="129"/>
        <v>6.0475146236146733</v>
      </c>
      <c r="AP131" s="79">
        <f t="shared" si="130"/>
        <v>24.552485376385327</v>
      </c>
      <c r="AQ131" s="78">
        <f t="shared" si="131"/>
        <v>0.24630967215364663</v>
      </c>
      <c r="AR131" s="75">
        <v>6.6</v>
      </c>
      <c r="AS131" s="79">
        <f t="shared" si="114"/>
        <v>1.6256438362140677</v>
      </c>
      <c r="AT131" s="75"/>
      <c r="AU131" s="79">
        <v>78.7</v>
      </c>
      <c r="AV131" s="79">
        <v>56.6</v>
      </c>
      <c r="AW131" s="79">
        <f t="shared" si="132"/>
        <v>22.1</v>
      </c>
      <c r="AX131" s="79">
        <f t="shared" si="133"/>
        <v>11.185925741718643</v>
      </c>
      <c r="AY131" s="79">
        <f t="shared" si="134"/>
        <v>45.41407425828136</v>
      </c>
      <c r="AZ131" s="78">
        <f t="shared" si="135"/>
        <v>0.2463096721536466</v>
      </c>
      <c r="BA131" s="79">
        <v>21.7</v>
      </c>
      <c r="BB131" s="79">
        <f t="shared" si="136"/>
        <v>5.3449198857341313</v>
      </c>
      <c r="BC131" s="75"/>
      <c r="BD131" s="67" t="s">
        <v>16</v>
      </c>
      <c r="BE131" s="64">
        <v>-27.737300727159912</v>
      </c>
      <c r="BF131" s="64">
        <v>0.13961211848508526</v>
      </c>
      <c r="BG131" s="64">
        <v>5.2932048071175641</v>
      </c>
      <c r="BH131" s="66">
        <v>0.23683716521147199</v>
      </c>
      <c r="BI131" s="62">
        <v>1</v>
      </c>
      <c r="BO131" s="62">
        <v>1.7</v>
      </c>
      <c r="BP131" s="63" t="s">
        <v>374</v>
      </c>
    </row>
    <row r="132" spans="1:305" ht="15" customHeight="1" x14ac:dyDescent="0.35">
      <c r="A132" s="67" t="s">
        <v>51</v>
      </c>
      <c r="B132" s="68" t="s">
        <v>109</v>
      </c>
      <c r="C132" s="67" t="str">
        <f t="shared" si="138"/>
        <v>WB1_1123E_G</v>
      </c>
      <c r="D132" s="73">
        <v>45260</v>
      </c>
      <c r="E132" s="73" t="s">
        <v>16</v>
      </c>
      <c r="F132" s="73">
        <v>45320</v>
      </c>
      <c r="H132" s="67" t="str">
        <f t="shared" si="139"/>
        <v>C,N,S</v>
      </c>
      <c r="J132" s="67">
        <v>130.50101010101005</v>
      </c>
      <c r="K132" s="67">
        <v>145.9</v>
      </c>
      <c r="L132" s="67">
        <f>K132-J132</f>
        <v>15.398989898989953</v>
      </c>
      <c r="M132" s="67">
        <f t="shared" si="140"/>
        <v>104.80000000000001</v>
      </c>
      <c r="N132" s="75"/>
      <c r="O132" s="75">
        <f t="shared" si="116"/>
        <v>25.095419847328245</v>
      </c>
      <c r="P132" s="75">
        <f t="shared" si="117"/>
        <v>3.6874438620221337</v>
      </c>
      <c r="Q132" s="75"/>
      <c r="R132" s="75">
        <f t="shared" si="118"/>
        <v>26.622137404580148</v>
      </c>
      <c r="S132" s="75">
        <f t="shared" si="119"/>
        <v>3.9117750475443915</v>
      </c>
      <c r="T132" s="75"/>
      <c r="U132" s="75">
        <f t="shared" si="120"/>
        <v>48.282442748091597</v>
      </c>
      <c r="V132" s="75">
        <f t="shared" si="121"/>
        <v>7.0944737421414423</v>
      </c>
      <c r="W132" s="75"/>
      <c r="X132" s="78">
        <v>37.200000000000003</v>
      </c>
      <c r="Y132" s="78">
        <v>26.3</v>
      </c>
      <c r="Z132" s="78">
        <f t="shared" si="122"/>
        <v>10.900000000000002</v>
      </c>
      <c r="AA132" s="78">
        <f t="shared" si="123"/>
        <v>3.6874438620221337</v>
      </c>
      <c r="AB132" s="78">
        <f t="shared" si="124"/>
        <v>22.612556137977869</v>
      </c>
      <c r="AC132" s="78">
        <f t="shared" si="125"/>
        <v>0.16307063383378664</v>
      </c>
      <c r="AD132" s="78">
        <v>14.3</v>
      </c>
      <c r="AE132" s="78">
        <f t="shared" si="112"/>
        <v>2.3319100638231491</v>
      </c>
      <c r="AF132" s="78">
        <f t="shared" si="137"/>
        <v>11.968089936176852</v>
      </c>
      <c r="AG132" s="78">
        <v>14.4</v>
      </c>
      <c r="AH132" s="78">
        <f t="shared" si="126"/>
        <v>0.16307063383378664</v>
      </c>
      <c r="AI132" s="78">
        <v>4.4000000000000004</v>
      </c>
      <c r="AJ132" s="78">
        <f t="shared" si="127"/>
        <v>0.71751078886866126</v>
      </c>
      <c r="AK132" s="75"/>
      <c r="AL132" s="75">
        <v>39</v>
      </c>
      <c r="AM132" s="75">
        <v>27.9</v>
      </c>
      <c r="AN132" s="75">
        <f t="shared" si="128"/>
        <v>11.100000000000001</v>
      </c>
      <c r="AO132" s="79">
        <f t="shared" si="129"/>
        <v>3.9117750475443915</v>
      </c>
      <c r="AP132" s="79">
        <f t="shared" si="130"/>
        <v>23.988224952455607</v>
      </c>
      <c r="AQ132" s="78">
        <f t="shared" si="131"/>
        <v>0.16307063383378662</v>
      </c>
      <c r="AR132" s="75">
        <v>10</v>
      </c>
      <c r="AS132" s="79">
        <f t="shared" si="114"/>
        <v>1.6307063383378662</v>
      </c>
      <c r="AT132" s="75"/>
      <c r="AU132" s="79">
        <v>75.5</v>
      </c>
      <c r="AV132" s="79">
        <v>50.6</v>
      </c>
      <c r="AW132" s="79">
        <f t="shared" si="132"/>
        <v>24.9</v>
      </c>
      <c r="AX132" s="79">
        <f t="shared" si="133"/>
        <v>7.0944737421414423</v>
      </c>
      <c r="AY132" s="79">
        <f t="shared" si="134"/>
        <v>43.505526257858563</v>
      </c>
      <c r="AZ132" s="78">
        <f t="shared" si="135"/>
        <v>0.16307063383378662</v>
      </c>
      <c r="BA132" s="79">
        <v>26.7</v>
      </c>
      <c r="BB132" s="79">
        <f t="shared" si="136"/>
        <v>4.3539859233621021</v>
      </c>
      <c r="BC132" s="75"/>
      <c r="BD132" s="67" t="s">
        <v>16</v>
      </c>
      <c r="BE132" s="64">
        <v>-26.404232761816989</v>
      </c>
      <c r="BF132" s="64">
        <v>0.14113775910833562</v>
      </c>
      <c r="BG132" s="64">
        <v>2.2500644287336362</v>
      </c>
      <c r="BH132" s="66">
        <v>2.5750683105709903E-2</v>
      </c>
      <c r="BI132" s="62">
        <v>0.9</v>
      </c>
      <c r="BJ132" s="63" t="s">
        <v>299</v>
      </c>
      <c r="BN132" s="66"/>
      <c r="BO132" s="62">
        <v>1.5</v>
      </c>
      <c r="BP132" s="63" t="s">
        <v>375</v>
      </c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  <c r="DK132" s="46"/>
      <c r="DL132" s="46"/>
      <c r="DM132" s="46"/>
      <c r="DN132" s="46"/>
      <c r="DO132" s="46"/>
      <c r="DP132" s="46"/>
      <c r="DQ132" s="46"/>
      <c r="DR132" s="46"/>
      <c r="DS132" s="46"/>
      <c r="DT132" s="46"/>
      <c r="DU132" s="46"/>
      <c r="DV132" s="46"/>
      <c r="DW132" s="46"/>
      <c r="DX132" s="46"/>
      <c r="DY132" s="46"/>
      <c r="DZ132" s="46"/>
      <c r="EA132" s="46"/>
      <c r="EB132" s="46"/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  <c r="IT132" s="46"/>
      <c r="IU132" s="46"/>
      <c r="IV132" s="46"/>
      <c r="IW132" s="46"/>
      <c r="IX132" s="46"/>
      <c r="IY132" s="46"/>
      <c r="IZ132" s="46"/>
      <c r="JA132" s="46"/>
      <c r="JB132" s="46"/>
      <c r="JC132" s="46"/>
      <c r="JD132" s="46"/>
      <c r="JE132" s="46"/>
      <c r="JF132" s="46"/>
      <c r="JG132" s="46"/>
      <c r="JH132" s="46"/>
      <c r="JI132" s="46"/>
      <c r="JJ132" s="46"/>
      <c r="JK132" s="46"/>
      <c r="JL132" s="46"/>
      <c r="JM132" s="46"/>
      <c r="JN132" s="46"/>
      <c r="JO132" s="46"/>
      <c r="JP132" s="46"/>
      <c r="JQ132" s="46"/>
      <c r="JR132" s="46"/>
      <c r="JS132" s="46"/>
      <c r="JT132" s="46"/>
      <c r="JU132" s="46"/>
      <c r="JV132" s="46"/>
      <c r="JW132" s="46"/>
      <c r="JX132" s="46"/>
      <c r="JY132" s="46"/>
      <c r="JZ132" s="46"/>
      <c r="KA132" s="46"/>
      <c r="KB132" s="46"/>
      <c r="KC132" s="46"/>
      <c r="KD132" s="46"/>
      <c r="KE132" s="46"/>
      <c r="KF132" s="46"/>
      <c r="KG132" s="46"/>
      <c r="KH132" s="46"/>
      <c r="KI132" s="46"/>
      <c r="KJ132" s="46"/>
      <c r="KK132" s="46"/>
      <c r="KL132" s="46"/>
      <c r="KM132" s="46"/>
      <c r="KN132" s="46"/>
      <c r="KO132" s="46"/>
      <c r="KP132" s="46"/>
      <c r="KQ132" s="46"/>
      <c r="KR132" s="46"/>
      <c r="KS132" s="46"/>
    </row>
    <row r="133" spans="1:305" ht="15" customHeight="1" x14ac:dyDescent="0.35">
      <c r="A133" s="67" t="s">
        <v>51</v>
      </c>
      <c r="B133" s="68" t="s">
        <v>60</v>
      </c>
      <c r="C133" s="67" t="str">
        <f t="shared" si="138"/>
        <v>WB1_1-24_G</v>
      </c>
      <c r="D133" s="73">
        <v>45298</v>
      </c>
      <c r="E133" s="73" t="s">
        <v>16</v>
      </c>
      <c r="H133" s="67" t="str">
        <f t="shared" si="139"/>
        <v>C,N,S</v>
      </c>
      <c r="I133" s="67">
        <v>129.30000000000001</v>
      </c>
      <c r="K133" s="67">
        <v>160.30000000000001</v>
      </c>
      <c r="L133" s="67">
        <f>K133-I133</f>
        <v>31</v>
      </c>
      <c r="M133" s="67">
        <f t="shared" si="140"/>
        <v>111.80000000000001</v>
      </c>
      <c r="N133" s="75"/>
      <c r="O133" s="75">
        <f t="shared" si="116"/>
        <v>25.581395348837212</v>
      </c>
      <c r="P133" s="75">
        <f t="shared" si="117"/>
        <v>7.0932312684611221</v>
      </c>
      <c r="Q133" s="75"/>
      <c r="R133" s="75">
        <f t="shared" si="118"/>
        <v>25.134168157423968</v>
      </c>
      <c r="S133" s="75">
        <f t="shared" si="119"/>
        <v>6.9692237288027092</v>
      </c>
      <c r="T133" s="75"/>
      <c r="U133" s="75">
        <f t="shared" si="120"/>
        <v>49.284436493738816</v>
      </c>
      <c r="V133" s="75">
        <f t="shared" si="121"/>
        <v>13.665630870356916</v>
      </c>
      <c r="W133" s="75"/>
      <c r="X133" s="78">
        <v>40.700000000000003</v>
      </c>
      <c r="Y133" s="78">
        <v>28.6</v>
      </c>
      <c r="Z133" s="78">
        <f t="shared" si="122"/>
        <v>12.100000000000001</v>
      </c>
      <c r="AA133" s="78">
        <f t="shared" si="123"/>
        <v>7.0932312684611221</v>
      </c>
      <c r="AB133" s="78">
        <f t="shared" si="124"/>
        <v>21.50676873153888</v>
      </c>
      <c r="AC133" s="78">
        <f t="shared" si="125"/>
        <v>0.32981389984722165</v>
      </c>
      <c r="AD133" s="78">
        <v>14.7</v>
      </c>
      <c r="AE133" s="78">
        <f t="shared" si="112"/>
        <v>4.8482643277541584</v>
      </c>
      <c r="AF133" s="78">
        <f t="shared" si="137"/>
        <v>9.8517356722458409</v>
      </c>
      <c r="AG133" s="78">
        <v>15</v>
      </c>
      <c r="AH133" s="78">
        <f t="shared" si="126"/>
        <v>0.32981389984722165</v>
      </c>
      <c r="AI133" s="78">
        <v>3.7</v>
      </c>
      <c r="AJ133" s="78">
        <f t="shared" si="127"/>
        <v>1.2203114294347202</v>
      </c>
      <c r="AK133" s="75"/>
      <c r="AL133" s="75">
        <v>41.6</v>
      </c>
      <c r="AM133" s="75">
        <v>28.1</v>
      </c>
      <c r="AN133" s="75">
        <f t="shared" si="128"/>
        <v>13.5</v>
      </c>
      <c r="AO133" s="79">
        <f t="shared" si="129"/>
        <v>6.9692237288027092</v>
      </c>
      <c r="AP133" s="79">
        <f t="shared" si="130"/>
        <v>21.130776271197291</v>
      </c>
      <c r="AQ133" s="78">
        <f t="shared" si="131"/>
        <v>0.32981389984722154</v>
      </c>
      <c r="AR133" s="75">
        <v>6.7</v>
      </c>
      <c r="AS133" s="79">
        <f t="shared" si="114"/>
        <v>2.2097531289763843</v>
      </c>
      <c r="AT133" s="75"/>
      <c r="AU133" s="79">
        <v>79</v>
      </c>
      <c r="AV133" s="79">
        <v>55.1</v>
      </c>
      <c r="AW133" s="79">
        <f t="shared" si="132"/>
        <v>23.9</v>
      </c>
      <c r="AX133" s="79">
        <f t="shared" si="133"/>
        <v>13.665630870356916</v>
      </c>
      <c r="AY133" s="79">
        <f t="shared" si="134"/>
        <v>41.434369129643088</v>
      </c>
      <c r="AZ133" s="78">
        <f t="shared" si="135"/>
        <v>0.32981389984722159</v>
      </c>
      <c r="BA133" s="79">
        <v>18.399999999999999</v>
      </c>
      <c r="BB133" s="79">
        <f t="shared" si="136"/>
        <v>6.068575757188877</v>
      </c>
      <c r="BC133" s="75"/>
      <c r="BD133" s="67" t="s">
        <v>16</v>
      </c>
      <c r="BE133" s="64">
        <v>-21.195730520370347</v>
      </c>
      <c r="BF133" s="64">
        <v>0.20639123464369838</v>
      </c>
      <c r="BG133" s="64">
        <v>2.9219620763995162</v>
      </c>
      <c r="BH133" s="66">
        <v>0.22816139349858636</v>
      </c>
      <c r="BI133" s="62">
        <v>0.9</v>
      </c>
      <c r="BJ133" s="63" t="s">
        <v>302</v>
      </c>
      <c r="BN133" s="66"/>
      <c r="BO133" s="62">
        <v>1.6</v>
      </c>
      <c r="BP133" s="63" t="s">
        <v>376</v>
      </c>
    </row>
    <row r="134" spans="1:305" ht="15" customHeight="1" x14ac:dyDescent="0.35">
      <c r="A134" s="67" t="s">
        <v>51</v>
      </c>
      <c r="B134" s="68" t="s">
        <v>62</v>
      </c>
      <c r="C134" s="67" t="str">
        <f t="shared" si="138"/>
        <v>WB1_4-24_G</v>
      </c>
      <c r="D134" s="73">
        <v>45393</v>
      </c>
      <c r="E134" s="73" t="s">
        <v>16</v>
      </c>
      <c r="F134" s="73">
        <v>45540</v>
      </c>
      <c r="H134" s="67" t="str">
        <f t="shared" si="139"/>
        <v>C,N,S</v>
      </c>
      <c r="I134" s="67">
        <v>129.5</v>
      </c>
      <c r="K134" s="67">
        <v>163.9</v>
      </c>
      <c r="L134" s="67">
        <f>K134-I134</f>
        <v>34.400000000000006</v>
      </c>
      <c r="M134" s="67">
        <f t="shared" si="140"/>
        <v>116.5</v>
      </c>
      <c r="N134" s="75"/>
      <c r="O134" s="75">
        <f t="shared" si="116"/>
        <v>23.519313304721027</v>
      </c>
      <c r="P134" s="75">
        <f t="shared" si="117"/>
        <v>6.9447586067159097</v>
      </c>
      <c r="Q134" s="75"/>
      <c r="R134" s="75">
        <f t="shared" si="118"/>
        <v>27.210300429184546</v>
      </c>
      <c r="S134" s="75">
        <f t="shared" si="119"/>
        <v>8.0346294829523472</v>
      </c>
      <c r="T134" s="75"/>
      <c r="U134" s="75">
        <f t="shared" si="120"/>
        <v>49.27038626609442</v>
      </c>
      <c r="V134" s="75">
        <f t="shared" si="121"/>
        <v>14.548508906039899</v>
      </c>
      <c r="W134" s="75"/>
      <c r="X134" s="78">
        <v>38.9</v>
      </c>
      <c r="Y134" s="78">
        <v>27.4</v>
      </c>
      <c r="Z134" s="78">
        <f t="shared" si="122"/>
        <v>11.5</v>
      </c>
      <c r="AA134" s="78">
        <f t="shared" si="123"/>
        <v>6.9447586067159097</v>
      </c>
      <c r="AB134" s="78">
        <f t="shared" si="124"/>
        <v>20.455241393284091</v>
      </c>
      <c r="AC134" s="78">
        <f t="shared" si="125"/>
        <v>0.33950998050778458</v>
      </c>
      <c r="AD134" s="78">
        <v>15.3</v>
      </c>
      <c r="AE134" s="78">
        <f t="shared" si="112"/>
        <v>5.1945027017691041</v>
      </c>
      <c r="AF134" s="78">
        <f t="shared" si="137"/>
        <v>10.105497298230897</v>
      </c>
      <c r="AG134" s="78">
        <v>16.7</v>
      </c>
      <c r="AH134" s="78">
        <f t="shared" si="126"/>
        <v>0.33950998050778458</v>
      </c>
      <c r="AI134" s="78">
        <v>3.1</v>
      </c>
      <c r="AJ134" s="78">
        <f t="shared" si="127"/>
        <v>1.0524809395741321</v>
      </c>
      <c r="AK134" s="75"/>
      <c r="AL134" s="75">
        <v>42.9</v>
      </c>
      <c r="AM134" s="75">
        <v>31.7</v>
      </c>
      <c r="AN134" s="75">
        <f t="shared" si="128"/>
        <v>11.2</v>
      </c>
      <c r="AO134" s="79">
        <f t="shared" si="129"/>
        <v>8.0346294829523472</v>
      </c>
      <c r="AP134" s="79">
        <f t="shared" si="130"/>
        <v>23.665370517047652</v>
      </c>
      <c r="AQ134" s="78">
        <f t="shared" si="131"/>
        <v>0.33950998050778453</v>
      </c>
      <c r="AR134" s="75">
        <v>7.7</v>
      </c>
      <c r="AS134" s="79">
        <f t="shared" si="114"/>
        <v>2.614226849909941</v>
      </c>
      <c r="AT134" s="75"/>
      <c r="AU134" s="79">
        <v>82.6</v>
      </c>
      <c r="AV134" s="79">
        <v>57.4</v>
      </c>
      <c r="AW134" s="79">
        <f t="shared" si="132"/>
        <v>25.199999999999996</v>
      </c>
      <c r="AX134" s="79">
        <f t="shared" si="133"/>
        <v>14.548508906039899</v>
      </c>
      <c r="AY134" s="79">
        <f t="shared" si="134"/>
        <v>42.851491093960099</v>
      </c>
      <c r="AZ134" s="78">
        <f t="shared" si="135"/>
        <v>0.33950998050778458</v>
      </c>
      <c r="BA134" s="79">
        <v>19</v>
      </c>
      <c r="BB134" s="79">
        <f t="shared" si="136"/>
        <v>6.4506896296479068</v>
      </c>
      <c r="BC134" s="75"/>
      <c r="BD134" s="67" t="s">
        <v>16</v>
      </c>
      <c r="BE134" s="64">
        <v>-24.785120965842452</v>
      </c>
      <c r="BF134" s="64">
        <v>0.30075385276946043</v>
      </c>
      <c r="BG134" s="64">
        <v>1.4316827294468928</v>
      </c>
      <c r="BH134" s="66">
        <v>4.7875456643141044E-2</v>
      </c>
      <c r="BI134" s="62">
        <v>1</v>
      </c>
      <c r="BJ134" s="63" t="s">
        <v>301</v>
      </c>
      <c r="BN134" s="66"/>
      <c r="BO134" s="62">
        <v>1.7</v>
      </c>
      <c r="BP134" s="63" t="s">
        <v>311</v>
      </c>
    </row>
    <row r="135" spans="1:305" ht="15" customHeight="1" x14ac:dyDescent="0.35">
      <c r="A135" s="67" t="s">
        <v>51</v>
      </c>
      <c r="B135" s="68" t="s">
        <v>63</v>
      </c>
      <c r="C135" s="67" t="str">
        <f t="shared" si="138"/>
        <v>WB1_8-24_G</v>
      </c>
      <c r="D135" s="73">
        <v>45505</v>
      </c>
      <c r="E135" s="67" t="s">
        <v>16</v>
      </c>
      <c r="H135" s="67" t="str">
        <f t="shared" si="139"/>
        <v>C,N,S</v>
      </c>
      <c r="I135" s="67">
        <v>135.30000000000001</v>
      </c>
      <c r="K135" s="67">
        <v>151.6</v>
      </c>
      <c r="L135" s="67">
        <f>K135-I135</f>
        <v>16.299999999999983</v>
      </c>
      <c r="M135" s="67">
        <f t="shared" si="140"/>
        <v>103.9</v>
      </c>
      <c r="N135" s="75"/>
      <c r="O135" s="75">
        <f t="shared" si="116"/>
        <v>27.141482194417708</v>
      </c>
      <c r="P135" s="75">
        <f t="shared" si="117"/>
        <v>4.2579996127912239</v>
      </c>
      <c r="Q135" s="75"/>
      <c r="R135" s="75">
        <f t="shared" si="118"/>
        <v>26.179018286814244</v>
      </c>
      <c r="S135" s="75">
        <f t="shared" si="119"/>
        <v>4.1070067187206138</v>
      </c>
      <c r="T135" s="75"/>
      <c r="U135" s="75">
        <f t="shared" si="120"/>
        <v>46.67949951876804</v>
      </c>
      <c r="V135" s="75">
        <f t="shared" si="121"/>
        <v>7.3231553624246217</v>
      </c>
      <c r="W135" s="75"/>
      <c r="X135" s="78">
        <v>41.8</v>
      </c>
      <c r="Y135" s="78">
        <v>28.2</v>
      </c>
      <c r="Z135" s="78">
        <f t="shared" si="122"/>
        <v>13.599999999999998</v>
      </c>
      <c r="AA135" s="78">
        <f t="shared" si="123"/>
        <v>4.2579996127912239</v>
      </c>
      <c r="AB135" s="78">
        <f t="shared" si="124"/>
        <v>23.942000387208775</v>
      </c>
      <c r="AC135" s="78">
        <f t="shared" si="125"/>
        <v>0.17784644323479745</v>
      </c>
      <c r="AD135" s="78">
        <v>15.7</v>
      </c>
      <c r="AE135" s="78">
        <f t="shared" si="112"/>
        <v>2.7921891587863197</v>
      </c>
      <c r="AF135" s="78">
        <v>15.6</v>
      </c>
      <c r="AG135" s="78">
        <v>16.2</v>
      </c>
      <c r="AH135" s="78">
        <f t="shared" si="126"/>
        <v>0.17784644323479745</v>
      </c>
      <c r="AI135" s="78">
        <v>4.5999999999999996</v>
      </c>
      <c r="AJ135" s="78">
        <f t="shared" si="127"/>
        <v>0.81809363888006825</v>
      </c>
      <c r="AK135" s="75"/>
      <c r="AL135" s="75">
        <v>38.799999999999997</v>
      </c>
      <c r="AM135" s="75">
        <v>27.2</v>
      </c>
      <c r="AN135" s="75">
        <f t="shared" si="128"/>
        <v>11.599999999999998</v>
      </c>
      <c r="AO135" s="79">
        <f t="shared" si="129"/>
        <v>4.1070067187206138</v>
      </c>
      <c r="AP135" s="79">
        <f t="shared" si="130"/>
        <v>23.092993281279384</v>
      </c>
      <c r="AQ135" s="78">
        <f t="shared" si="131"/>
        <v>0.17784644323479751</v>
      </c>
      <c r="AR135" s="75">
        <v>6.3</v>
      </c>
      <c r="AS135" s="79">
        <f t="shared" si="114"/>
        <v>1.1204325923792242</v>
      </c>
      <c r="AT135" s="75"/>
      <c r="AU135" s="79">
        <v>76.099999999999994</v>
      </c>
      <c r="AV135" s="79">
        <v>48.5</v>
      </c>
      <c r="AW135" s="79">
        <f t="shared" si="132"/>
        <v>27.599999999999994</v>
      </c>
      <c r="AX135" s="79">
        <f t="shared" si="133"/>
        <v>7.3231553624246217</v>
      </c>
      <c r="AY135" s="79">
        <f t="shared" si="134"/>
        <v>41.176844637575378</v>
      </c>
      <c r="AZ135" s="78">
        <f t="shared" si="135"/>
        <v>0.17784644323479742</v>
      </c>
      <c r="BA135" s="79">
        <v>24.2</v>
      </c>
      <c r="BB135" s="79">
        <f t="shared" si="136"/>
        <v>4.3038839262820971</v>
      </c>
      <c r="BC135" s="75"/>
      <c r="BD135" s="67" t="s">
        <v>16</v>
      </c>
      <c r="BE135" s="64">
        <v>-21.009636619422196</v>
      </c>
      <c r="BF135" s="64">
        <v>0.137576764384443</v>
      </c>
      <c r="BG135" s="64">
        <v>6.333924718873341</v>
      </c>
      <c r="BH135" s="66">
        <v>0.16316856584176931</v>
      </c>
      <c r="BI135" s="62">
        <v>1</v>
      </c>
      <c r="BJ135" s="63" t="s">
        <v>299</v>
      </c>
      <c r="BK135" s="64">
        <v>3.3688252925929656</v>
      </c>
      <c r="BL135" s="65">
        <v>0.25405993733071996</v>
      </c>
      <c r="BM135" s="61">
        <v>0.70279312544286388</v>
      </c>
      <c r="BN135" s="66">
        <v>1.6970698022664644E-2</v>
      </c>
      <c r="BO135" s="62">
        <v>1.6</v>
      </c>
      <c r="BP135" s="63" t="s">
        <v>299</v>
      </c>
    </row>
    <row r="136" spans="1:305" ht="15" customHeight="1" x14ac:dyDescent="0.35">
      <c r="A136" s="67" t="s">
        <v>51</v>
      </c>
      <c r="B136" s="68" t="s">
        <v>14</v>
      </c>
      <c r="C136" s="67" t="str">
        <f t="shared" si="138"/>
        <v>WB1_9-23_G</v>
      </c>
      <c r="D136" s="73">
        <v>45204</v>
      </c>
      <c r="E136" s="73" t="s">
        <v>16</v>
      </c>
      <c r="F136" s="73">
        <v>45275</v>
      </c>
      <c r="H136" s="67" t="str">
        <f t="shared" si="139"/>
        <v>C,N,S</v>
      </c>
      <c r="J136" s="67">
        <v>130.50101010101005</v>
      </c>
      <c r="K136" s="67">
        <v>151.69999999999999</v>
      </c>
      <c r="L136" s="67">
        <f>K136-J136</f>
        <v>21.198989898989936</v>
      </c>
      <c r="M136" s="67">
        <f t="shared" si="140"/>
        <v>115.6</v>
      </c>
      <c r="N136" s="75"/>
      <c r="O136" s="75">
        <f t="shared" si="116"/>
        <v>24.307958477508652</v>
      </c>
      <c r="P136" s="75">
        <f t="shared" si="117"/>
        <v>4.4576484967973418</v>
      </c>
      <c r="Q136" s="75"/>
      <c r="R136" s="75">
        <f t="shared" si="118"/>
        <v>27.941176470588236</v>
      </c>
      <c r="S136" s="75">
        <f t="shared" si="119"/>
        <v>5.1239162436496137</v>
      </c>
      <c r="T136" s="75"/>
      <c r="U136" s="75">
        <f t="shared" si="120"/>
        <v>47.750865051903119</v>
      </c>
      <c r="V136" s="75">
        <f t="shared" si="121"/>
        <v>8.7566618157727145</v>
      </c>
      <c r="W136" s="75"/>
      <c r="X136" s="78">
        <v>40.799999999999997</v>
      </c>
      <c r="Y136" s="78">
        <v>28.1</v>
      </c>
      <c r="Z136" s="78">
        <f t="shared" si="122"/>
        <v>12.699999999999996</v>
      </c>
      <c r="AA136" s="78">
        <f t="shared" si="123"/>
        <v>4.4576484967973418</v>
      </c>
      <c r="AB136" s="78">
        <f t="shared" si="124"/>
        <v>23.642351503202661</v>
      </c>
      <c r="AC136" s="78">
        <f t="shared" si="125"/>
        <v>0.18854505636605123</v>
      </c>
      <c r="AD136" s="78">
        <v>17</v>
      </c>
      <c r="AE136" s="78">
        <f t="shared" si="112"/>
        <v>3.2052659582228711</v>
      </c>
      <c r="AF136" s="78">
        <v>16.8</v>
      </c>
      <c r="AG136" s="78">
        <v>18</v>
      </c>
      <c r="AH136" s="78">
        <f t="shared" si="126"/>
        <v>0.18854505636605123</v>
      </c>
      <c r="AI136" s="78">
        <v>2.6</v>
      </c>
      <c r="AJ136" s="78">
        <f t="shared" si="127"/>
        <v>0.49021714655173321</v>
      </c>
      <c r="AK136" s="75"/>
      <c r="AL136" s="75">
        <v>43.2</v>
      </c>
      <c r="AM136" s="75">
        <v>32.299999999999997</v>
      </c>
      <c r="AN136" s="75">
        <f t="shared" si="128"/>
        <v>10.900000000000006</v>
      </c>
      <c r="AO136" s="79">
        <f t="shared" si="129"/>
        <v>5.1239162436496137</v>
      </c>
      <c r="AP136" s="79">
        <f t="shared" si="130"/>
        <v>27.176083756350383</v>
      </c>
      <c r="AQ136" s="78">
        <f t="shared" si="131"/>
        <v>0.18854505636605129</v>
      </c>
      <c r="AR136" s="75">
        <v>5.2</v>
      </c>
      <c r="AS136" s="79">
        <f t="shared" si="114"/>
        <v>0.98043429310346675</v>
      </c>
      <c r="AT136" s="75"/>
      <c r="AU136" s="79">
        <v>85</v>
      </c>
      <c r="AV136" s="79">
        <v>55.2</v>
      </c>
      <c r="AW136" s="79">
        <f t="shared" si="132"/>
        <v>29.799999999999997</v>
      </c>
      <c r="AX136" s="79">
        <f t="shared" si="133"/>
        <v>8.7566618157727145</v>
      </c>
      <c r="AY136" s="79">
        <f t="shared" si="134"/>
        <v>46.443338184227287</v>
      </c>
      <c r="AZ136" s="78">
        <f t="shared" si="135"/>
        <v>0.18854505636605126</v>
      </c>
      <c r="BA136" s="79">
        <v>15.1</v>
      </c>
      <c r="BB136" s="79">
        <f t="shared" si="136"/>
        <v>2.847030351127374</v>
      </c>
      <c r="BC136" s="75"/>
      <c r="BD136" s="67" t="s">
        <v>16</v>
      </c>
      <c r="BE136" s="64">
        <v>-21.671541362175521</v>
      </c>
      <c r="BF136" s="64">
        <v>0.13980546284980272</v>
      </c>
      <c r="BG136" s="64">
        <v>3.5085886866176863</v>
      </c>
      <c r="BH136" s="66">
        <v>2.1066432339062045E-2</v>
      </c>
      <c r="BI136" s="62">
        <v>1</v>
      </c>
      <c r="BJ136" s="63" t="s">
        <v>299</v>
      </c>
      <c r="BN136" s="66"/>
      <c r="BO136" s="62">
        <v>1.6</v>
      </c>
      <c r="BP136" s="63" t="s">
        <v>377</v>
      </c>
    </row>
    <row r="137" spans="1:305" ht="15" customHeight="1" x14ac:dyDescent="0.35">
      <c r="A137" s="67" t="s">
        <v>52</v>
      </c>
      <c r="B137" s="68" t="s">
        <v>62</v>
      </c>
      <c r="C137" s="67" t="str">
        <f t="shared" si="138"/>
        <v>WB2_4-24_G</v>
      </c>
      <c r="D137" s="73">
        <v>45393</v>
      </c>
      <c r="E137" s="73" t="s">
        <v>16</v>
      </c>
      <c r="F137" s="73">
        <v>45540</v>
      </c>
      <c r="H137" s="67" t="str">
        <f t="shared" si="139"/>
        <v>C,N,S</v>
      </c>
      <c r="I137" s="67">
        <v>129.6</v>
      </c>
      <c r="K137" s="67">
        <v>169.8</v>
      </c>
      <c r="L137" s="67">
        <f>K137-I137</f>
        <v>40.200000000000017</v>
      </c>
      <c r="M137" s="67">
        <f t="shared" si="140"/>
        <v>93.199999999999989</v>
      </c>
      <c r="O137" s="67">
        <f t="shared" si="116"/>
        <v>26.180257510729614</v>
      </c>
      <c r="P137" s="67">
        <f t="shared" si="117"/>
        <v>11.292342831881236</v>
      </c>
      <c r="Q137" s="67"/>
      <c r="R137" s="67">
        <f t="shared" si="118"/>
        <v>23.283261802575108</v>
      </c>
      <c r="S137" s="67">
        <f t="shared" si="119"/>
        <v>10.042780305402573</v>
      </c>
      <c r="T137" s="67"/>
      <c r="U137" s="67">
        <f t="shared" si="120"/>
        <v>50.536480686695285</v>
      </c>
      <c r="V137" s="67">
        <f t="shared" si="121"/>
        <v>21.797924073016649</v>
      </c>
      <c r="W137" s="67"/>
      <c r="X137" s="71">
        <v>35.1</v>
      </c>
      <c r="Y137" s="71">
        <v>24.4</v>
      </c>
      <c r="Z137" s="71">
        <f t="shared" si="122"/>
        <v>10.700000000000003</v>
      </c>
      <c r="AA137" s="71">
        <f t="shared" si="123"/>
        <v>11.292342831881236</v>
      </c>
      <c r="AB137" s="71">
        <f t="shared" si="124"/>
        <v>13.107657168118763</v>
      </c>
      <c r="AC137" s="71">
        <f t="shared" si="125"/>
        <v>0.86150733781374411</v>
      </c>
      <c r="AG137" s="71">
        <v>10.3</v>
      </c>
      <c r="AH137" s="71">
        <f t="shared" si="126"/>
        <v>0.86150733781374411</v>
      </c>
      <c r="AI137" s="71">
        <v>9.8000000000000007</v>
      </c>
      <c r="AJ137" s="71">
        <f t="shared" si="127"/>
        <v>8.4427719105746935</v>
      </c>
      <c r="AL137" s="67">
        <v>35.1</v>
      </c>
      <c r="AM137" s="67">
        <v>21.7</v>
      </c>
      <c r="AN137" s="67">
        <f t="shared" si="128"/>
        <v>13.400000000000002</v>
      </c>
      <c r="AO137" s="70">
        <f t="shared" si="129"/>
        <v>10.042780305402573</v>
      </c>
      <c r="AP137" s="70">
        <f t="shared" si="130"/>
        <v>11.657219694597426</v>
      </c>
      <c r="AQ137" s="71">
        <f t="shared" si="131"/>
        <v>0.86150733781374389</v>
      </c>
      <c r="AR137" s="67">
        <v>8.9</v>
      </c>
      <c r="AS137" s="70">
        <f>AR137*AQ137</f>
        <v>7.6674153065423205</v>
      </c>
      <c r="AU137" s="70">
        <v>67.2</v>
      </c>
      <c r="AV137" s="70">
        <v>47.1</v>
      </c>
      <c r="AW137" s="70">
        <f t="shared" si="132"/>
        <v>20.100000000000001</v>
      </c>
      <c r="AX137" s="70">
        <f t="shared" si="133"/>
        <v>21.797924073016649</v>
      </c>
      <c r="AY137" s="70">
        <f t="shared" si="134"/>
        <v>25.302075926983353</v>
      </c>
      <c r="AZ137" s="71">
        <f t="shared" si="135"/>
        <v>0.86150733781374411</v>
      </c>
      <c r="BA137" s="70">
        <v>33.1</v>
      </c>
      <c r="BB137" s="70">
        <f t="shared" si="136"/>
        <v>28.515892881634933</v>
      </c>
      <c r="BD137" s="67" t="s">
        <v>16</v>
      </c>
      <c r="BE137" s="64">
        <v>-25.734525661430162</v>
      </c>
      <c r="BF137" s="64">
        <v>0.2765091273405122</v>
      </c>
      <c r="BG137" s="64">
        <v>1.071457943857369</v>
      </c>
      <c r="BH137" s="66">
        <v>0.22571357370427808</v>
      </c>
      <c r="BI137" s="62">
        <v>1</v>
      </c>
      <c r="BJ137" s="63" t="s">
        <v>301</v>
      </c>
      <c r="BO137" s="62">
        <v>1.4</v>
      </c>
      <c r="BP137" s="63" t="s">
        <v>378</v>
      </c>
    </row>
    <row r="138" spans="1:305" ht="15" customHeight="1" x14ac:dyDescent="0.35">
      <c r="A138" s="67" t="s">
        <v>52</v>
      </c>
      <c r="B138" s="68" t="s">
        <v>63</v>
      </c>
      <c r="C138" s="67" t="str">
        <f t="shared" si="138"/>
        <v>WB2_8-24_G</v>
      </c>
      <c r="D138" s="73">
        <v>45505</v>
      </c>
      <c r="E138" s="67" t="s">
        <v>16</v>
      </c>
      <c r="H138" s="67" t="str">
        <f t="shared" si="139"/>
        <v>C,N,S</v>
      </c>
      <c r="I138" s="67">
        <v>129.1</v>
      </c>
      <c r="K138" s="67">
        <v>150.69999999999999</v>
      </c>
      <c r="L138" s="67">
        <f>K138-I138</f>
        <v>21.599999999999994</v>
      </c>
      <c r="M138" s="67">
        <f t="shared" si="140"/>
        <v>103.1</v>
      </c>
      <c r="O138" s="67">
        <f t="shared" si="116"/>
        <v>26.576139670223085</v>
      </c>
      <c r="P138" s="67">
        <f t="shared" si="117"/>
        <v>5.5678430346927117</v>
      </c>
      <c r="Q138" s="67"/>
      <c r="R138" s="67">
        <f t="shared" si="118"/>
        <v>25.218234723569349</v>
      </c>
      <c r="S138" s="67">
        <f t="shared" si="119"/>
        <v>5.283354704452937</v>
      </c>
      <c r="T138" s="67"/>
      <c r="U138" s="67">
        <f t="shared" si="120"/>
        <v>48.205625606207569</v>
      </c>
      <c r="V138" s="67">
        <f t="shared" si="121"/>
        <v>10.099335723511961</v>
      </c>
      <c r="W138" s="67"/>
      <c r="X138" s="71">
        <v>32</v>
      </c>
      <c r="Y138" s="71">
        <v>27.4</v>
      </c>
      <c r="Z138" s="71">
        <f t="shared" si="122"/>
        <v>4.6000000000000014</v>
      </c>
      <c r="AA138" s="71">
        <f t="shared" si="123"/>
        <v>5.5678430346927117</v>
      </c>
      <c r="AB138" s="71">
        <f t="shared" si="124"/>
        <v>21.832156965307288</v>
      </c>
      <c r="AC138" s="71">
        <f t="shared" si="125"/>
        <v>0.25502945235967178</v>
      </c>
      <c r="AG138" s="71">
        <v>11.5</v>
      </c>
      <c r="AH138" s="71">
        <f t="shared" si="126"/>
        <v>0.25502945235967178</v>
      </c>
      <c r="AI138" s="71">
        <v>9.1</v>
      </c>
      <c r="AJ138" s="71">
        <f t="shared" si="127"/>
        <v>2.3207680164730133</v>
      </c>
      <c r="AL138" s="67">
        <v>39</v>
      </c>
      <c r="AM138" s="67">
        <v>26</v>
      </c>
      <c r="AN138" s="67">
        <f t="shared" si="128"/>
        <v>13</v>
      </c>
      <c r="AO138" s="70">
        <f t="shared" si="129"/>
        <v>5.283354704452937</v>
      </c>
      <c r="AP138" s="70">
        <f t="shared" si="130"/>
        <v>20.716645295547064</v>
      </c>
      <c r="AQ138" s="71">
        <f t="shared" si="131"/>
        <v>0.25502945235967173</v>
      </c>
      <c r="AR138" s="67">
        <v>15.2</v>
      </c>
      <c r="AS138" s="70">
        <f>AR138*AQ138</f>
        <v>3.8764476758670101</v>
      </c>
      <c r="AU138" s="70">
        <v>68.5</v>
      </c>
      <c r="AV138" s="70">
        <v>49.7</v>
      </c>
      <c r="AW138" s="70">
        <f t="shared" si="132"/>
        <v>18.799999999999997</v>
      </c>
      <c r="AX138" s="70">
        <f t="shared" si="133"/>
        <v>10.099335723511961</v>
      </c>
      <c r="AY138" s="70">
        <f t="shared" si="134"/>
        <v>39.60066427648804</v>
      </c>
      <c r="AZ138" s="71">
        <f t="shared" si="135"/>
        <v>0.25502945235967173</v>
      </c>
      <c r="BA138" s="70">
        <v>37</v>
      </c>
      <c r="BB138" s="70">
        <f t="shared" si="136"/>
        <v>9.4360897373078547</v>
      </c>
      <c r="BD138" s="67" t="s">
        <v>16</v>
      </c>
      <c r="BE138" s="64">
        <v>-21.99892409258586</v>
      </c>
      <c r="BF138" s="64">
        <v>0.27533733668147981</v>
      </c>
      <c r="BG138" s="64">
        <v>2.0239898852842795</v>
      </c>
      <c r="BH138" s="66">
        <v>0.27303058465404184</v>
      </c>
      <c r="BI138" s="62">
        <v>0.8</v>
      </c>
      <c r="BJ138" s="63" t="s">
        <v>301</v>
      </c>
      <c r="BN138" s="66"/>
      <c r="BO138" s="62">
        <v>1.6</v>
      </c>
      <c r="BP138" s="63" t="s">
        <v>379</v>
      </c>
    </row>
    <row r="139" spans="1:305" ht="15" customHeight="1" x14ac:dyDescent="0.35">
      <c r="A139" s="67" t="s">
        <v>52</v>
      </c>
      <c r="B139" s="68" t="s">
        <v>14</v>
      </c>
      <c r="C139" s="67" t="str">
        <f t="shared" si="138"/>
        <v>WB2_9-23_G</v>
      </c>
      <c r="D139" s="73">
        <v>45204</v>
      </c>
      <c r="E139" s="73" t="s">
        <v>16</v>
      </c>
      <c r="F139" s="73">
        <v>45275</v>
      </c>
      <c r="H139" s="67" t="str">
        <f t="shared" si="139"/>
        <v>C,N,S</v>
      </c>
      <c r="J139" s="67">
        <v>130.50101010101005</v>
      </c>
      <c r="K139" s="67">
        <v>152.30000000000001</v>
      </c>
      <c r="L139" s="67">
        <f>K139-J139</f>
        <v>21.798989898989959</v>
      </c>
      <c r="M139" s="67">
        <f t="shared" si="140"/>
        <v>100.6</v>
      </c>
      <c r="O139" s="67">
        <f t="shared" si="116"/>
        <v>25.248508946322069</v>
      </c>
      <c r="P139" s="67">
        <f t="shared" si="117"/>
        <v>5.4710933547259684</v>
      </c>
      <c r="Q139" s="67"/>
      <c r="R139" s="67">
        <f t="shared" si="118"/>
        <v>26.640159045725646</v>
      </c>
      <c r="S139" s="67">
        <f t="shared" si="119"/>
        <v>5.772649681364407</v>
      </c>
      <c r="T139" s="67"/>
      <c r="U139" s="67">
        <f t="shared" si="120"/>
        <v>48.111332007952292</v>
      </c>
      <c r="V139" s="67">
        <f t="shared" si="121"/>
        <v>10.425233006643184</v>
      </c>
      <c r="W139" s="67"/>
      <c r="X139" s="71">
        <v>33.9</v>
      </c>
      <c r="Y139" s="71">
        <v>25.4</v>
      </c>
      <c r="Z139" s="71">
        <f t="shared" si="122"/>
        <v>8.5</v>
      </c>
      <c r="AA139" s="71">
        <f t="shared" si="123"/>
        <v>5.4710933547259684</v>
      </c>
      <c r="AB139" s="71">
        <f t="shared" si="124"/>
        <v>19.928906645274029</v>
      </c>
      <c r="AC139" s="71">
        <f t="shared" si="125"/>
        <v>0.27453053256302906</v>
      </c>
      <c r="AG139" s="71">
        <v>8.1999999999999993</v>
      </c>
      <c r="AH139" s="71">
        <f t="shared" si="126"/>
        <v>0.27453053256302906</v>
      </c>
      <c r="AI139" s="71">
        <v>7.9</v>
      </c>
      <c r="AJ139" s="71">
        <f t="shared" si="127"/>
        <v>2.1687912072479296</v>
      </c>
      <c r="AL139" s="67">
        <v>30.4</v>
      </c>
      <c r="AM139" s="67">
        <v>26.8</v>
      </c>
      <c r="AN139" s="67">
        <f t="shared" si="128"/>
        <v>3.5999999999999979</v>
      </c>
      <c r="AO139" s="70">
        <f t="shared" si="129"/>
        <v>5.772649681364407</v>
      </c>
      <c r="AP139" s="70">
        <f t="shared" si="130"/>
        <v>21.027350318635595</v>
      </c>
      <c r="AQ139" s="71">
        <f t="shared" si="131"/>
        <v>0.27453053256302901</v>
      </c>
      <c r="AR139" s="67">
        <v>11.1</v>
      </c>
      <c r="AS139" s="70">
        <f>AR139*AQ139</f>
        <v>3.047288911449622</v>
      </c>
      <c r="AU139" s="70">
        <v>71.400000000000006</v>
      </c>
      <c r="AV139" s="70">
        <v>48.4</v>
      </c>
      <c r="AW139" s="70">
        <f t="shared" si="132"/>
        <v>23.000000000000007</v>
      </c>
      <c r="AX139" s="70">
        <f t="shared" si="133"/>
        <v>10.425233006643184</v>
      </c>
      <c r="AY139" s="70">
        <f t="shared" si="134"/>
        <v>37.974766993356816</v>
      </c>
      <c r="AZ139" s="71">
        <f t="shared" si="135"/>
        <v>0.27453053256302906</v>
      </c>
      <c r="BA139" s="70">
        <v>36.200000000000003</v>
      </c>
      <c r="BB139" s="70">
        <f t="shared" si="136"/>
        <v>9.9380052787816524</v>
      </c>
      <c r="BD139" s="67" t="s">
        <v>16</v>
      </c>
      <c r="BE139" s="64">
        <v>-20.837261667278145</v>
      </c>
      <c r="BF139" s="64">
        <v>0.13961092770844263</v>
      </c>
      <c r="BG139" s="64">
        <v>3.2426021215828973</v>
      </c>
      <c r="BH139" s="66">
        <v>2.1431026521772596E-2</v>
      </c>
      <c r="BI139" s="62">
        <v>1</v>
      </c>
      <c r="BJ139" s="63" t="s">
        <v>299</v>
      </c>
      <c r="BN139" s="66"/>
      <c r="BO139" s="62">
        <v>1.4</v>
      </c>
      <c r="BP139" s="63" t="s">
        <v>339</v>
      </c>
    </row>
    <row r="140" spans="1:305" ht="15" customHeight="1" x14ac:dyDescent="0.35">
      <c r="BE140" s="72"/>
    </row>
    <row r="141" spans="1:305" ht="15" customHeight="1" x14ac:dyDescent="0.35">
      <c r="BE141" s="72"/>
    </row>
    <row r="142" spans="1:305" ht="15" customHeight="1" x14ac:dyDescent="0.35">
      <c r="D142" s="73"/>
      <c r="E142" s="73"/>
      <c r="F142" s="73"/>
      <c r="O142" s="67"/>
      <c r="P142" s="67"/>
      <c r="Q142" s="67"/>
      <c r="R142" s="67"/>
      <c r="S142" s="67"/>
      <c r="T142" s="67"/>
      <c r="U142" s="67"/>
      <c r="V142" s="67"/>
      <c r="W142" s="67"/>
      <c r="BE142" s="72"/>
    </row>
    <row r="143" spans="1:305" ht="15" customHeight="1" x14ac:dyDescent="0.35">
      <c r="D143" s="73"/>
      <c r="E143" s="73"/>
      <c r="F143" s="73"/>
      <c r="O143" s="67"/>
      <c r="P143" s="67"/>
      <c r="Q143" s="67"/>
      <c r="R143" s="67"/>
      <c r="S143" s="67"/>
      <c r="T143" s="67"/>
      <c r="U143" s="67"/>
      <c r="V143" s="67"/>
      <c r="W143" s="67"/>
    </row>
    <row r="144" spans="1:305" ht="15" customHeight="1" x14ac:dyDescent="0.35">
      <c r="D144" s="73"/>
      <c r="E144" s="73"/>
      <c r="F144" s="73"/>
      <c r="O144" s="67"/>
      <c r="P144" s="67"/>
      <c r="Q144" s="67"/>
      <c r="R144" s="67"/>
      <c r="S144" s="67"/>
      <c r="T144" s="67"/>
      <c r="U144" s="67"/>
      <c r="V144" s="67"/>
      <c r="W144" s="67"/>
    </row>
    <row r="145" spans="4:23" ht="15" customHeight="1" x14ac:dyDescent="0.35">
      <c r="D145" s="73"/>
      <c r="E145" s="73"/>
      <c r="F145" s="73"/>
      <c r="O145" s="67"/>
      <c r="P145" s="67"/>
      <c r="Q145" s="67"/>
      <c r="R145" s="67"/>
      <c r="S145" s="67"/>
      <c r="T145" s="67"/>
      <c r="U145" s="67"/>
      <c r="V145" s="67"/>
      <c r="W145" s="67"/>
    </row>
    <row r="146" spans="4:23" ht="15" customHeight="1" x14ac:dyDescent="0.35">
      <c r="D146" s="73"/>
      <c r="E146" s="73"/>
      <c r="F146" s="73"/>
      <c r="O146" s="67"/>
      <c r="P146" s="67"/>
      <c r="Q146" s="67"/>
      <c r="R146" s="67"/>
      <c r="S146" s="67"/>
      <c r="T146" s="67"/>
      <c r="U146" s="67"/>
      <c r="V146" s="67"/>
      <c r="W146" s="67"/>
    </row>
    <row r="147" spans="4:23" ht="15" customHeight="1" x14ac:dyDescent="0.35">
      <c r="D147" s="73"/>
      <c r="E147" s="73"/>
      <c r="F147" s="73"/>
      <c r="O147" s="67"/>
      <c r="P147" s="67"/>
      <c r="Q147" s="67"/>
      <c r="R147" s="67"/>
      <c r="S147" s="67"/>
      <c r="T147" s="67"/>
      <c r="U147" s="67"/>
      <c r="V147" s="67"/>
      <c r="W147" s="67"/>
    </row>
    <row r="148" spans="4:23" ht="15" customHeight="1" x14ac:dyDescent="0.35">
      <c r="D148" s="73"/>
      <c r="E148" s="73"/>
      <c r="F148" s="73"/>
      <c r="O148" s="67"/>
      <c r="P148" s="67"/>
      <c r="Q148" s="67"/>
      <c r="R148" s="67"/>
      <c r="S148" s="67"/>
      <c r="T148" s="67"/>
      <c r="U148" s="67"/>
      <c r="V148" s="67"/>
      <c r="W148" s="67"/>
    </row>
    <row r="149" spans="4:23" ht="15" customHeight="1" x14ac:dyDescent="0.35">
      <c r="D149" s="73"/>
      <c r="E149" s="73"/>
      <c r="F149" s="73"/>
      <c r="O149" s="67"/>
      <c r="P149" s="67"/>
      <c r="Q149" s="67"/>
      <c r="R149" s="67"/>
      <c r="S149" s="67"/>
      <c r="T149" s="67"/>
      <c r="U149" s="67"/>
      <c r="V149" s="67"/>
      <c r="W149" s="67"/>
    </row>
    <row r="150" spans="4:23" ht="15" customHeight="1" x14ac:dyDescent="0.35">
      <c r="D150" s="73"/>
      <c r="E150" s="73"/>
      <c r="F150" s="73"/>
      <c r="O150" s="67"/>
      <c r="P150" s="67"/>
      <c r="Q150" s="67"/>
      <c r="R150" s="67"/>
      <c r="S150" s="67"/>
      <c r="T150" s="67"/>
      <c r="U150" s="67"/>
      <c r="V150" s="67"/>
      <c r="W150" s="67"/>
    </row>
    <row r="151" spans="4:23" ht="15" customHeight="1" x14ac:dyDescent="0.35">
      <c r="D151" s="73"/>
      <c r="E151" s="73"/>
      <c r="F151" s="73"/>
      <c r="O151" s="67"/>
      <c r="P151" s="67"/>
      <c r="Q151" s="67"/>
      <c r="R151" s="67"/>
      <c r="S151" s="67"/>
      <c r="T151" s="67"/>
      <c r="U151" s="67"/>
      <c r="V151" s="67"/>
      <c r="W151" s="67"/>
    </row>
    <row r="152" spans="4:23" ht="15" customHeight="1" x14ac:dyDescent="0.35">
      <c r="D152" s="73"/>
      <c r="E152" s="73"/>
      <c r="F152" s="73"/>
      <c r="O152" s="67"/>
      <c r="P152" s="67"/>
      <c r="Q152" s="67"/>
      <c r="R152" s="67"/>
      <c r="S152" s="67"/>
      <c r="T152" s="67"/>
      <c r="U152" s="67"/>
      <c r="V152" s="67"/>
      <c r="W152" s="67"/>
    </row>
    <row r="153" spans="4:23" ht="15" customHeight="1" x14ac:dyDescent="0.35">
      <c r="D153" s="73"/>
      <c r="E153" s="73"/>
      <c r="F153" s="73"/>
      <c r="O153" s="67"/>
      <c r="P153" s="67"/>
      <c r="Q153" s="67"/>
      <c r="R153" s="67"/>
      <c r="S153" s="67"/>
      <c r="T153" s="67"/>
      <c r="U153" s="67"/>
      <c r="V153" s="67"/>
      <c r="W153" s="67"/>
    </row>
    <row r="154" spans="4:23" ht="15" customHeight="1" x14ac:dyDescent="0.35">
      <c r="D154" s="73"/>
      <c r="E154" s="73"/>
      <c r="F154" s="73"/>
      <c r="O154" s="67"/>
      <c r="P154" s="67"/>
      <c r="Q154" s="67"/>
      <c r="R154" s="67"/>
      <c r="S154" s="67"/>
      <c r="T154" s="67"/>
      <c r="U154" s="67"/>
      <c r="V154" s="67"/>
      <c r="W154" s="67"/>
    </row>
    <row r="155" spans="4:23" ht="15" customHeight="1" x14ac:dyDescent="0.35">
      <c r="D155" s="73"/>
      <c r="E155" s="73"/>
      <c r="F155" s="73"/>
      <c r="O155" s="67"/>
      <c r="P155" s="67"/>
      <c r="Q155" s="67"/>
      <c r="R155" s="67"/>
      <c r="S155" s="67"/>
      <c r="T155" s="67"/>
      <c r="U155" s="67"/>
      <c r="V155" s="67"/>
      <c r="W155" s="67"/>
    </row>
    <row r="156" spans="4:23" ht="15" customHeight="1" x14ac:dyDescent="0.35">
      <c r="D156" s="73"/>
      <c r="E156" s="73"/>
      <c r="F156" s="73"/>
      <c r="O156" s="67"/>
      <c r="P156" s="67"/>
      <c r="Q156" s="67"/>
      <c r="R156" s="67"/>
      <c r="S156" s="67"/>
      <c r="T156" s="67"/>
      <c r="U156" s="67"/>
      <c r="V156" s="67"/>
      <c r="W156" s="67"/>
    </row>
    <row r="157" spans="4:23" ht="15" customHeight="1" x14ac:dyDescent="0.35">
      <c r="D157" s="73"/>
      <c r="E157" s="73"/>
      <c r="F157" s="73"/>
      <c r="O157" s="67"/>
      <c r="P157" s="67"/>
      <c r="Q157" s="67"/>
      <c r="R157" s="67"/>
      <c r="S157" s="67"/>
      <c r="T157" s="67"/>
      <c r="U157" s="67"/>
      <c r="V157" s="67"/>
      <c r="W157" s="67"/>
    </row>
    <row r="158" spans="4:23" ht="15" customHeight="1" x14ac:dyDescent="0.35">
      <c r="D158" s="73"/>
      <c r="E158" s="73"/>
      <c r="O158" s="67"/>
      <c r="P158" s="67"/>
      <c r="Q158" s="67"/>
      <c r="R158" s="67"/>
      <c r="S158" s="67"/>
      <c r="T158" s="67"/>
      <c r="U158" s="67"/>
      <c r="V158" s="67"/>
      <c r="W158" s="67"/>
    </row>
    <row r="159" spans="4:23" ht="15" customHeight="1" x14ac:dyDescent="0.35">
      <c r="D159" s="73"/>
      <c r="E159" s="73"/>
      <c r="O159" s="67"/>
      <c r="P159" s="67"/>
      <c r="Q159" s="67"/>
      <c r="R159" s="67"/>
      <c r="S159" s="67"/>
      <c r="T159" s="67"/>
      <c r="U159" s="67"/>
      <c r="V159" s="67"/>
      <c r="W159" s="67"/>
    </row>
    <row r="160" spans="4:23" ht="15" customHeight="1" x14ac:dyDescent="0.35">
      <c r="D160" s="73"/>
      <c r="E160" s="73"/>
      <c r="F160" s="73"/>
      <c r="O160" s="67"/>
      <c r="P160" s="67"/>
      <c r="Q160" s="67"/>
      <c r="R160" s="67"/>
      <c r="S160" s="67"/>
      <c r="T160" s="67"/>
      <c r="U160" s="67"/>
      <c r="V160" s="67"/>
      <c r="W160" s="67"/>
    </row>
    <row r="161" spans="1:56" ht="15" customHeight="1" x14ac:dyDescent="0.35">
      <c r="D161" s="73"/>
      <c r="E161" s="73"/>
      <c r="O161" s="67"/>
      <c r="P161" s="67"/>
      <c r="Q161" s="67"/>
      <c r="R161" s="67"/>
      <c r="S161" s="67"/>
      <c r="T161" s="67"/>
      <c r="U161" s="67"/>
      <c r="V161" s="67"/>
      <c r="W161" s="67"/>
    </row>
    <row r="162" spans="1:56" ht="15" customHeight="1" x14ac:dyDescent="0.35">
      <c r="D162" s="73"/>
      <c r="E162" s="73"/>
      <c r="O162" s="67"/>
      <c r="P162" s="67"/>
      <c r="Q162" s="67"/>
      <c r="R162" s="67"/>
      <c r="S162" s="67"/>
      <c r="T162" s="67"/>
      <c r="U162" s="67"/>
      <c r="V162" s="67"/>
      <c r="W162" s="67"/>
    </row>
    <row r="163" spans="1:56" ht="15" customHeight="1" x14ac:dyDescent="0.35">
      <c r="D163" s="73"/>
      <c r="E163" s="73"/>
      <c r="O163" s="67"/>
      <c r="P163" s="67"/>
      <c r="Q163" s="67"/>
      <c r="R163" s="67"/>
      <c r="S163" s="67"/>
      <c r="T163" s="67"/>
      <c r="U163" s="67"/>
      <c r="V163" s="67"/>
      <c r="W163" s="67"/>
    </row>
    <row r="164" spans="1:56" ht="15" customHeight="1" x14ac:dyDescent="0.35">
      <c r="D164" s="73"/>
      <c r="E164" s="73"/>
      <c r="F164" s="73"/>
      <c r="O164" s="67"/>
      <c r="P164" s="67"/>
      <c r="Q164" s="67"/>
      <c r="R164" s="67"/>
      <c r="S164" s="67"/>
      <c r="T164" s="67"/>
      <c r="U164" s="67"/>
      <c r="V164" s="67"/>
      <c r="W164" s="67"/>
    </row>
    <row r="165" spans="1:56" ht="15" customHeight="1" x14ac:dyDescent="0.35">
      <c r="D165" s="73"/>
      <c r="E165" s="73"/>
      <c r="F165" s="73"/>
      <c r="O165" s="67"/>
      <c r="P165" s="67"/>
      <c r="Q165" s="67"/>
      <c r="R165" s="67"/>
      <c r="S165" s="67"/>
      <c r="T165" s="67"/>
      <c r="U165" s="67"/>
      <c r="V165" s="67"/>
      <c r="W165" s="67"/>
    </row>
    <row r="166" spans="1:56" ht="15" customHeight="1" x14ac:dyDescent="0.35">
      <c r="D166" s="73"/>
      <c r="E166" s="73"/>
      <c r="F166" s="73"/>
      <c r="O166" s="67"/>
      <c r="P166" s="67"/>
      <c r="Q166" s="67"/>
      <c r="R166" s="67"/>
      <c r="S166" s="67"/>
      <c r="T166" s="67"/>
      <c r="U166" s="67"/>
      <c r="V166" s="67"/>
      <c r="W166" s="67"/>
    </row>
    <row r="167" spans="1:56" ht="15" customHeight="1" x14ac:dyDescent="0.35">
      <c r="D167" s="73"/>
      <c r="E167" s="73"/>
      <c r="F167" s="73"/>
      <c r="O167" s="67"/>
      <c r="P167" s="67"/>
      <c r="Q167" s="67"/>
      <c r="R167" s="67"/>
      <c r="S167" s="67"/>
      <c r="T167" s="67"/>
      <c r="U167" s="67"/>
      <c r="V167" s="67"/>
      <c r="W167" s="67"/>
    </row>
    <row r="168" spans="1:56" ht="15" customHeight="1" x14ac:dyDescent="0.35">
      <c r="D168" s="73"/>
      <c r="E168" s="73"/>
      <c r="F168" s="73"/>
      <c r="O168" s="67"/>
      <c r="P168" s="67"/>
      <c r="Q168" s="67"/>
      <c r="R168" s="67"/>
      <c r="S168" s="67"/>
      <c r="T168" s="67"/>
      <c r="U168" s="67"/>
      <c r="V168" s="67"/>
      <c r="W168" s="67"/>
    </row>
    <row r="169" spans="1:56" ht="15" customHeight="1" x14ac:dyDescent="0.35">
      <c r="D169" s="73"/>
      <c r="E169" s="73"/>
      <c r="F169" s="73"/>
      <c r="O169" s="67"/>
      <c r="P169" s="67"/>
      <c r="Q169" s="67"/>
      <c r="R169" s="67"/>
      <c r="S169" s="67"/>
      <c r="T169" s="67"/>
      <c r="U169" s="67"/>
      <c r="V169" s="67"/>
      <c r="W169" s="67"/>
    </row>
    <row r="170" spans="1:56" ht="15" customHeight="1" x14ac:dyDescent="0.35">
      <c r="D170" s="73"/>
      <c r="E170" s="73"/>
      <c r="F170" s="73"/>
      <c r="O170" s="67"/>
      <c r="P170" s="67"/>
      <c r="Q170" s="67"/>
      <c r="R170" s="67"/>
      <c r="S170" s="67"/>
      <c r="T170" s="67"/>
      <c r="U170" s="67"/>
      <c r="V170" s="67"/>
      <c r="W170" s="67"/>
    </row>
    <row r="171" spans="1:56" s="47" customFormat="1" ht="15" customHeight="1" x14ac:dyDescent="0.35">
      <c r="A171" s="67"/>
      <c r="B171" s="68"/>
      <c r="C171" s="67"/>
      <c r="D171" s="73"/>
      <c r="E171" s="73"/>
      <c r="F171" s="73"/>
      <c r="G171" s="67"/>
      <c r="H171" s="67"/>
      <c r="I171" s="67"/>
      <c r="J171" s="67"/>
      <c r="K171" s="67"/>
      <c r="L171" s="67"/>
      <c r="M171" s="67"/>
      <c r="N171" s="69"/>
      <c r="O171" s="67"/>
      <c r="P171" s="67"/>
      <c r="Q171" s="67"/>
      <c r="R171" s="67"/>
      <c r="S171" s="67"/>
      <c r="T171" s="67"/>
      <c r="U171" s="67"/>
      <c r="V171" s="67"/>
      <c r="W171" s="67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67"/>
      <c r="AL171" s="67"/>
      <c r="AM171" s="67"/>
      <c r="AN171" s="67"/>
      <c r="AO171" s="70"/>
      <c r="AP171" s="70"/>
      <c r="AQ171" s="71"/>
      <c r="AR171" s="67"/>
      <c r="AS171" s="70"/>
      <c r="AT171" s="67"/>
      <c r="AU171" s="70"/>
      <c r="AV171" s="70"/>
      <c r="AW171" s="70"/>
      <c r="AX171" s="70"/>
      <c r="AY171" s="70"/>
      <c r="AZ171" s="71"/>
      <c r="BA171" s="70"/>
      <c r="BB171" s="70"/>
      <c r="BC171" s="67"/>
      <c r="BD171" s="67"/>
    </row>
    <row r="172" spans="1:56" s="47" customFormat="1" ht="15" customHeight="1" x14ac:dyDescent="0.35">
      <c r="A172" s="67"/>
      <c r="B172" s="68"/>
      <c r="C172" s="67"/>
      <c r="D172" s="73"/>
      <c r="E172" s="73"/>
      <c r="F172" s="67"/>
      <c r="G172" s="67"/>
      <c r="H172" s="67"/>
      <c r="I172" s="67"/>
      <c r="J172" s="67"/>
      <c r="K172" s="67"/>
      <c r="L172" s="67"/>
      <c r="M172" s="67"/>
      <c r="N172" s="69"/>
      <c r="O172" s="67"/>
      <c r="P172" s="67"/>
      <c r="Q172" s="67"/>
      <c r="R172" s="67"/>
      <c r="S172" s="67"/>
      <c r="T172" s="67"/>
      <c r="U172" s="67"/>
      <c r="V172" s="67"/>
      <c r="W172" s="67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67"/>
      <c r="AL172" s="67"/>
      <c r="AM172" s="67"/>
      <c r="AN172" s="67"/>
      <c r="AO172" s="70"/>
      <c r="AP172" s="70"/>
      <c r="AQ172" s="71"/>
      <c r="AR172" s="67"/>
      <c r="AS172" s="70"/>
      <c r="AT172" s="67"/>
      <c r="AU172" s="70"/>
      <c r="AV172" s="70"/>
      <c r="AW172" s="70"/>
      <c r="AX172" s="70"/>
      <c r="AY172" s="70"/>
      <c r="AZ172" s="71"/>
      <c r="BA172" s="70"/>
      <c r="BB172" s="70"/>
      <c r="BC172" s="67"/>
      <c r="BD172" s="67"/>
    </row>
    <row r="173" spans="1:56" s="47" customFormat="1" ht="15" customHeight="1" x14ac:dyDescent="0.35">
      <c r="A173" s="67"/>
      <c r="B173" s="68"/>
      <c r="C173" s="67"/>
      <c r="D173" s="73"/>
      <c r="E173" s="73"/>
      <c r="F173" s="67"/>
      <c r="G173" s="67"/>
      <c r="H173" s="67"/>
      <c r="I173" s="67"/>
      <c r="J173" s="67"/>
      <c r="K173" s="67"/>
      <c r="L173" s="67"/>
      <c r="M173" s="67"/>
      <c r="N173" s="69"/>
      <c r="O173" s="67"/>
      <c r="P173" s="67"/>
      <c r="Q173" s="67"/>
      <c r="R173" s="67"/>
      <c r="S173" s="67"/>
      <c r="T173" s="67"/>
      <c r="U173" s="67"/>
      <c r="V173" s="67"/>
      <c r="W173" s="67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67"/>
      <c r="AL173" s="67"/>
      <c r="AM173" s="67"/>
      <c r="AN173" s="67"/>
      <c r="AO173" s="70"/>
      <c r="AP173" s="70"/>
      <c r="AQ173" s="71"/>
      <c r="AR173" s="67"/>
      <c r="AS173" s="70"/>
      <c r="AT173" s="67"/>
      <c r="AU173" s="70"/>
      <c r="AV173" s="70"/>
      <c r="AW173" s="70"/>
      <c r="AX173" s="70"/>
      <c r="AY173" s="70"/>
      <c r="AZ173" s="71"/>
      <c r="BA173" s="70"/>
      <c r="BB173" s="70"/>
      <c r="BC173" s="67"/>
      <c r="BD173" s="67"/>
    </row>
    <row r="174" spans="1:56" s="47" customFormat="1" ht="15" customHeight="1" x14ac:dyDescent="0.35">
      <c r="A174" s="67"/>
      <c r="B174" s="68"/>
      <c r="C174" s="67"/>
      <c r="D174" s="73"/>
      <c r="E174" s="73"/>
      <c r="F174" s="73"/>
      <c r="G174" s="67"/>
      <c r="H174" s="67"/>
      <c r="I174" s="67"/>
      <c r="J174" s="67"/>
      <c r="K174" s="67"/>
      <c r="L174" s="67"/>
      <c r="M174" s="67"/>
      <c r="N174" s="69"/>
      <c r="O174" s="67"/>
      <c r="P174" s="67"/>
      <c r="Q174" s="67"/>
      <c r="R174" s="67"/>
      <c r="S174" s="67"/>
      <c r="T174" s="67"/>
      <c r="U174" s="67"/>
      <c r="V174" s="67"/>
      <c r="W174" s="67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67"/>
      <c r="AL174" s="67"/>
      <c r="AM174" s="67"/>
      <c r="AN174" s="67"/>
      <c r="AO174" s="70"/>
      <c r="AP174" s="70"/>
      <c r="AQ174" s="71"/>
      <c r="AR174" s="67"/>
      <c r="AS174" s="70"/>
      <c r="AT174" s="67"/>
      <c r="AU174" s="70"/>
      <c r="AV174" s="70"/>
      <c r="AW174" s="70"/>
      <c r="AX174" s="70"/>
      <c r="AY174" s="70"/>
      <c r="AZ174" s="71"/>
      <c r="BA174" s="70"/>
      <c r="BB174" s="70"/>
      <c r="BC174" s="67"/>
      <c r="BD174" s="67"/>
    </row>
    <row r="175" spans="1:56" s="47" customFormat="1" ht="15" customHeight="1" x14ac:dyDescent="0.35">
      <c r="A175" s="67"/>
      <c r="B175" s="68"/>
      <c r="C175" s="67"/>
      <c r="D175" s="73"/>
      <c r="E175" s="73"/>
      <c r="F175" s="73"/>
      <c r="G175" s="67"/>
      <c r="H175" s="67"/>
      <c r="I175" s="67"/>
      <c r="J175" s="67"/>
      <c r="K175" s="67"/>
      <c r="L175" s="67"/>
      <c r="M175" s="67"/>
      <c r="N175" s="69"/>
      <c r="O175" s="67"/>
      <c r="P175" s="67"/>
      <c r="Q175" s="67"/>
      <c r="R175" s="67"/>
      <c r="S175" s="67"/>
      <c r="T175" s="67"/>
      <c r="U175" s="67"/>
      <c r="V175" s="67"/>
      <c r="W175" s="67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67"/>
      <c r="AL175" s="67"/>
      <c r="AM175" s="67"/>
      <c r="AN175" s="67"/>
      <c r="AO175" s="70"/>
      <c r="AP175" s="70"/>
      <c r="AQ175" s="71"/>
      <c r="AR175" s="67"/>
      <c r="AS175" s="70"/>
      <c r="AT175" s="67"/>
      <c r="AU175" s="70"/>
      <c r="AV175" s="70"/>
      <c r="AW175" s="70"/>
      <c r="AX175" s="70"/>
      <c r="AY175" s="70"/>
      <c r="AZ175" s="71"/>
      <c r="BA175" s="70"/>
      <c r="BB175" s="70"/>
      <c r="BC175" s="67"/>
      <c r="BD175" s="67"/>
    </row>
    <row r="176" spans="1:56" s="47" customFormat="1" ht="15" customHeight="1" x14ac:dyDescent="0.35">
      <c r="A176" s="67"/>
      <c r="B176" s="68"/>
      <c r="C176" s="67"/>
      <c r="D176" s="73"/>
      <c r="E176" s="73"/>
      <c r="F176" s="73"/>
      <c r="G176" s="67"/>
      <c r="H176" s="67"/>
      <c r="I176" s="67"/>
      <c r="J176" s="67"/>
      <c r="K176" s="67"/>
      <c r="L176" s="67"/>
      <c r="M176" s="67"/>
      <c r="N176" s="69"/>
      <c r="O176" s="67"/>
      <c r="P176" s="67"/>
      <c r="Q176" s="67"/>
      <c r="R176" s="67"/>
      <c r="S176" s="67"/>
      <c r="T176" s="67"/>
      <c r="U176" s="67"/>
      <c r="V176" s="67"/>
      <c r="W176" s="67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67"/>
      <c r="AL176" s="67"/>
      <c r="AM176" s="67"/>
      <c r="AN176" s="67"/>
      <c r="AO176" s="70"/>
      <c r="AP176" s="70"/>
      <c r="AQ176" s="71"/>
      <c r="AR176" s="67"/>
      <c r="AS176" s="70"/>
      <c r="AT176" s="67"/>
      <c r="AU176" s="70"/>
      <c r="AV176" s="70"/>
      <c r="AW176" s="70"/>
      <c r="AX176" s="70"/>
      <c r="AY176" s="70"/>
      <c r="AZ176" s="71"/>
      <c r="BA176" s="70"/>
      <c r="BB176" s="70"/>
      <c r="BC176" s="67"/>
      <c r="BD176" s="67"/>
    </row>
    <row r="177" spans="1:56" s="47" customFormat="1" ht="15" customHeight="1" x14ac:dyDescent="0.35">
      <c r="A177" s="67"/>
      <c r="B177" s="68"/>
      <c r="C177" s="67"/>
      <c r="D177" s="73"/>
      <c r="E177" s="73"/>
      <c r="F177" s="73"/>
      <c r="G177" s="67"/>
      <c r="H177" s="67"/>
      <c r="I177" s="67"/>
      <c r="J177" s="67"/>
      <c r="K177" s="67"/>
      <c r="L177" s="67"/>
      <c r="M177" s="67"/>
      <c r="N177" s="69"/>
      <c r="O177" s="67"/>
      <c r="P177" s="67"/>
      <c r="Q177" s="67"/>
      <c r="R177" s="67"/>
      <c r="S177" s="67"/>
      <c r="T177" s="67"/>
      <c r="U177" s="67"/>
      <c r="V177" s="67"/>
      <c r="W177" s="67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67"/>
      <c r="AL177" s="67"/>
      <c r="AM177" s="67"/>
      <c r="AN177" s="67"/>
      <c r="AO177" s="70"/>
      <c r="AP177" s="70"/>
      <c r="AQ177" s="71"/>
      <c r="AR177" s="67"/>
      <c r="AS177" s="70"/>
      <c r="AT177" s="67"/>
      <c r="AU177" s="70"/>
      <c r="AV177" s="70"/>
      <c r="AW177" s="70"/>
      <c r="AX177" s="70"/>
      <c r="AY177" s="70"/>
      <c r="AZ177" s="71"/>
      <c r="BA177" s="70"/>
      <c r="BB177" s="70"/>
      <c r="BC177" s="67"/>
      <c r="BD177" s="67"/>
    </row>
    <row r="178" spans="1:56" s="47" customFormat="1" ht="15" customHeight="1" x14ac:dyDescent="0.35">
      <c r="A178" s="67"/>
      <c r="B178" s="68"/>
      <c r="C178" s="67"/>
      <c r="D178" s="73"/>
      <c r="E178" s="73"/>
      <c r="F178" s="67"/>
      <c r="G178" s="67"/>
      <c r="H178" s="67"/>
      <c r="I178" s="67"/>
      <c r="J178" s="67"/>
      <c r="K178" s="67"/>
      <c r="L178" s="67"/>
      <c r="M178" s="67"/>
      <c r="N178" s="69"/>
      <c r="O178" s="67"/>
      <c r="P178" s="67"/>
      <c r="Q178" s="67"/>
      <c r="R178" s="67"/>
      <c r="S178" s="67"/>
      <c r="T178" s="67"/>
      <c r="U178" s="67"/>
      <c r="V178" s="67"/>
      <c r="W178" s="67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67"/>
      <c r="AL178" s="67"/>
      <c r="AM178" s="67"/>
      <c r="AN178" s="67"/>
      <c r="AO178" s="70"/>
      <c r="AP178" s="70"/>
      <c r="AQ178" s="71"/>
      <c r="AR178" s="67"/>
      <c r="AS178" s="70"/>
      <c r="AT178" s="67"/>
      <c r="AU178" s="70"/>
      <c r="AV178" s="70"/>
      <c r="AW178" s="70"/>
      <c r="AX178" s="70"/>
      <c r="AY178" s="70"/>
      <c r="AZ178" s="71"/>
      <c r="BA178" s="70"/>
      <c r="BB178" s="70"/>
      <c r="BC178" s="67"/>
      <c r="BD178" s="67"/>
    </row>
    <row r="179" spans="1:56" s="47" customFormat="1" ht="15" customHeight="1" x14ac:dyDescent="0.35">
      <c r="A179" s="67"/>
      <c r="B179" s="68"/>
      <c r="C179" s="67"/>
      <c r="D179" s="73"/>
      <c r="E179" s="74"/>
      <c r="F179" s="67"/>
      <c r="G179" s="67"/>
      <c r="H179" s="67"/>
      <c r="I179" s="67"/>
      <c r="J179" s="67"/>
      <c r="K179" s="67"/>
      <c r="L179" s="67"/>
      <c r="M179" s="67"/>
      <c r="N179" s="69"/>
      <c r="O179" s="67"/>
      <c r="P179" s="67"/>
      <c r="Q179" s="67"/>
      <c r="R179" s="67"/>
      <c r="S179" s="67"/>
      <c r="T179" s="67"/>
      <c r="U179" s="67"/>
      <c r="V179" s="67"/>
      <c r="W179" s="67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67"/>
      <c r="AL179" s="67"/>
      <c r="AM179" s="67"/>
      <c r="AN179" s="67"/>
      <c r="AO179" s="70"/>
      <c r="AP179" s="70"/>
      <c r="AQ179" s="71"/>
      <c r="AR179" s="67"/>
      <c r="AS179" s="70"/>
      <c r="AT179" s="67"/>
      <c r="AU179" s="70"/>
      <c r="AV179" s="70"/>
      <c r="AW179" s="70"/>
      <c r="AX179" s="70"/>
      <c r="AY179" s="70"/>
      <c r="AZ179" s="71"/>
      <c r="BA179" s="70"/>
      <c r="BB179" s="70"/>
      <c r="BC179" s="67"/>
      <c r="BD179" s="67"/>
    </row>
    <row r="180" spans="1:56" s="47" customFormat="1" ht="15" customHeight="1" x14ac:dyDescent="0.35">
      <c r="A180" s="67"/>
      <c r="B180" s="68"/>
      <c r="C180" s="67"/>
      <c r="D180" s="73"/>
      <c r="E180" s="73"/>
      <c r="F180" s="67"/>
      <c r="G180" s="67"/>
      <c r="H180" s="67"/>
      <c r="I180" s="67"/>
      <c r="J180" s="67"/>
      <c r="K180" s="67"/>
      <c r="L180" s="67"/>
      <c r="M180" s="67"/>
      <c r="N180" s="69"/>
      <c r="O180" s="67"/>
      <c r="P180" s="67"/>
      <c r="Q180" s="67"/>
      <c r="R180" s="67"/>
      <c r="S180" s="67"/>
      <c r="T180" s="67"/>
      <c r="U180" s="67"/>
      <c r="V180" s="67"/>
      <c r="W180" s="67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67"/>
      <c r="AL180" s="67"/>
      <c r="AM180" s="67"/>
      <c r="AN180" s="67"/>
      <c r="AO180" s="70"/>
      <c r="AP180" s="70"/>
      <c r="AQ180" s="71"/>
      <c r="AR180" s="67"/>
      <c r="AS180" s="70"/>
      <c r="AT180" s="67"/>
      <c r="AU180" s="70"/>
      <c r="AV180" s="70"/>
      <c r="AW180" s="70"/>
      <c r="AX180" s="70"/>
      <c r="AY180" s="70"/>
      <c r="AZ180" s="71"/>
      <c r="BA180" s="70"/>
      <c r="BB180" s="70"/>
      <c r="BC180" s="67"/>
      <c r="BD180" s="67"/>
    </row>
    <row r="181" spans="1:56" s="47" customFormat="1" ht="15" customHeight="1" x14ac:dyDescent="0.35">
      <c r="A181" s="67"/>
      <c r="B181" s="68"/>
      <c r="C181" s="67"/>
      <c r="D181" s="73"/>
      <c r="E181" s="73"/>
      <c r="F181" s="67"/>
      <c r="G181" s="67"/>
      <c r="H181" s="67"/>
      <c r="I181" s="67"/>
      <c r="J181" s="67"/>
      <c r="K181" s="67"/>
      <c r="L181" s="67"/>
      <c r="M181" s="67"/>
      <c r="N181" s="69"/>
      <c r="O181" s="67"/>
      <c r="P181" s="67"/>
      <c r="Q181" s="67"/>
      <c r="R181" s="67"/>
      <c r="S181" s="67"/>
      <c r="T181" s="67"/>
      <c r="U181" s="67"/>
      <c r="V181" s="67"/>
      <c r="W181" s="67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67"/>
      <c r="AL181" s="67"/>
      <c r="AM181" s="67"/>
      <c r="AN181" s="67"/>
      <c r="AO181" s="70"/>
      <c r="AP181" s="70"/>
      <c r="AQ181" s="71"/>
      <c r="AR181" s="67"/>
      <c r="AS181" s="70"/>
      <c r="AT181" s="67"/>
      <c r="AU181" s="70"/>
      <c r="AV181" s="70"/>
      <c r="AW181" s="70"/>
      <c r="AX181" s="70"/>
      <c r="AY181" s="70"/>
      <c r="AZ181" s="71"/>
      <c r="BA181" s="70"/>
      <c r="BB181" s="70"/>
      <c r="BC181" s="67"/>
      <c r="BD181" s="67"/>
    </row>
    <row r="182" spans="1:56" s="47" customFormat="1" ht="15" customHeight="1" x14ac:dyDescent="0.35">
      <c r="A182" s="67"/>
      <c r="B182" s="68"/>
      <c r="C182" s="67"/>
      <c r="D182" s="73"/>
      <c r="E182" s="73"/>
      <c r="F182" s="73"/>
      <c r="G182" s="67"/>
      <c r="H182" s="67"/>
      <c r="I182" s="67"/>
      <c r="J182" s="67"/>
      <c r="K182" s="67"/>
      <c r="L182" s="67"/>
      <c r="M182" s="67"/>
      <c r="N182" s="69"/>
      <c r="O182" s="67"/>
      <c r="P182" s="67"/>
      <c r="Q182" s="67"/>
      <c r="R182" s="67"/>
      <c r="S182" s="67"/>
      <c r="T182" s="67"/>
      <c r="U182" s="67"/>
      <c r="V182" s="67"/>
      <c r="W182" s="67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67"/>
      <c r="AL182" s="67"/>
      <c r="AM182" s="67"/>
      <c r="AN182" s="67"/>
      <c r="AO182" s="70"/>
      <c r="AP182" s="70"/>
      <c r="AQ182" s="71"/>
      <c r="AR182" s="67"/>
      <c r="AS182" s="70"/>
      <c r="AT182" s="67"/>
      <c r="AU182" s="70"/>
      <c r="AV182" s="70"/>
      <c r="AW182" s="70"/>
      <c r="AX182" s="70"/>
      <c r="AY182" s="70"/>
      <c r="AZ182" s="71"/>
      <c r="BA182" s="70"/>
      <c r="BB182" s="70"/>
      <c r="BC182" s="67"/>
      <c r="BD182" s="67"/>
    </row>
    <row r="183" spans="1:56" s="47" customFormat="1" ht="15" customHeight="1" x14ac:dyDescent="0.35">
      <c r="A183" s="67"/>
      <c r="B183" s="68"/>
      <c r="C183" s="67"/>
      <c r="D183" s="73"/>
      <c r="E183" s="73"/>
      <c r="F183" s="73"/>
      <c r="G183" s="67"/>
      <c r="H183" s="67"/>
      <c r="I183" s="67"/>
      <c r="J183" s="67"/>
      <c r="K183" s="67"/>
      <c r="L183" s="67"/>
      <c r="M183" s="67"/>
      <c r="N183" s="69"/>
      <c r="O183" s="67"/>
      <c r="P183" s="67"/>
      <c r="Q183" s="67"/>
      <c r="R183" s="67"/>
      <c r="S183" s="67"/>
      <c r="T183" s="67"/>
      <c r="U183" s="67"/>
      <c r="V183" s="67"/>
      <c r="W183" s="67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67"/>
      <c r="AL183" s="67"/>
      <c r="AM183" s="67"/>
      <c r="AN183" s="67"/>
      <c r="AO183" s="70"/>
      <c r="AP183" s="70"/>
      <c r="AQ183" s="71"/>
      <c r="AR183" s="67"/>
      <c r="AS183" s="70"/>
      <c r="AT183" s="67"/>
      <c r="AU183" s="70"/>
      <c r="AV183" s="70"/>
      <c r="AW183" s="70"/>
      <c r="AX183" s="70"/>
      <c r="AY183" s="70"/>
      <c r="AZ183" s="71"/>
      <c r="BA183" s="70"/>
      <c r="BB183" s="70"/>
      <c r="BC183" s="67"/>
      <c r="BD183" s="67"/>
    </row>
    <row r="184" spans="1:56" ht="15" customHeight="1" x14ac:dyDescent="0.35">
      <c r="D184" s="73"/>
      <c r="E184" s="73"/>
      <c r="O184" s="67"/>
      <c r="P184" s="67"/>
      <c r="Q184" s="67"/>
      <c r="R184" s="67"/>
      <c r="S184" s="67"/>
      <c r="T184" s="67"/>
      <c r="U184" s="67"/>
      <c r="V184" s="67"/>
      <c r="W184" s="67"/>
    </row>
    <row r="185" spans="1:56" ht="15" customHeight="1" x14ac:dyDescent="0.35">
      <c r="D185" s="73"/>
      <c r="E185" s="73"/>
      <c r="F185" s="73"/>
      <c r="O185" s="67"/>
      <c r="P185" s="67"/>
      <c r="Q185" s="67"/>
      <c r="R185" s="67"/>
      <c r="S185" s="67"/>
      <c r="T185" s="67"/>
      <c r="U185" s="67"/>
      <c r="V185" s="67"/>
      <c r="W185" s="67"/>
    </row>
    <row r="186" spans="1:56" ht="15" customHeight="1" x14ac:dyDescent="0.35">
      <c r="D186" s="73"/>
      <c r="E186" s="73"/>
      <c r="F186" s="73"/>
      <c r="O186" s="67"/>
      <c r="P186" s="67"/>
      <c r="Q186" s="67"/>
      <c r="R186" s="67"/>
      <c r="S186" s="67"/>
      <c r="T186" s="67"/>
      <c r="U186" s="67"/>
      <c r="V186" s="67"/>
      <c r="W186" s="67"/>
    </row>
    <row r="187" spans="1:56" ht="15" customHeight="1" x14ac:dyDescent="0.35">
      <c r="D187" s="73"/>
      <c r="E187" s="73"/>
      <c r="F187" s="73"/>
      <c r="O187" s="67"/>
      <c r="P187" s="67"/>
      <c r="Q187" s="67"/>
      <c r="R187" s="67"/>
      <c r="S187" s="67"/>
      <c r="T187" s="67"/>
      <c r="U187" s="67"/>
      <c r="V187" s="67"/>
      <c r="W187" s="67"/>
    </row>
    <row r="188" spans="1:56" ht="15" customHeight="1" x14ac:dyDescent="0.35">
      <c r="A188" s="75"/>
      <c r="B188" s="76"/>
      <c r="C188" s="75"/>
      <c r="D188" s="77"/>
      <c r="F188" s="75"/>
      <c r="G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5"/>
      <c r="AL188" s="75"/>
      <c r="AM188" s="75"/>
      <c r="AN188" s="75"/>
      <c r="AO188" s="79"/>
      <c r="AP188" s="79"/>
      <c r="AQ188" s="78"/>
      <c r="AR188" s="75"/>
      <c r="AS188" s="79"/>
      <c r="AT188" s="75"/>
      <c r="AU188" s="79"/>
      <c r="AV188" s="79"/>
      <c r="AW188" s="79"/>
      <c r="AX188" s="79"/>
      <c r="AY188" s="79"/>
      <c r="AZ188" s="78"/>
      <c r="BA188" s="79"/>
      <c r="BB188" s="79"/>
      <c r="BC188" s="75"/>
      <c r="BD188" s="75"/>
    </row>
  </sheetData>
  <autoFilter ref="A1:BD184" xr:uid="{5A4BF88A-7E1C-482E-B889-48BF518675FC}">
    <sortState xmlns:xlrd2="http://schemas.microsoft.com/office/spreadsheetml/2017/richdata2" ref="A2:BD184">
      <sortCondition ref="D1:D184"/>
    </sortState>
  </autoFilter>
  <sortState xmlns:xlrd2="http://schemas.microsoft.com/office/spreadsheetml/2017/richdata2" ref="A2:M188">
    <sortCondition ref="C1:C188"/>
  </sortState>
  <phoneticPr fontId="1" type="noConversion"/>
  <conditionalFormatting sqref="E1:E1048576 G1:G1048576">
    <cfRule type="containsText" dxfId="13" priority="3" operator="containsText" text="Y">
      <formula>NOT(ISERROR(SEARCH("Y",E1)))</formula>
    </cfRule>
  </conditionalFormatting>
  <conditionalFormatting sqref="E2:E308">
    <cfRule type="containsText" dxfId="12" priority="2" operator="containsText" text="N">
      <formula>NOT(ISERROR(SEARCH("N",E2)))</formula>
    </cfRule>
  </conditionalFormatting>
  <conditionalFormatting sqref="H1:H1048576">
    <cfRule type="containsText" dxfId="11" priority="59" operator="containsText" text="C,N,S">
      <formula>NOT(ISERROR(SEARCH("C,N,S",H1)))</formula>
    </cfRule>
  </conditionalFormatting>
  <conditionalFormatting sqref="I164">
    <cfRule type="containsText" dxfId="10" priority="1" operator="containsText" text="C,N,S">
      <formula>NOT(ISERROR(SEARCH("C,N,S",I164)))</formula>
    </cfRule>
  </conditionalFormatting>
  <conditionalFormatting sqref="BD1:BD1048576">
    <cfRule type="containsText" dxfId="9" priority="51" operator="containsText" text="Y">
      <formula>NOT(ISERROR(SEARCH("Y",BD1)))</formula>
    </cfRule>
    <cfRule type="containsText" dxfId="8" priority="53" operator="containsText" text="N">
      <formula>NOT(ISERROR(SEARCH("N",BD1)))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63A5-9F71-4855-B110-A2F109B74238}">
  <dimension ref="A1:AC737"/>
  <sheetViews>
    <sheetView tabSelected="1" topLeftCell="A356" zoomScaleNormal="100" workbookViewId="0">
      <pane xSplit="1" topLeftCell="B1" activePane="topRight" state="frozen"/>
      <selection pane="topRight" activeCell="B347" sqref="B347"/>
    </sheetView>
  </sheetViews>
  <sheetFormatPr defaultRowHeight="15" customHeight="1" x14ac:dyDescent="0.35"/>
  <cols>
    <col min="1" max="1" width="25.7265625" style="2" customWidth="1"/>
    <col min="2" max="3" width="19.7265625" style="1" customWidth="1"/>
    <col min="4" max="4" width="20.7265625" style="1" customWidth="1"/>
    <col min="5" max="5" width="14.7265625" style="1" customWidth="1"/>
    <col min="6" max="6" width="16.453125" style="1" customWidth="1"/>
    <col min="7" max="7" width="9.453125" bestFit="1" customWidth="1"/>
    <col min="8" max="8" width="11.36328125" customWidth="1"/>
    <col min="11" max="11" width="6.54296875" customWidth="1"/>
    <col min="12" max="12" width="12.26953125" customWidth="1"/>
    <col min="15" max="15" width="14.54296875" customWidth="1"/>
  </cols>
  <sheetData>
    <row r="1" spans="1:29" s="7" customFormat="1" ht="14.5" x14ac:dyDescent="0.35">
      <c r="A1" s="9" t="s">
        <v>3</v>
      </c>
      <c r="B1" s="8" t="s">
        <v>0</v>
      </c>
      <c r="C1" s="8" t="s">
        <v>1</v>
      </c>
      <c r="D1" s="8" t="s">
        <v>383</v>
      </c>
      <c r="E1" s="8" t="s">
        <v>4</v>
      </c>
      <c r="F1" s="8" t="s">
        <v>113</v>
      </c>
      <c r="G1" s="7" t="s">
        <v>12</v>
      </c>
      <c r="H1" s="7" t="s">
        <v>384</v>
      </c>
      <c r="I1" s="7" t="s">
        <v>385</v>
      </c>
      <c r="J1" s="7" t="s">
        <v>386</v>
      </c>
      <c r="K1" s="7" t="s">
        <v>387</v>
      </c>
      <c r="L1" s="7" t="s">
        <v>388</v>
      </c>
      <c r="M1" s="7" t="s">
        <v>389</v>
      </c>
      <c r="N1" s="7" t="s">
        <v>390</v>
      </c>
      <c r="O1" s="7" t="s">
        <v>391</v>
      </c>
      <c r="P1" s="7" t="s">
        <v>392</v>
      </c>
      <c r="Q1" s="7" t="s">
        <v>393</v>
      </c>
      <c r="R1" s="7" t="s">
        <v>394</v>
      </c>
      <c r="S1" s="7" t="s">
        <v>395</v>
      </c>
      <c r="T1" s="7" t="s">
        <v>396</v>
      </c>
      <c r="U1" s="7" t="s">
        <v>397</v>
      </c>
      <c r="V1" s="7" t="s">
        <v>398</v>
      </c>
      <c r="W1" s="7" t="s">
        <v>399</v>
      </c>
      <c r="X1" s="7" t="s">
        <v>400</v>
      </c>
      <c r="Y1" s="7" t="s">
        <v>401</v>
      </c>
      <c r="Z1" s="7" t="s">
        <v>402</v>
      </c>
      <c r="AA1" s="7" t="s">
        <v>403</v>
      </c>
      <c r="AB1" s="7" t="s">
        <v>404</v>
      </c>
      <c r="AC1" s="7" t="s">
        <v>405</v>
      </c>
    </row>
    <row r="2" spans="1:29" ht="14.5" x14ac:dyDescent="0.35">
      <c r="A2" s="2" t="s">
        <v>406</v>
      </c>
      <c r="B2" s="1" t="s">
        <v>23</v>
      </c>
      <c r="C2" s="1">
        <v>45681</v>
      </c>
      <c r="D2" s="1" t="s">
        <v>115</v>
      </c>
      <c r="E2" s="10">
        <v>45302</v>
      </c>
      <c r="F2" s="10">
        <v>45320</v>
      </c>
      <c r="G2" s="94">
        <v>45352</v>
      </c>
      <c r="H2" t="s">
        <v>130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130</v>
      </c>
      <c r="O2" t="s">
        <v>130</v>
      </c>
      <c r="P2" t="s">
        <v>130</v>
      </c>
      <c r="Q2" t="s">
        <v>130</v>
      </c>
      <c r="R2">
        <v>166.7</v>
      </c>
      <c r="S2">
        <v>3.5</v>
      </c>
      <c r="T2" t="s">
        <v>130</v>
      </c>
      <c r="U2">
        <v>2</v>
      </c>
      <c r="V2">
        <v>3.1E-2</v>
      </c>
      <c r="Y2" t="s">
        <v>130</v>
      </c>
      <c r="AA2">
        <v>1193</v>
      </c>
      <c r="AB2">
        <v>10.4</v>
      </c>
      <c r="AC2" t="s">
        <v>130</v>
      </c>
    </row>
    <row r="3" spans="1:29" ht="14.5" x14ac:dyDescent="0.35">
      <c r="A3" s="2" t="s">
        <v>407</v>
      </c>
      <c r="B3" s="1" t="s">
        <v>23</v>
      </c>
      <c r="C3" s="1">
        <v>45985</v>
      </c>
      <c r="D3" s="1" t="s">
        <v>115</v>
      </c>
      <c r="E3" s="10">
        <v>45303</v>
      </c>
      <c r="F3" s="10"/>
      <c r="G3" s="94"/>
      <c r="H3" t="s">
        <v>130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>
        <v>116.4</v>
      </c>
      <c r="S3">
        <v>3.5</v>
      </c>
      <c r="T3" t="s">
        <v>130</v>
      </c>
      <c r="U3">
        <v>1.0529999999999999</v>
      </c>
      <c r="V3">
        <v>1.6E-2</v>
      </c>
      <c r="Y3" t="s">
        <v>130</v>
      </c>
      <c r="AA3">
        <v>770.9</v>
      </c>
      <c r="AB3">
        <v>10.4</v>
      </c>
      <c r="AC3" t="s">
        <v>130</v>
      </c>
    </row>
    <row r="4" spans="1:29" ht="14.5" x14ac:dyDescent="0.35">
      <c r="A4" s="2" t="s">
        <v>408</v>
      </c>
      <c r="B4" s="1" t="s">
        <v>23</v>
      </c>
      <c r="C4" s="1" t="s">
        <v>109</v>
      </c>
      <c r="D4" s="1" t="s">
        <v>116</v>
      </c>
      <c r="E4" s="10">
        <v>45304</v>
      </c>
      <c r="F4" s="10">
        <v>45320</v>
      </c>
      <c r="G4" s="94">
        <v>45352</v>
      </c>
      <c r="H4">
        <v>0.66800000000000004</v>
      </c>
      <c r="I4">
        <v>0.124</v>
      </c>
      <c r="J4" t="s">
        <v>409</v>
      </c>
      <c r="K4" t="s">
        <v>130</v>
      </c>
      <c r="L4">
        <v>0.36399999999999999</v>
      </c>
      <c r="M4">
        <v>1.4999999999999999E-2</v>
      </c>
      <c r="N4" t="s">
        <v>130</v>
      </c>
      <c r="O4">
        <v>0.54200000000000004</v>
      </c>
      <c r="P4">
        <v>0.19600000000000001</v>
      </c>
      <c r="Q4" t="s">
        <v>409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X4">
        <v>7.1999999999999995E-2</v>
      </c>
      <c r="Y4">
        <v>6.2E-2</v>
      </c>
      <c r="Z4" t="s">
        <v>409</v>
      </c>
      <c r="AA4" t="s">
        <v>130</v>
      </c>
      <c r="AB4" t="s">
        <v>130</v>
      </c>
      <c r="AC4" t="s">
        <v>130</v>
      </c>
    </row>
    <row r="5" spans="1:29" ht="14.5" x14ac:dyDescent="0.35">
      <c r="A5" s="2" t="s">
        <v>410</v>
      </c>
      <c r="B5" s="1" t="s">
        <v>23</v>
      </c>
      <c r="C5" s="1">
        <v>45771</v>
      </c>
      <c r="D5" s="1" t="s">
        <v>116</v>
      </c>
      <c r="E5" s="10">
        <v>45305</v>
      </c>
      <c r="F5" s="10">
        <v>45619</v>
      </c>
      <c r="G5" s="94">
        <v>45737</v>
      </c>
      <c r="H5">
        <v>2.6230000000000002</v>
      </c>
      <c r="I5">
        <v>0.124</v>
      </c>
      <c r="J5" t="s">
        <v>130</v>
      </c>
      <c r="K5">
        <v>2.278</v>
      </c>
      <c r="L5">
        <v>0.34499999999999997</v>
      </c>
      <c r="M5">
        <v>1.4999999999999999E-2</v>
      </c>
      <c r="N5" t="s">
        <v>130</v>
      </c>
      <c r="O5">
        <v>2.1080000000000001</v>
      </c>
      <c r="P5">
        <v>0.19600000000000001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X5">
        <v>0.219</v>
      </c>
      <c r="Y5">
        <v>6.2E-2</v>
      </c>
      <c r="Z5" t="s">
        <v>409</v>
      </c>
      <c r="AA5" t="s">
        <v>130</v>
      </c>
      <c r="AB5" t="s">
        <v>130</v>
      </c>
      <c r="AC5" t="s">
        <v>130</v>
      </c>
    </row>
    <row r="6" spans="1:29" ht="14.5" x14ac:dyDescent="0.35">
      <c r="A6" s="2" t="s">
        <v>411</v>
      </c>
      <c r="B6" s="1" t="s">
        <v>23</v>
      </c>
      <c r="C6" s="1">
        <v>45771</v>
      </c>
      <c r="D6" s="1" t="s">
        <v>115</v>
      </c>
      <c r="E6" s="10">
        <v>45306</v>
      </c>
      <c r="F6" s="10">
        <v>45619</v>
      </c>
      <c r="G6" s="94">
        <v>45737</v>
      </c>
      <c r="H6" t="s">
        <v>130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130</v>
      </c>
      <c r="O6" t="s">
        <v>130</v>
      </c>
      <c r="P6" t="s">
        <v>130</v>
      </c>
      <c r="Q6" t="s">
        <v>130</v>
      </c>
      <c r="R6">
        <v>148.80000000000001</v>
      </c>
      <c r="S6">
        <v>3.5</v>
      </c>
      <c r="T6" t="s">
        <v>130</v>
      </c>
      <c r="U6">
        <v>2.41</v>
      </c>
      <c r="V6">
        <v>0.21199999999999999</v>
      </c>
      <c r="Y6" t="s">
        <v>130</v>
      </c>
      <c r="AA6">
        <v>1632</v>
      </c>
      <c r="AB6">
        <v>10.4</v>
      </c>
      <c r="AC6" t="s">
        <v>130</v>
      </c>
    </row>
    <row r="7" spans="1:29" ht="14.5" x14ac:dyDescent="0.35">
      <c r="A7" s="2" t="s">
        <v>411</v>
      </c>
      <c r="B7" s="1" t="s">
        <v>23</v>
      </c>
      <c r="C7" s="1">
        <v>45771</v>
      </c>
      <c r="D7" s="1" t="s">
        <v>115</v>
      </c>
      <c r="E7" s="10">
        <v>45307</v>
      </c>
      <c r="F7" s="10"/>
      <c r="G7" s="94"/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130</v>
      </c>
      <c r="P7" t="s">
        <v>130</v>
      </c>
      <c r="Q7" t="s">
        <v>130</v>
      </c>
      <c r="R7">
        <v>148.80000000000001</v>
      </c>
      <c r="S7">
        <v>3.5</v>
      </c>
      <c r="T7" t="s">
        <v>130</v>
      </c>
      <c r="U7">
        <v>2.41</v>
      </c>
      <c r="V7">
        <v>0.21199999999999999</v>
      </c>
      <c r="Y7" t="s">
        <v>130</v>
      </c>
      <c r="AA7">
        <v>1632</v>
      </c>
      <c r="AB7">
        <v>10.4</v>
      </c>
      <c r="AC7" t="s">
        <v>130</v>
      </c>
    </row>
    <row r="8" spans="1:29" ht="14.5" x14ac:dyDescent="0.35">
      <c r="A8" s="2" t="s">
        <v>412</v>
      </c>
      <c r="B8" s="1" t="s">
        <v>23</v>
      </c>
      <c r="C8" s="1">
        <v>45893</v>
      </c>
      <c r="D8" s="1" t="s">
        <v>115</v>
      </c>
      <c r="E8" s="10">
        <v>45308</v>
      </c>
      <c r="F8" s="10"/>
      <c r="G8" s="94"/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>
        <v>183.3</v>
      </c>
      <c r="S8">
        <v>3.5</v>
      </c>
      <c r="T8" t="s">
        <v>130</v>
      </c>
      <c r="U8">
        <v>4.0869999999999997</v>
      </c>
      <c r="V8">
        <v>0.21199999999999999</v>
      </c>
      <c r="Y8" t="s">
        <v>130</v>
      </c>
      <c r="AA8">
        <v>1889</v>
      </c>
      <c r="AB8">
        <v>10.4</v>
      </c>
      <c r="AC8" t="s">
        <v>130</v>
      </c>
    </row>
    <row r="9" spans="1:29" ht="14.5" x14ac:dyDescent="0.35">
      <c r="A9" s="2" t="s">
        <v>413</v>
      </c>
      <c r="B9" s="1" t="s">
        <v>24</v>
      </c>
      <c r="C9" s="1">
        <v>45681</v>
      </c>
      <c r="D9" s="1" t="s">
        <v>115</v>
      </c>
      <c r="E9" s="10">
        <v>45309</v>
      </c>
      <c r="F9" s="10">
        <v>45320</v>
      </c>
      <c r="G9" s="94">
        <v>45352</v>
      </c>
      <c r="H9" t="s">
        <v>130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>
        <v>117.6</v>
      </c>
      <c r="S9">
        <v>3.5</v>
      </c>
      <c r="T9" t="s">
        <v>130</v>
      </c>
      <c r="U9">
        <v>1.774</v>
      </c>
      <c r="V9">
        <v>3.1E-2</v>
      </c>
      <c r="Y9" t="s">
        <v>130</v>
      </c>
      <c r="AA9">
        <v>1788</v>
      </c>
      <c r="AB9">
        <v>10.4</v>
      </c>
      <c r="AC9" t="s">
        <v>130</v>
      </c>
    </row>
    <row r="10" spans="1:29" ht="14.5" x14ac:dyDescent="0.35">
      <c r="A10" s="2" t="s">
        <v>414</v>
      </c>
      <c r="B10" s="1" t="s">
        <v>24</v>
      </c>
      <c r="C10" s="1">
        <v>45771</v>
      </c>
      <c r="D10" s="1" t="s">
        <v>116</v>
      </c>
      <c r="E10" s="10">
        <v>45310</v>
      </c>
      <c r="F10" s="10">
        <v>45619</v>
      </c>
      <c r="G10" s="94">
        <v>45737</v>
      </c>
      <c r="H10">
        <v>1.5669999999999999</v>
      </c>
      <c r="I10">
        <v>0.124</v>
      </c>
      <c r="J10" t="s">
        <v>130</v>
      </c>
      <c r="K10">
        <v>1.2390000000000001</v>
      </c>
      <c r="L10">
        <v>0.32800000000000001</v>
      </c>
      <c r="M10">
        <v>1.4999999999999999E-2</v>
      </c>
      <c r="N10" t="s">
        <v>130</v>
      </c>
      <c r="O10">
        <v>0.443</v>
      </c>
      <c r="P10">
        <v>0.19600000000000001</v>
      </c>
      <c r="Q10" t="s">
        <v>409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X10">
        <v>0.23899999999999999</v>
      </c>
      <c r="Y10">
        <v>6.2E-2</v>
      </c>
      <c r="Z10" t="s">
        <v>409</v>
      </c>
      <c r="AA10" t="s">
        <v>130</v>
      </c>
      <c r="AB10" t="s">
        <v>130</v>
      </c>
      <c r="AC10" t="s">
        <v>130</v>
      </c>
    </row>
    <row r="11" spans="1:29" ht="14.5" x14ac:dyDescent="0.35">
      <c r="A11" s="2" t="s">
        <v>415</v>
      </c>
      <c r="B11" s="1" t="s">
        <v>24</v>
      </c>
      <c r="C11" s="1">
        <v>45771</v>
      </c>
      <c r="D11" s="1" t="s">
        <v>115</v>
      </c>
      <c r="E11" s="10">
        <v>45311</v>
      </c>
      <c r="F11" s="10"/>
      <c r="G11" s="94"/>
      <c r="H11" t="s">
        <v>130</v>
      </c>
      <c r="I11" t="s">
        <v>130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>
        <v>139.30000000000001</v>
      </c>
      <c r="S11">
        <v>3.5</v>
      </c>
      <c r="T11" t="s">
        <v>130</v>
      </c>
      <c r="U11">
        <v>2.7959999999999998</v>
      </c>
      <c r="V11">
        <v>0.21199999999999999</v>
      </c>
      <c r="Y11" t="s">
        <v>130</v>
      </c>
      <c r="AA11">
        <v>1429</v>
      </c>
      <c r="AB11">
        <v>10.4</v>
      </c>
      <c r="AC11" t="s">
        <v>130</v>
      </c>
    </row>
    <row r="12" spans="1:29" ht="14.5" x14ac:dyDescent="0.35">
      <c r="A12" s="2" t="s">
        <v>415</v>
      </c>
      <c r="B12" s="1" t="s">
        <v>24</v>
      </c>
      <c r="C12" s="1">
        <v>45771</v>
      </c>
      <c r="D12" s="1" t="s">
        <v>115</v>
      </c>
      <c r="E12" s="10">
        <v>45312</v>
      </c>
      <c r="F12" s="10">
        <v>45619</v>
      </c>
      <c r="G12" s="94">
        <v>45737</v>
      </c>
      <c r="H12" t="s">
        <v>130</v>
      </c>
      <c r="I12" t="s">
        <v>130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130</v>
      </c>
      <c r="P12" t="s">
        <v>130</v>
      </c>
      <c r="Q12" t="s">
        <v>130</v>
      </c>
      <c r="R12">
        <v>139.30000000000001</v>
      </c>
      <c r="S12">
        <v>3.5</v>
      </c>
      <c r="T12" t="s">
        <v>130</v>
      </c>
      <c r="U12">
        <v>2.7959999999999998</v>
      </c>
      <c r="V12">
        <v>0.21199999999999999</v>
      </c>
      <c r="Y12" t="s">
        <v>130</v>
      </c>
      <c r="AA12">
        <v>1429</v>
      </c>
      <c r="AB12">
        <v>10.4</v>
      </c>
      <c r="AC12" t="s">
        <v>130</v>
      </c>
    </row>
    <row r="13" spans="1:29" ht="14.5" x14ac:dyDescent="0.35">
      <c r="A13" s="2" t="s">
        <v>416</v>
      </c>
      <c r="B13" s="1" t="s">
        <v>24</v>
      </c>
      <c r="C13" s="1">
        <v>45893</v>
      </c>
      <c r="D13" s="1" t="s">
        <v>115</v>
      </c>
      <c r="E13" s="10">
        <v>45313</v>
      </c>
      <c r="F13" s="10"/>
      <c r="G13" s="94"/>
      <c r="H13" t="s">
        <v>130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130</v>
      </c>
      <c r="P13" t="s">
        <v>130</v>
      </c>
      <c r="Q13" t="s">
        <v>130</v>
      </c>
      <c r="R13">
        <v>130</v>
      </c>
      <c r="S13">
        <v>3.5</v>
      </c>
      <c r="T13" t="s">
        <v>130</v>
      </c>
      <c r="U13">
        <v>1.2709999999999999</v>
      </c>
      <c r="V13">
        <v>1.6E-2</v>
      </c>
      <c r="Y13" t="s">
        <v>130</v>
      </c>
      <c r="AA13">
        <v>1013</v>
      </c>
      <c r="AB13">
        <v>10.4</v>
      </c>
      <c r="AC13" t="s">
        <v>130</v>
      </c>
    </row>
    <row r="14" spans="1:29" ht="14.5" x14ac:dyDescent="0.35">
      <c r="A14" s="2" t="s">
        <v>417</v>
      </c>
      <c r="B14" s="1" t="s">
        <v>25</v>
      </c>
      <c r="C14" s="1">
        <v>45681</v>
      </c>
      <c r="D14" s="1" t="s">
        <v>115</v>
      </c>
      <c r="E14" s="10">
        <v>45314</v>
      </c>
      <c r="F14" s="10">
        <v>45320</v>
      </c>
      <c r="G14" s="94">
        <v>45352</v>
      </c>
      <c r="H14" t="s">
        <v>130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130</v>
      </c>
      <c r="P14" t="s">
        <v>130</v>
      </c>
      <c r="Q14" t="s">
        <v>130</v>
      </c>
      <c r="R14">
        <v>108.6</v>
      </c>
      <c r="S14">
        <v>3.5</v>
      </c>
      <c r="T14" t="s">
        <v>130</v>
      </c>
      <c r="U14">
        <v>1.9159999999999999</v>
      </c>
      <c r="V14">
        <v>3.1E-2</v>
      </c>
      <c r="Y14" t="s">
        <v>130</v>
      </c>
      <c r="AA14">
        <v>1916</v>
      </c>
      <c r="AB14">
        <v>10.4</v>
      </c>
      <c r="AC14" t="s">
        <v>130</v>
      </c>
    </row>
    <row r="15" spans="1:29" ht="14.5" x14ac:dyDescent="0.35">
      <c r="A15" s="2" t="s">
        <v>418</v>
      </c>
      <c r="B15" s="1" t="s">
        <v>25</v>
      </c>
      <c r="C15" s="1">
        <v>45771</v>
      </c>
      <c r="D15" s="1" t="s">
        <v>116</v>
      </c>
      <c r="E15" s="10">
        <v>45315</v>
      </c>
      <c r="F15" s="10">
        <v>45619</v>
      </c>
      <c r="G15" s="94">
        <v>45737</v>
      </c>
      <c r="H15">
        <v>0.96399999999999997</v>
      </c>
      <c r="I15">
        <v>0.124</v>
      </c>
      <c r="J15" t="s">
        <v>130</v>
      </c>
      <c r="K15">
        <v>0.375</v>
      </c>
      <c r="L15">
        <v>0.58899999999999997</v>
      </c>
      <c r="M15">
        <v>1.4999999999999999E-2</v>
      </c>
      <c r="N15" t="s">
        <v>130</v>
      </c>
      <c r="O15">
        <v>1.639</v>
      </c>
      <c r="P15">
        <v>0.19600000000000001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X15">
        <v>0.64500000000000002</v>
      </c>
      <c r="Y15">
        <v>6.2E-2</v>
      </c>
      <c r="AA15" t="s">
        <v>130</v>
      </c>
      <c r="AB15" t="s">
        <v>130</v>
      </c>
      <c r="AC15" t="s">
        <v>130</v>
      </c>
    </row>
    <row r="16" spans="1:29" ht="14.5" x14ac:dyDescent="0.35">
      <c r="A16" s="2" t="s">
        <v>419</v>
      </c>
      <c r="B16" s="1" t="s">
        <v>25</v>
      </c>
      <c r="C16" s="1">
        <v>45771</v>
      </c>
      <c r="D16" s="1" t="s">
        <v>115</v>
      </c>
      <c r="E16" s="10">
        <v>45316</v>
      </c>
      <c r="F16" s="10">
        <v>45619</v>
      </c>
      <c r="G16" s="94">
        <v>45737</v>
      </c>
      <c r="H16" t="s">
        <v>130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130</v>
      </c>
      <c r="P16" t="s">
        <v>130</v>
      </c>
      <c r="Q16" t="s">
        <v>130</v>
      </c>
      <c r="R16">
        <v>95.5</v>
      </c>
      <c r="S16">
        <v>3.5</v>
      </c>
      <c r="T16" t="s">
        <v>130</v>
      </c>
      <c r="U16">
        <v>3.1960000000000002</v>
      </c>
      <c r="V16">
        <v>0.21199999999999999</v>
      </c>
      <c r="Y16" t="s">
        <v>130</v>
      </c>
      <c r="AA16">
        <v>914.2</v>
      </c>
      <c r="AB16">
        <v>10.4</v>
      </c>
      <c r="AC16" t="s">
        <v>130</v>
      </c>
    </row>
    <row r="17" spans="1:29" ht="14.5" x14ac:dyDescent="0.35">
      <c r="A17" s="2" t="s">
        <v>419</v>
      </c>
      <c r="B17" s="1" t="s">
        <v>25</v>
      </c>
      <c r="C17" s="1">
        <v>45771</v>
      </c>
      <c r="D17" s="1" t="s">
        <v>115</v>
      </c>
      <c r="E17" s="10">
        <v>45317</v>
      </c>
      <c r="F17" s="10"/>
      <c r="G17" s="94"/>
      <c r="H17" t="s">
        <v>130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130</v>
      </c>
      <c r="P17" t="s">
        <v>130</v>
      </c>
      <c r="Q17" t="s">
        <v>130</v>
      </c>
      <c r="R17">
        <v>95.5</v>
      </c>
      <c r="S17">
        <v>3.5</v>
      </c>
      <c r="T17" t="s">
        <v>130</v>
      </c>
      <c r="U17">
        <v>3.1960000000000002</v>
      </c>
      <c r="V17">
        <v>0.21199999999999999</v>
      </c>
      <c r="Y17" t="s">
        <v>130</v>
      </c>
      <c r="AA17">
        <v>914.2</v>
      </c>
      <c r="AB17">
        <v>10.4</v>
      </c>
      <c r="AC17" t="s">
        <v>130</v>
      </c>
    </row>
    <row r="18" spans="1:29" ht="14.5" x14ac:dyDescent="0.35">
      <c r="A18" s="2" t="s">
        <v>420</v>
      </c>
      <c r="B18" s="1" t="s">
        <v>25</v>
      </c>
      <c r="C18" s="1">
        <v>45893</v>
      </c>
      <c r="D18" s="1" t="s">
        <v>116</v>
      </c>
      <c r="E18" s="10">
        <v>45318</v>
      </c>
      <c r="F18" s="10"/>
      <c r="G18" s="94"/>
      <c r="H18">
        <v>0.55800000000000005</v>
      </c>
      <c r="I18">
        <v>0.124</v>
      </c>
      <c r="J18" t="s">
        <v>409</v>
      </c>
      <c r="K18" t="s">
        <v>130</v>
      </c>
      <c r="L18">
        <v>2.8000000000000001E-2</v>
      </c>
      <c r="M18">
        <v>1.4999999999999999E-2</v>
      </c>
      <c r="N18" t="s">
        <v>409</v>
      </c>
      <c r="O18">
        <v>2.4249999999999998</v>
      </c>
      <c r="P18">
        <v>0.19600000000000001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X18">
        <v>3.7999999999999999E-2</v>
      </c>
      <c r="Y18">
        <v>6.2E-2</v>
      </c>
      <c r="Z18" t="s">
        <v>421</v>
      </c>
      <c r="AA18" t="s">
        <v>130</v>
      </c>
      <c r="AB18" t="s">
        <v>130</v>
      </c>
      <c r="AC18" t="s">
        <v>130</v>
      </c>
    </row>
    <row r="19" spans="1:29" ht="14.5" x14ac:dyDescent="0.35">
      <c r="A19" s="2" t="s">
        <v>422</v>
      </c>
      <c r="B19" s="1" t="s">
        <v>25</v>
      </c>
      <c r="C19" s="1">
        <v>45893</v>
      </c>
      <c r="D19" s="1" t="s">
        <v>115</v>
      </c>
      <c r="E19" s="10">
        <v>45319</v>
      </c>
      <c r="F19" s="10"/>
      <c r="G19" s="94"/>
      <c r="H19" t="s">
        <v>130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130</v>
      </c>
      <c r="P19" t="s">
        <v>130</v>
      </c>
      <c r="Q19" t="s">
        <v>130</v>
      </c>
      <c r="R19">
        <v>79</v>
      </c>
      <c r="S19">
        <v>3.5</v>
      </c>
      <c r="T19" t="s">
        <v>130</v>
      </c>
      <c r="U19">
        <v>0.75700000000000001</v>
      </c>
      <c r="V19">
        <v>1.6E-2</v>
      </c>
      <c r="Y19" t="s">
        <v>130</v>
      </c>
      <c r="AA19">
        <v>763.1</v>
      </c>
      <c r="AB19">
        <v>10.4</v>
      </c>
      <c r="AC19" t="s">
        <v>130</v>
      </c>
    </row>
    <row r="20" spans="1:29" ht="14.5" x14ac:dyDescent="0.35">
      <c r="A20" s="2" t="s">
        <v>423</v>
      </c>
      <c r="B20" s="1" t="s">
        <v>26</v>
      </c>
      <c r="C20" s="1">
        <v>45681</v>
      </c>
      <c r="D20" s="1" t="s">
        <v>115</v>
      </c>
      <c r="E20" s="10">
        <v>45320</v>
      </c>
      <c r="F20" s="10">
        <v>45320</v>
      </c>
      <c r="G20" s="94">
        <v>45352</v>
      </c>
      <c r="H20" t="s">
        <v>130</v>
      </c>
      <c r="I20" t="s">
        <v>130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130</v>
      </c>
      <c r="P20" t="s">
        <v>130</v>
      </c>
      <c r="Q20" t="s">
        <v>130</v>
      </c>
      <c r="R20">
        <v>100</v>
      </c>
      <c r="S20">
        <v>3.5</v>
      </c>
      <c r="T20" t="s">
        <v>130</v>
      </c>
      <c r="U20">
        <v>1.964</v>
      </c>
      <c r="V20">
        <v>3.1E-2</v>
      </c>
      <c r="Y20" t="s">
        <v>130</v>
      </c>
      <c r="AA20">
        <v>1729</v>
      </c>
      <c r="AB20">
        <v>10.4</v>
      </c>
      <c r="AC20" t="s">
        <v>130</v>
      </c>
    </row>
    <row r="21" spans="1:29" ht="14.5" x14ac:dyDescent="0.35">
      <c r="A21" s="2" t="s">
        <v>424</v>
      </c>
      <c r="B21" s="1" t="s">
        <v>26</v>
      </c>
      <c r="C21" s="1">
        <v>45771</v>
      </c>
      <c r="D21" s="1" t="s">
        <v>116</v>
      </c>
      <c r="E21" s="10">
        <v>45321</v>
      </c>
      <c r="F21" s="10">
        <v>45619</v>
      </c>
      <c r="G21" s="94">
        <v>45737</v>
      </c>
      <c r="H21">
        <v>1.49</v>
      </c>
      <c r="I21">
        <v>0.124</v>
      </c>
      <c r="J21" t="s">
        <v>130</v>
      </c>
      <c r="K21">
        <v>1.155</v>
      </c>
      <c r="L21">
        <v>0.33500000000000002</v>
      </c>
      <c r="M21">
        <v>1.4999999999999999E-2</v>
      </c>
      <c r="N21" t="s">
        <v>130</v>
      </c>
      <c r="O21">
        <v>1.1890000000000001</v>
      </c>
      <c r="P21">
        <v>0.19600000000000001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X21">
        <v>0.20899999999999999</v>
      </c>
      <c r="Y21">
        <v>6.2E-2</v>
      </c>
      <c r="Z21" t="s">
        <v>409</v>
      </c>
      <c r="AA21" t="s">
        <v>130</v>
      </c>
      <c r="AB21" t="s">
        <v>130</v>
      </c>
      <c r="AC21" t="s">
        <v>130</v>
      </c>
    </row>
    <row r="22" spans="1:29" ht="14.5" x14ac:dyDescent="0.35">
      <c r="A22" s="2" t="s">
        <v>425</v>
      </c>
      <c r="B22" s="1" t="s">
        <v>26</v>
      </c>
      <c r="C22" s="1">
        <v>45771</v>
      </c>
      <c r="D22" s="1" t="s">
        <v>115</v>
      </c>
      <c r="E22" s="10">
        <v>45322</v>
      </c>
      <c r="F22" s="10">
        <v>45619</v>
      </c>
      <c r="G22" s="94">
        <v>45737</v>
      </c>
      <c r="H22" t="s">
        <v>130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N22" t="s">
        <v>130</v>
      </c>
      <c r="O22" t="s">
        <v>130</v>
      </c>
      <c r="P22" t="s">
        <v>130</v>
      </c>
      <c r="Q22" t="s">
        <v>130</v>
      </c>
      <c r="R22">
        <v>197.1</v>
      </c>
      <c r="S22">
        <v>3.5</v>
      </c>
      <c r="T22" t="s">
        <v>130</v>
      </c>
      <c r="U22">
        <v>5.758</v>
      </c>
      <c r="V22">
        <v>0.21199999999999999</v>
      </c>
      <c r="Y22" t="s">
        <v>130</v>
      </c>
      <c r="AA22">
        <v>1386</v>
      </c>
      <c r="AB22">
        <v>10.4</v>
      </c>
      <c r="AC22" t="s">
        <v>130</v>
      </c>
    </row>
    <row r="23" spans="1:29" ht="14.5" x14ac:dyDescent="0.35">
      <c r="A23" s="2" t="s">
        <v>425</v>
      </c>
      <c r="B23" s="1" t="s">
        <v>26</v>
      </c>
      <c r="C23" s="1">
        <v>45771</v>
      </c>
      <c r="D23" s="1" t="s">
        <v>115</v>
      </c>
      <c r="E23" s="10">
        <v>45323</v>
      </c>
      <c r="F23" s="10"/>
      <c r="G23" s="94"/>
      <c r="H23" t="s">
        <v>130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>
        <v>197.1</v>
      </c>
      <c r="S23">
        <v>3.5</v>
      </c>
      <c r="T23" t="s">
        <v>130</v>
      </c>
      <c r="U23">
        <v>5.758</v>
      </c>
      <c r="V23">
        <v>0.21199999999999999</v>
      </c>
      <c r="Y23" t="s">
        <v>130</v>
      </c>
      <c r="AA23">
        <v>1386</v>
      </c>
      <c r="AB23">
        <v>10.4</v>
      </c>
      <c r="AC23" t="s">
        <v>130</v>
      </c>
    </row>
    <row r="24" spans="1:29" ht="14.5" x14ac:dyDescent="0.35">
      <c r="A24" s="2" t="s">
        <v>426</v>
      </c>
      <c r="B24" s="1" t="s">
        <v>26</v>
      </c>
      <c r="C24" s="1">
        <v>45893</v>
      </c>
      <c r="D24" s="1" t="s">
        <v>115</v>
      </c>
      <c r="E24" s="10">
        <v>45324</v>
      </c>
      <c r="F24" s="10"/>
      <c r="G24" s="94"/>
      <c r="H24" t="s">
        <v>130</v>
      </c>
      <c r="I24" t="s">
        <v>130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130</v>
      </c>
      <c r="P24" t="s">
        <v>130</v>
      </c>
      <c r="Q24" t="s">
        <v>130</v>
      </c>
      <c r="R24">
        <v>41.9</v>
      </c>
      <c r="S24">
        <v>3.5</v>
      </c>
      <c r="T24" t="s">
        <v>130</v>
      </c>
      <c r="U24">
        <v>1.075</v>
      </c>
      <c r="V24">
        <v>1.4999999999999999E-2</v>
      </c>
      <c r="Y24" t="s">
        <v>130</v>
      </c>
      <c r="AA24">
        <v>637.29999999999995</v>
      </c>
      <c r="AB24">
        <v>10.4</v>
      </c>
      <c r="AC24" t="s">
        <v>130</v>
      </c>
    </row>
    <row r="25" spans="1:29" ht="14.5" x14ac:dyDescent="0.35">
      <c r="A25" s="2" t="s">
        <v>427</v>
      </c>
      <c r="B25" s="1" t="s">
        <v>27</v>
      </c>
      <c r="C25" s="1">
        <v>45681</v>
      </c>
      <c r="D25" s="1" t="s">
        <v>115</v>
      </c>
      <c r="E25" s="10">
        <v>45325</v>
      </c>
      <c r="F25" s="10">
        <v>45320</v>
      </c>
      <c r="G25" s="94">
        <v>45352</v>
      </c>
      <c r="H25" t="s">
        <v>130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>
        <v>129.80000000000001</v>
      </c>
      <c r="S25">
        <v>3.5</v>
      </c>
      <c r="T25" t="s">
        <v>130</v>
      </c>
      <c r="U25">
        <v>2.2669999999999999</v>
      </c>
      <c r="V25">
        <v>9.9000000000000005E-2</v>
      </c>
      <c r="Y25" t="s">
        <v>130</v>
      </c>
      <c r="AA25">
        <v>2022</v>
      </c>
      <c r="AB25">
        <v>10.4</v>
      </c>
      <c r="AC25" t="s">
        <v>130</v>
      </c>
    </row>
    <row r="26" spans="1:29" ht="14.5" x14ac:dyDescent="0.35">
      <c r="A26" s="2" t="s">
        <v>428</v>
      </c>
      <c r="B26" s="1" t="s">
        <v>27</v>
      </c>
      <c r="C26" s="1">
        <v>45771</v>
      </c>
      <c r="D26" s="1" t="s">
        <v>116</v>
      </c>
      <c r="E26" s="10">
        <v>45326</v>
      </c>
      <c r="F26" s="10">
        <v>45619</v>
      </c>
      <c r="G26" s="94">
        <v>45737</v>
      </c>
      <c r="H26">
        <v>1.1100000000000001</v>
      </c>
      <c r="I26">
        <v>0.124</v>
      </c>
      <c r="J26" t="s">
        <v>130</v>
      </c>
      <c r="K26">
        <v>0.84099999999999997</v>
      </c>
      <c r="L26">
        <v>0.26900000000000002</v>
      </c>
      <c r="M26">
        <v>1.4999999999999999E-2</v>
      </c>
      <c r="N26" t="s">
        <v>130</v>
      </c>
      <c r="O26">
        <v>1.35</v>
      </c>
      <c r="P26">
        <v>0.19600000000000001</v>
      </c>
      <c r="Q26" t="s">
        <v>130</v>
      </c>
      <c r="R26" t="s">
        <v>130</v>
      </c>
      <c r="S26" t="s">
        <v>130</v>
      </c>
      <c r="T26" t="s">
        <v>130</v>
      </c>
      <c r="U26" t="s">
        <v>130</v>
      </c>
      <c r="V26" t="s">
        <v>130</v>
      </c>
      <c r="X26">
        <v>0.113</v>
      </c>
      <c r="Y26">
        <v>6.2E-2</v>
      </c>
      <c r="Z26" t="s">
        <v>409</v>
      </c>
      <c r="AA26" t="s">
        <v>130</v>
      </c>
      <c r="AB26" t="s">
        <v>130</v>
      </c>
      <c r="AC26" t="s">
        <v>130</v>
      </c>
    </row>
    <row r="27" spans="1:29" ht="14.5" x14ac:dyDescent="0.35">
      <c r="A27" s="2" t="s">
        <v>429</v>
      </c>
      <c r="B27" s="1" t="s">
        <v>27</v>
      </c>
      <c r="C27" s="1">
        <v>45771</v>
      </c>
      <c r="D27" s="1" t="s">
        <v>115</v>
      </c>
      <c r="E27" s="10">
        <v>45327</v>
      </c>
      <c r="F27" s="10"/>
      <c r="G27" s="94"/>
      <c r="H27" t="s">
        <v>130</v>
      </c>
      <c r="I27" t="s">
        <v>130</v>
      </c>
      <c r="J27" t="s">
        <v>130</v>
      </c>
      <c r="K27" t="s">
        <v>130</v>
      </c>
      <c r="L27" t="s">
        <v>130</v>
      </c>
      <c r="M27" t="s">
        <v>130</v>
      </c>
      <c r="N27" t="s">
        <v>130</v>
      </c>
      <c r="O27" t="s">
        <v>130</v>
      </c>
      <c r="P27" t="s">
        <v>130</v>
      </c>
      <c r="Q27" t="s">
        <v>130</v>
      </c>
      <c r="R27">
        <v>146.4</v>
      </c>
      <c r="S27">
        <v>3.5</v>
      </c>
      <c r="T27" t="s">
        <v>130</v>
      </c>
      <c r="U27">
        <v>3.698</v>
      </c>
      <c r="V27">
        <v>0.21199999999999999</v>
      </c>
      <c r="Y27" t="s">
        <v>130</v>
      </c>
      <c r="AA27">
        <v>1097</v>
      </c>
      <c r="AB27">
        <v>10.4</v>
      </c>
      <c r="AC27" t="s">
        <v>130</v>
      </c>
    </row>
    <row r="28" spans="1:29" ht="14.5" x14ac:dyDescent="0.35">
      <c r="A28" s="2" t="s">
        <v>429</v>
      </c>
      <c r="B28" s="1" t="s">
        <v>27</v>
      </c>
      <c r="C28" s="1">
        <v>45771</v>
      </c>
      <c r="D28" s="1" t="s">
        <v>115</v>
      </c>
      <c r="E28" s="10">
        <v>45328</v>
      </c>
      <c r="F28" s="10">
        <v>45619</v>
      </c>
      <c r="G28" s="94">
        <v>45737</v>
      </c>
      <c r="H28" t="s">
        <v>130</v>
      </c>
      <c r="I28" t="s">
        <v>130</v>
      </c>
      <c r="J28" t="s">
        <v>130</v>
      </c>
      <c r="K28" t="s">
        <v>130</v>
      </c>
      <c r="L28" t="s">
        <v>130</v>
      </c>
      <c r="M28" t="s">
        <v>130</v>
      </c>
      <c r="N28" t="s">
        <v>130</v>
      </c>
      <c r="O28" t="s">
        <v>130</v>
      </c>
      <c r="P28" t="s">
        <v>130</v>
      </c>
      <c r="Q28" t="s">
        <v>130</v>
      </c>
      <c r="R28">
        <v>146.4</v>
      </c>
      <c r="S28">
        <v>3.5</v>
      </c>
      <c r="T28" t="s">
        <v>130</v>
      </c>
      <c r="U28">
        <v>3.698</v>
      </c>
      <c r="V28">
        <v>0.21199999999999999</v>
      </c>
      <c r="Y28" t="s">
        <v>130</v>
      </c>
      <c r="AA28">
        <v>1097</v>
      </c>
      <c r="AB28">
        <v>10.4</v>
      </c>
      <c r="AC28" t="s">
        <v>130</v>
      </c>
    </row>
    <row r="29" spans="1:29" ht="14.5" x14ac:dyDescent="0.35">
      <c r="A29" s="2" t="s">
        <v>430</v>
      </c>
      <c r="B29" s="1" t="s">
        <v>27</v>
      </c>
      <c r="C29" s="1">
        <v>45893</v>
      </c>
      <c r="D29" s="1" t="s">
        <v>115</v>
      </c>
      <c r="E29" s="10">
        <v>45329</v>
      </c>
      <c r="F29" s="10"/>
      <c r="G29" s="94"/>
      <c r="H29" t="s">
        <v>130</v>
      </c>
      <c r="I29" t="s">
        <v>130</v>
      </c>
      <c r="J29" t="s">
        <v>130</v>
      </c>
      <c r="K29" t="s">
        <v>130</v>
      </c>
      <c r="L29" t="s">
        <v>130</v>
      </c>
      <c r="M29" t="s">
        <v>130</v>
      </c>
      <c r="N29" t="s">
        <v>130</v>
      </c>
      <c r="O29" t="s">
        <v>130</v>
      </c>
      <c r="P29" t="s">
        <v>130</v>
      </c>
      <c r="Q29" t="s">
        <v>130</v>
      </c>
      <c r="R29">
        <v>129</v>
      </c>
      <c r="S29">
        <v>3.5</v>
      </c>
      <c r="T29" t="s">
        <v>130</v>
      </c>
      <c r="U29">
        <v>1.96</v>
      </c>
      <c r="V29">
        <v>1.4999999999999999E-2</v>
      </c>
      <c r="Y29" t="s">
        <v>130</v>
      </c>
      <c r="AA29">
        <v>1158</v>
      </c>
      <c r="AB29">
        <v>10.4</v>
      </c>
      <c r="AC29" t="s">
        <v>130</v>
      </c>
    </row>
    <row r="30" spans="1:29" ht="14.5" x14ac:dyDescent="0.35">
      <c r="A30" s="2" t="s">
        <v>431</v>
      </c>
      <c r="B30" s="1" t="s">
        <v>55</v>
      </c>
      <c r="C30" s="1">
        <v>45681</v>
      </c>
      <c r="D30" s="1" t="s">
        <v>115</v>
      </c>
      <c r="E30" s="10">
        <v>45330</v>
      </c>
      <c r="F30" s="10">
        <v>45320</v>
      </c>
      <c r="G30" s="94">
        <v>45352</v>
      </c>
      <c r="H30" t="s">
        <v>130</v>
      </c>
      <c r="I30" t="s">
        <v>130</v>
      </c>
      <c r="J30" t="s">
        <v>130</v>
      </c>
      <c r="K30" t="s">
        <v>130</v>
      </c>
      <c r="L30" t="s">
        <v>130</v>
      </c>
      <c r="M30" t="s">
        <v>130</v>
      </c>
      <c r="N30" t="s">
        <v>130</v>
      </c>
      <c r="O30" t="s">
        <v>130</v>
      </c>
      <c r="P30" t="s">
        <v>130</v>
      </c>
      <c r="Q30" t="s">
        <v>130</v>
      </c>
      <c r="R30">
        <v>21</v>
      </c>
      <c r="S30">
        <v>3.5</v>
      </c>
      <c r="T30" t="s">
        <v>130</v>
      </c>
      <c r="U30">
        <v>0.50700000000000001</v>
      </c>
      <c r="V30">
        <v>2.8000000000000001E-2</v>
      </c>
      <c r="Y30" t="s">
        <v>130</v>
      </c>
      <c r="AA30">
        <v>325.7</v>
      </c>
      <c r="AB30">
        <v>10.4</v>
      </c>
      <c r="AC30" t="s">
        <v>130</v>
      </c>
    </row>
    <row r="31" spans="1:29" ht="14.5" x14ac:dyDescent="0.35">
      <c r="A31" s="2" t="s">
        <v>432</v>
      </c>
      <c r="B31" s="1" t="s">
        <v>55</v>
      </c>
      <c r="C31" s="1">
        <v>45771</v>
      </c>
      <c r="D31" s="1" t="s">
        <v>116</v>
      </c>
      <c r="E31" s="10">
        <v>45331</v>
      </c>
      <c r="F31" s="10">
        <v>45619</v>
      </c>
      <c r="G31" s="94">
        <v>45737</v>
      </c>
      <c r="H31">
        <v>6.5000000000000002E-2</v>
      </c>
      <c r="I31">
        <v>0.13</v>
      </c>
      <c r="J31" t="s">
        <v>421</v>
      </c>
      <c r="K31" t="s">
        <v>130</v>
      </c>
      <c r="L31">
        <v>2.3E-2</v>
      </c>
      <c r="M31">
        <v>1.2999999999999999E-2</v>
      </c>
      <c r="N31" t="s">
        <v>409</v>
      </c>
      <c r="O31">
        <v>4.8000000000000001E-2</v>
      </c>
      <c r="P31">
        <v>0.17899999999999999</v>
      </c>
      <c r="Q31" t="s">
        <v>421</v>
      </c>
      <c r="R31" t="s">
        <v>130</v>
      </c>
      <c r="S31" t="s">
        <v>130</v>
      </c>
      <c r="T31" t="s">
        <v>130</v>
      </c>
      <c r="U31" t="s">
        <v>130</v>
      </c>
      <c r="V31" t="s">
        <v>130</v>
      </c>
      <c r="X31">
        <v>1E-3</v>
      </c>
      <c r="Y31">
        <v>4.5999999999999999E-2</v>
      </c>
      <c r="Z31" t="s">
        <v>421</v>
      </c>
      <c r="AA31" t="s">
        <v>130</v>
      </c>
      <c r="AB31" t="s">
        <v>130</v>
      </c>
      <c r="AC31" t="s">
        <v>130</v>
      </c>
    </row>
    <row r="32" spans="1:29" ht="14.5" x14ac:dyDescent="0.35">
      <c r="A32" s="2" t="s">
        <v>433</v>
      </c>
      <c r="B32" s="1" t="s">
        <v>55</v>
      </c>
      <c r="C32" s="1">
        <v>45771</v>
      </c>
      <c r="D32" s="1" t="s">
        <v>115</v>
      </c>
      <c r="E32" s="10">
        <v>45332</v>
      </c>
      <c r="F32" s="10"/>
      <c r="G32" s="94"/>
      <c r="H32" t="s">
        <v>130</v>
      </c>
      <c r="I32" t="s">
        <v>130</v>
      </c>
      <c r="J32" t="s">
        <v>130</v>
      </c>
      <c r="K32" t="s">
        <v>130</v>
      </c>
      <c r="L32" t="s">
        <v>130</v>
      </c>
      <c r="M32" t="s">
        <v>130</v>
      </c>
      <c r="N32" t="s">
        <v>130</v>
      </c>
      <c r="O32" t="s">
        <v>130</v>
      </c>
      <c r="P32" t="s">
        <v>130</v>
      </c>
      <c r="Q32" t="s">
        <v>130</v>
      </c>
      <c r="R32">
        <v>36.700000000000003</v>
      </c>
      <c r="S32">
        <v>3.5</v>
      </c>
      <c r="T32" t="s">
        <v>130</v>
      </c>
      <c r="U32">
        <v>1.732</v>
      </c>
      <c r="V32">
        <v>1.4999999999999999E-2</v>
      </c>
      <c r="Y32" t="s">
        <v>130</v>
      </c>
      <c r="AA32">
        <v>243.3</v>
      </c>
      <c r="AB32">
        <v>10.4</v>
      </c>
      <c r="AC32" t="s">
        <v>130</v>
      </c>
    </row>
    <row r="33" spans="1:29" ht="14.5" x14ac:dyDescent="0.35">
      <c r="A33" s="2" t="s">
        <v>433</v>
      </c>
      <c r="B33" s="1" t="s">
        <v>55</v>
      </c>
      <c r="C33" s="1">
        <v>45771</v>
      </c>
      <c r="D33" s="1" t="s">
        <v>115</v>
      </c>
      <c r="E33" s="10">
        <v>45333</v>
      </c>
      <c r="F33" s="10">
        <v>45619</v>
      </c>
      <c r="G33" s="94">
        <v>45737</v>
      </c>
      <c r="H33" t="s">
        <v>130</v>
      </c>
      <c r="I33" t="s">
        <v>130</v>
      </c>
      <c r="J33" t="s">
        <v>130</v>
      </c>
      <c r="K33" t="s">
        <v>130</v>
      </c>
      <c r="L33" t="s">
        <v>130</v>
      </c>
      <c r="M33" t="s">
        <v>130</v>
      </c>
      <c r="N33" t="s">
        <v>130</v>
      </c>
      <c r="O33" t="s">
        <v>130</v>
      </c>
      <c r="P33" t="s">
        <v>130</v>
      </c>
      <c r="Q33" t="s">
        <v>130</v>
      </c>
      <c r="R33">
        <v>36.700000000000003</v>
      </c>
      <c r="S33">
        <v>3.5</v>
      </c>
      <c r="T33" t="s">
        <v>130</v>
      </c>
      <c r="U33">
        <v>1.732</v>
      </c>
      <c r="V33">
        <v>1.4999999999999999E-2</v>
      </c>
      <c r="Y33" t="s">
        <v>130</v>
      </c>
      <c r="AA33">
        <v>243.3</v>
      </c>
      <c r="AB33">
        <v>10.4</v>
      </c>
      <c r="AC33" t="s">
        <v>130</v>
      </c>
    </row>
    <row r="34" spans="1:29" ht="14.5" x14ac:dyDescent="0.35">
      <c r="A34" s="2" t="s">
        <v>434</v>
      </c>
      <c r="B34" s="1" t="s">
        <v>55</v>
      </c>
      <c r="C34" s="1">
        <v>45893</v>
      </c>
      <c r="D34" s="1" t="s">
        <v>115</v>
      </c>
      <c r="E34" s="10">
        <v>45334</v>
      </c>
      <c r="F34" s="10"/>
      <c r="G34" s="94"/>
      <c r="H34" t="s">
        <v>130</v>
      </c>
      <c r="I34" t="s">
        <v>130</v>
      </c>
      <c r="J34" t="s">
        <v>130</v>
      </c>
      <c r="K34" t="s">
        <v>130</v>
      </c>
      <c r="L34" t="s">
        <v>130</v>
      </c>
      <c r="M34" t="s">
        <v>130</v>
      </c>
      <c r="N34" t="s">
        <v>130</v>
      </c>
      <c r="O34" t="s">
        <v>130</v>
      </c>
      <c r="P34" t="s">
        <v>130</v>
      </c>
      <c r="Q34" t="s">
        <v>130</v>
      </c>
      <c r="R34">
        <v>38.1</v>
      </c>
      <c r="S34">
        <v>3.5</v>
      </c>
      <c r="T34" t="s">
        <v>130</v>
      </c>
      <c r="U34">
        <v>1.3009999999999999</v>
      </c>
      <c r="V34">
        <v>1.4999999999999999E-2</v>
      </c>
      <c r="Y34" t="s">
        <v>130</v>
      </c>
      <c r="AA34">
        <v>258.8</v>
      </c>
      <c r="AB34">
        <v>10.4</v>
      </c>
      <c r="AC34" t="s">
        <v>130</v>
      </c>
    </row>
    <row r="35" spans="1:29" ht="14.5" x14ac:dyDescent="0.35">
      <c r="A35" s="2" t="s">
        <v>435</v>
      </c>
      <c r="B35" s="1" t="s">
        <v>19</v>
      </c>
      <c r="C35" s="1">
        <v>45740</v>
      </c>
      <c r="D35" s="1" t="s">
        <v>116</v>
      </c>
      <c r="E35" s="10">
        <v>45335</v>
      </c>
      <c r="F35" s="10">
        <v>45619</v>
      </c>
      <c r="G35" s="94">
        <v>45737</v>
      </c>
      <c r="H35">
        <v>0.375</v>
      </c>
      <c r="I35">
        <v>0.124</v>
      </c>
      <c r="J35" t="s">
        <v>409</v>
      </c>
      <c r="K35" t="s">
        <v>130</v>
      </c>
      <c r="L35">
        <v>7.6999999999999999E-2</v>
      </c>
      <c r="M35">
        <v>1.4999999999999999E-2</v>
      </c>
      <c r="N35" t="s">
        <v>409</v>
      </c>
      <c r="O35">
        <v>2.7890000000000001</v>
      </c>
      <c r="P35">
        <v>0.19600000000000001</v>
      </c>
      <c r="Q35" t="s">
        <v>130</v>
      </c>
      <c r="R35" t="s">
        <v>130</v>
      </c>
      <c r="S35" t="s">
        <v>130</v>
      </c>
      <c r="T35" t="s">
        <v>130</v>
      </c>
      <c r="U35" t="s">
        <v>130</v>
      </c>
      <c r="V35" t="s">
        <v>130</v>
      </c>
      <c r="X35">
        <v>2.5000000000000001E-2</v>
      </c>
      <c r="Y35">
        <v>6.2E-2</v>
      </c>
      <c r="Z35" t="s">
        <v>421</v>
      </c>
      <c r="AA35" t="s">
        <v>130</v>
      </c>
      <c r="AB35" t="s">
        <v>130</v>
      </c>
      <c r="AC35" t="s">
        <v>130</v>
      </c>
    </row>
    <row r="36" spans="1:29" ht="14.5" x14ac:dyDescent="0.35">
      <c r="A36" s="2" t="s">
        <v>436</v>
      </c>
      <c r="B36" s="1" t="s">
        <v>19</v>
      </c>
      <c r="C36" s="1">
        <v>45740</v>
      </c>
      <c r="D36" s="1" t="s">
        <v>115</v>
      </c>
      <c r="E36" s="10">
        <v>45336</v>
      </c>
      <c r="F36" s="10"/>
      <c r="G36" s="94"/>
      <c r="H36" t="s">
        <v>130</v>
      </c>
      <c r="I36" t="s">
        <v>130</v>
      </c>
      <c r="J36" t="s">
        <v>130</v>
      </c>
      <c r="K36" t="s">
        <v>130</v>
      </c>
      <c r="L36" t="s">
        <v>130</v>
      </c>
      <c r="M36" t="s">
        <v>130</v>
      </c>
      <c r="N36" t="s">
        <v>130</v>
      </c>
      <c r="O36" t="s">
        <v>130</v>
      </c>
      <c r="P36" t="s">
        <v>130</v>
      </c>
      <c r="Q36" t="s">
        <v>130</v>
      </c>
      <c r="R36">
        <v>100.2</v>
      </c>
      <c r="S36">
        <v>3.5</v>
      </c>
      <c r="T36" t="s">
        <v>130</v>
      </c>
      <c r="U36">
        <v>0.34399999999999997</v>
      </c>
      <c r="V36">
        <v>1.6E-2</v>
      </c>
      <c r="Y36" t="s">
        <v>130</v>
      </c>
      <c r="AA36">
        <v>808</v>
      </c>
      <c r="AB36">
        <v>10.4</v>
      </c>
      <c r="AC36" t="s">
        <v>130</v>
      </c>
    </row>
    <row r="37" spans="1:29" ht="14.5" x14ac:dyDescent="0.35">
      <c r="A37" s="2" t="s">
        <v>436</v>
      </c>
      <c r="B37" s="1" t="s">
        <v>19</v>
      </c>
      <c r="C37" s="1">
        <v>45740</v>
      </c>
      <c r="D37" s="1" t="s">
        <v>115</v>
      </c>
      <c r="E37" s="10">
        <v>45337</v>
      </c>
      <c r="F37" s="10">
        <v>45619</v>
      </c>
      <c r="G37" s="94">
        <v>45737</v>
      </c>
      <c r="H37" t="s">
        <v>130</v>
      </c>
      <c r="I37" t="s">
        <v>130</v>
      </c>
      <c r="J37" t="s">
        <v>130</v>
      </c>
      <c r="K37" t="s">
        <v>130</v>
      </c>
      <c r="L37" t="s">
        <v>130</v>
      </c>
      <c r="M37" t="s">
        <v>130</v>
      </c>
      <c r="N37" t="s">
        <v>130</v>
      </c>
      <c r="O37" t="s">
        <v>130</v>
      </c>
      <c r="P37" t="s">
        <v>130</v>
      </c>
      <c r="Q37" t="s">
        <v>130</v>
      </c>
      <c r="R37">
        <v>100.2</v>
      </c>
      <c r="S37">
        <v>3.5</v>
      </c>
      <c r="T37" t="s">
        <v>130</v>
      </c>
      <c r="U37">
        <v>0.34399999999999997</v>
      </c>
      <c r="V37">
        <v>1.6E-2</v>
      </c>
      <c r="Y37" t="s">
        <v>130</v>
      </c>
      <c r="AA37">
        <v>808</v>
      </c>
      <c r="AB37">
        <v>10.4</v>
      </c>
      <c r="AC37" t="s">
        <v>130</v>
      </c>
    </row>
    <row r="38" spans="1:29" ht="14.5" x14ac:dyDescent="0.35">
      <c r="A38" s="2" t="s">
        <v>437</v>
      </c>
      <c r="B38" s="1" t="s">
        <v>19</v>
      </c>
      <c r="C38" s="1">
        <v>45862</v>
      </c>
      <c r="D38" s="1" t="s">
        <v>116</v>
      </c>
      <c r="E38" s="10">
        <v>45338</v>
      </c>
      <c r="F38" s="10">
        <v>45619</v>
      </c>
      <c r="G38" s="94">
        <v>45737</v>
      </c>
      <c r="H38">
        <v>0.34100000000000003</v>
      </c>
      <c r="I38">
        <v>0.124</v>
      </c>
      <c r="J38" t="s">
        <v>409</v>
      </c>
      <c r="K38" t="s">
        <v>130</v>
      </c>
      <c r="L38">
        <v>2.1000000000000001E-2</v>
      </c>
      <c r="M38">
        <v>1.4999999999999999E-2</v>
      </c>
      <c r="N38" t="s">
        <v>409</v>
      </c>
      <c r="O38">
        <v>6.0389999999999997</v>
      </c>
      <c r="P38">
        <v>0.19600000000000001</v>
      </c>
      <c r="Q38" t="s">
        <v>130</v>
      </c>
      <c r="R38" t="s">
        <v>130</v>
      </c>
      <c r="S38" t="s">
        <v>130</v>
      </c>
      <c r="T38" t="s">
        <v>130</v>
      </c>
      <c r="U38" t="s">
        <v>130</v>
      </c>
      <c r="V38" t="s">
        <v>130</v>
      </c>
      <c r="X38">
        <v>1.2E-2</v>
      </c>
      <c r="Y38">
        <v>6.2E-2</v>
      </c>
      <c r="Z38" t="s">
        <v>421</v>
      </c>
      <c r="AA38" t="s">
        <v>130</v>
      </c>
      <c r="AB38" t="s">
        <v>130</v>
      </c>
      <c r="AC38" t="s">
        <v>130</v>
      </c>
    </row>
    <row r="39" spans="1:29" ht="14.5" x14ac:dyDescent="0.35">
      <c r="A39" s="2" t="s">
        <v>438</v>
      </c>
      <c r="B39" s="1" t="s">
        <v>19</v>
      </c>
      <c r="C39" s="1">
        <v>45862</v>
      </c>
      <c r="D39" s="1" t="s">
        <v>115</v>
      </c>
      <c r="E39" s="10">
        <v>45339</v>
      </c>
      <c r="F39" s="10"/>
      <c r="G39" s="94"/>
      <c r="H39" t="s">
        <v>130</v>
      </c>
      <c r="I39" t="s">
        <v>130</v>
      </c>
      <c r="J39" t="s">
        <v>130</v>
      </c>
      <c r="K39" t="s">
        <v>130</v>
      </c>
      <c r="L39" t="s">
        <v>130</v>
      </c>
      <c r="M39" t="s">
        <v>130</v>
      </c>
      <c r="N39" t="s">
        <v>130</v>
      </c>
      <c r="O39" t="s">
        <v>130</v>
      </c>
      <c r="P39" t="s">
        <v>130</v>
      </c>
      <c r="Q39" t="s">
        <v>130</v>
      </c>
      <c r="R39">
        <v>86.9</v>
      </c>
      <c r="S39">
        <v>3.5</v>
      </c>
      <c r="T39" t="s">
        <v>130</v>
      </c>
      <c r="U39">
        <v>0.307</v>
      </c>
      <c r="V39">
        <v>1.6E-2</v>
      </c>
      <c r="Y39" t="s">
        <v>130</v>
      </c>
      <c r="AA39">
        <v>836.7</v>
      </c>
      <c r="AB39">
        <v>10.4</v>
      </c>
      <c r="AC39" t="s">
        <v>130</v>
      </c>
    </row>
    <row r="40" spans="1:29" ht="14.5" x14ac:dyDescent="0.35">
      <c r="A40" s="2" t="s">
        <v>438</v>
      </c>
      <c r="B40" s="1" t="s">
        <v>19</v>
      </c>
      <c r="C40" s="1">
        <v>45862</v>
      </c>
      <c r="D40" s="1" t="s">
        <v>115</v>
      </c>
      <c r="E40" s="10">
        <v>45340</v>
      </c>
      <c r="F40" s="10">
        <v>45619</v>
      </c>
      <c r="G40" s="94">
        <v>45737</v>
      </c>
      <c r="H40" t="s">
        <v>130</v>
      </c>
      <c r="I40" t="s">
        <v>130</v>
      </c>
      <c r="J40" t="s">
        <v>130</v>
      </c>
      <c r="K40" t="s">
        <v>130</v>
      </c>
      <c r="L40" t="s">
        <v>130</v>
      </c>
      <c r="M40" t="s">
        <v>130</v>
      </c>
      <c r="N40" t="s">
        <v>130</v>
      </c>
      <c r="O40" t="s">
        <v>130</v>
      </c>
      <c r="P40" t="s">
        <v>130</v>
      </c>
      <c r="Q40" t="s">
        <v>130</v>
      </c>
      <c r="R40">
        <v>86.9</v>
      </c>
      <c r="S40">
        <v>3.5</v>
      </c>
      <c r="T40" t="s">
        <v>130</v>
      </c>
      <c r="U40">
        <v>0.307</v>
      </c>
      <c r="V40">
        <v>1.6E-2</v>
      </c>
      <c r="Y40" t="s">
        <v>130</v>
      </c>
      <c r="AA40">
        <v>836.7</v>
      </c>
      <c r="AB40">
        <v>10.4</v>
      </c>
      <c r="AC40" t="s">
        <v>130</v>
      </c>
    </row>
    <row r="41" spans="1:29" ht="14.5" x14ac:dyDescent="0.35">
      <c r="A41" s="2" t="s">
        <v>439</v>
      </c>
      <c r="B41" s="1" t="s">
        <v>29</v>
      </c>
      <c r="C41" s="1">
        <v>45681</v>
      </c>
      <c r="D41" s="1" t="s">
        <v>115</v>
      </c>
      <c r="E41" s="10">
        <v>45341</v>
      </c>
      <c r="F41" s="10">
        <v>45320</v>
      </c>
      <c r="G41" s="94">
        <v>45352</v>
      </c>
      <c r="H41" t="s">
        <v>130</v>
      </c>
      <c r="I41" t="s">
        <v>130</v>
      </c>
      <c r="J41" t="s">
        <v>130</v>
      </c>
      <c r="K41" t="s">
        <v>130</v>
      </c>
      <c r="L41" t="s">
        <v>130</v>
      </c>
      <c r="M41" t="s">
        <v>130</v>
      </c>
      <c r="N41" t="s">
        <v>130</v>
      </c>
      <c r="O41" t="s">
        <v>130</v>
      </c>
      <c r="P41" t="s">
        <v>130</v>
      </c>
      <c r="Q41" t="s">
        <v>130</v>
      </c>
      <c r="R41">
        <v>126.7</v>
      </c>
      <c r="S41">
        <v>3.5</v>
      </c>
      <c r="T41" t="s">
        <v>130</v>
      </c>
      <c r="U41">
        <v>1.9670000000000001</v>
      </c>
      <c r="V41">
        <v>9.9000000000000005E-2</v>
      </c>
      <c r="Y41" t="s">
        <v>130</v>
      </c>
      <c r="AA41">
        <v>2178</v>
      </c>
      <c r="AB41">
        <v>10.4</v>
      </c>
      <c r="AC41" t="s">
        <v>130</v>
      </c>
    </row>
    <row r="42" spans="1:29" ht="14.5" x14ac:dyDescent="0.35">
      <c r="A42" s="2" t="s">
        <v>440</v>
      </c>
      <c r="B42" s="1" t="s">
        <v>29</v>
      </c>
      <c r="C42" s="1">
        <v>45985</v>
      </c>
      <c r="D42" s="1" t="s">
        <v>116</v>
      </c>
      <c r="E42" s="10">
        <v>45342</v>
      </c>
      <c r="F42" s="10"/>
      <c r="G42" s="94"/>
      <c r="H42">
        <v>0.23300000000000001</v>
      </c>
      <c r="I42">
        <v>0.13</v>
      </c>
      <c r="J42" t="s">
        <v>409</v>
      </c>
      <c r="K42" t="s">
        <v>130</v>
      </c>
      <c r="L42">
        <v>1.9E-2</v>
      </c>
      <c r="M42">
        <v>1.2999999999999999E-2</v>
      </c>
      <c r="N42" t="s">
        <v>409</v>
      </c>
      <c r="O42">
        <v>0.27700000000000002</v>
      </c>
      <c r="P42">
        <v>0.17899999999999999</v>
      </c>
      <c r="Q42" t="s">
        <v>409</v>
      </c>
      <c r="R42" t="s">
        <v>130</v>
      </c>
      <c r="S42" t="s">
        <v>130</v>
      </c>
      <c r="T42" t="s">
        <v>130</v>
      </c>
      <c r="U42" t="s">
        <v>130</v>
      </c>
      <c r="V42" t="s">
        <v>130</v>
      </c>
      <c r="X42">
        <v>2.5000000000000001E-2</v>
      </c>
      <c r="Y42">
        <v>4.5999999999999999E-2</v>
      </c>
      <c r="Z42" t="s">
        <v>421</v>
      </c>
      <c r="AA42" t="s">
        <v>130</v>
      </c>
      <c r="AB42" t="s">
        <v>130</v>
      </c>
      <c r="AC42" t="s">
        <v>130</v>
      </c>
    </row>
    <row r="43" spans="1:29" ht="14.5" x14ac:dyDescent="0.35">
      <c r="A43" s="2" t="s">
        <v>441</v>
      </c>
      <c r="B43" s="1" t="s">
        <v>29</v>
      </c>
      <c r="C43" s="1">
        <v>45985</v>
      </c>
      <c r="D43" s="1" t="s">
        <v>115</v>
      </c>
      <c r="E43" s="10">
        <v>45343</v>
      </c>
      <c r="F43" s="10"/>
      <c r="G43" s="94"/>
      <c r="H43" t="s">
        <v>130</v>
      </c>
      <c r="I43" t="s">
        <v>130</v>
      </c>
      <c r="J43" t="s">
        <v>130</v>
      </c>
      <c r="K43" t="s">
        <v>130</v>
      </c>
      <c r="L43" t="s">
        <v>130</v>
      </c>
      <c r="M43" t="s">
        <v>130</v>
      </c>
      <c r="N43" t="s">
        <v>130</v>
      </c>
      <c r="O43" t="s">
        <v>130</v>
      </c>
      <c r="P43" t="s">
        <v>130</v>
      </c>
      <c r="Q43" t="s">
        <v>130</v>
      </c>
      <c r="R43">
        <v>46.7</v>
      </c>
      <c r="S43">
        <v>3.5</v>
      </c>
      <c r="T43" t="s">
        <v>130</v>
      </c>
      <c r="U43">
        <v>1.66</v>
      </c>
      <c r="V43">
        <v>1.4999999999999999E-2</v>
      </c>
      <c r="Y43" t="s">
        <v>130</v>
      </c>
      <c r="AA43">
        <v>473.7</v>
      </c>
      <c r="AB43">
        <v>10.4</v>
      </c>
      <c r="AC43" t="s">
        <v>130</v>
      </c>
    </row>
    <row r="44" spans="1:29" ht="14.5" x14ac:dyDescent="0.35">
      <c r="A44" s="2" t="s">
        <v>442</v>
      </c>
      <c r="B44" s="1" t="s">
        <v>29</v>
      </c>
      <c r="C44" s="1" t="s">
        <v>109</v>
      </c>
      <c r="D44" s="1" t="s">
        <v>116</v>
      </c>
      <c r="E44" s="10">
        <v>45344</v>
      </c>
      <c r="F44" s="10">
        <v>45320</v>
      </c>
      <c r="G44" s="94">
        <v>45352</v>
      </c>
      <c r="H44">
        <v>0.189</v>
      </c>
      <c r="I44">
        <v>0.124</v>
      </c>
      <c r="J44" t="s">
        <v>409</v>
      </c>
      <c r="K44" t="s">
        <v>130</v>
      </c>
      <c r="L44">
        <v>0.51500000000000001</v>
      </c>
      <c r="M44">
        <v>1.4999999999999999E-2</v>
      </c>
      <c r="N44" t="s">
        <v>130</v>
      </c>
      <c r="O44">
        <v>6.5819999999999999</v>
      </c>
      <c r="P44">
        <v>0.19600000000000001</v>
      </c>
      <c r="Q44" t="s">
        <v>130</v>
      </c>
      <c r="R44" t="s">
        <v>130</v>
      </c>
      <c r="S44" t="s">
        <v>130</v>
      </c>
      <c r="T44" t="s">
        <v>130</v>
      </c>
      <c r="U44" t="s">
        <v>130</v>
      </c>
      <c r="V44" t="s">
        <v>130</v>
      </c>
      <c r="X44">
        <v>0.29399999999999998</v>
      </c>
      <c r="Y44">
        <v>6.2E-2</v>
      </c>
      <c r="Z44" t="s">
        <v>409</v>
      </c>
      <c r="AA44" t="s">
        <v>130</v>
      </c>
      <c r="AB44" t="s">
        <v>130</v>
      </c>
      <c r="AC44" t="s">
        <v>130</v>
      </c>
    </row>
    <row r="45" spans="1:29" ht="14.5" x14ac:dyDescent="0.35">
      <c r="A45" s="2" t="s">
        <v>443</v>
      </c>
      <c r="B45" s="1" t="s">
        <v>29</v>
      </c>
      <c r="C45" s="1">
        <v>45771</v>
      </c>
      <c r="D45" s="1" t="s">
        <v>116</v>
      </c>
      <c r="E45" s="10">
        <v>45345</v>
      </c>
      <c r="F45" s="10">
        <v>45619</v>
      </c>
      <c r="G45" s="94">
        <v>45737</v>
      </c>
      <c r="H45">
        <v>4.4729999999999999</v>
      </c>
      <c r="I45">
        <v>0.13</v>
      </c>
      <c r="J45" t="s">
        <v>130</v>
      </c>
      <c r="K45">
        <v>4.22</v>
      </c>
      <c r="L45">
        <v>0.253</v>
      </c>
      <c r="M45">
        <v>1.2999999999999999E-2</v>
      </c>
      <c r="N45" t="s">
        <v>130</v>
      </c>
      <c r="O45">
        <v>2.8069999999999999</v>
      </c>
      <c r="P45">
        <v>0.17899999999999999</v>
      </c>
      <c r="Q45" t="s">
        <v>130</v>
      </c>
      <c r="R45" t="s">
        <v>130</v>
      </c>
      <c r="S45" t="s">
        <v>130</v>
      </c>
      <c r="T45" t="s">
        <v>130</v>
      </c>
      <c r="U45" t="s">
        <v>130</v>
      </c>
      <c r="V45" t="s">
        <v>130</v>
      </c>
      <c r="X45">
        <v>0.14699999999999999</v>
      </c>
      <c r="Y45">
        <v>4.5999999999999999E-2</v>
      </c>
      <c r="Z45" t="s">
        <v>409</v>
      </c>
      <c r="AA45" t="s">
        <v>130</v>
      </c>
      <c r="AB45" t="s">
        <v>130</v>
      </c>
      <c r="AC45" t="s">
        <v>130</v>
      </c>
    </row>
    <row r="46" spans="1:29" ht="14.5" x14ac:dyDescent="0.35">
      <c r="A46" s="2" t="s">
        <v>444</v>
      </c>
      <c r="B46" s="1" t="s">
        <v>29</v>
      </c>
      <c r="C46" s="1">
        <v>45771</v>
      </c>
      <c r="D46" s="1" t="s">
        <v>115</v>
      </c>
      <c r="E46" s="10">
        <v>45346</v>
      </c>
      <c r="F46" s="10">
        <v>45619</v>
      </c>
      <c r="G46" s="94">
        <v>45737</v>
      </c>
      <c r="H46" t="s">
        <v>130</v>
      </c>
      <c r="I46" t="s">
        <v>130</v>
      </c>
      <c r="J46" t="s">
        <v>130</v>
      </c>
      <c r="K46" t="s">
        <v>130</v>
      </c>
      <c r="L46" t="s">
        <v>130</v>
      </c>
      <c r="M46" t="s">
        <v>130</v>
      </c>
      <c r="N46" t="s">
        <v>130</v>
      </c>
      <c r="O46" t="s">
        <v>130</v>
      </c>
      <c r="P46" t="s">
        <v>130</v>
      </c>
      <c r="Q46" t="s">
        <v>130</v>
      </c>
      <c r="R46">
        <v>204</v>
      </c>
      <c r="S46">
        <v>3.5</v>
      </c>
      <c r="T46" t="s">
        <v>130</v>
      </c>
      <c r="U46">
        <v>4.3550000000000004</v>
      </c>
      <c r="V46">
        <v>7.6999999999999999E-2</v>
      </c>
      <c r="Y46" t="s">
        <v>130</v>
      </c>
      <c r="AA46">
        <v>1388</v>
      </c>
      <c r="AB46">
        <v>10.4</v>
      </c>
      <c r="AC46" t="s">
        <v>130</v>
      </c>
    </row>
    <row r="47" spans="1:29" ht="14.5" x14ac:dyDescent="0.35">
      <c r="A47" s="2" t="s">
        <v>444</v>
      </c>
      <c r="B47" s="1" t="s">
        <v>29</v>
      </c>
      <c r="C47" s="1">
        <v>45771</v>
      </c>
      <c r="D47" s="1" t="s">
        <v>115</v>
      </c>
      <c r="E47" s="10">
        <v>45347</v>
      </c>
      <c r="F47" s="10"/>
      <c r="G47" s="94"/>
      <c r="H47" t="s">
        <v>130</v>
      </c>
      <c r="I47" t="s">
        <v>130</v>
      </c>
      <c r="J47" t="s">
        <v>130</v>
      </c>
      <c r="K47" t="s">
        <v>130</v>
      </c>
      <c r="L47" t="s">
        <v>130</v>
      </c>
      <c r="M47" t="s">
        <v>130</v>
      </c>
      <c r="N47" t="s">
        <v>130</v>
      </c>
      <c r="O47" t="s">
        <v>130</v>
      </c>
      <c r="P47" t="s">
        <v>130</v>
      </c>
      <c r="Q47" t="s">
        <v>130</v>
      </c>
      <c r="R47">
        <v>204</v>
      </c>
      <c r="S47">
        <v>3.5</v>
      </c>
      <c r="T47" t="s">
        <v>130</v>
      </c>
      <c r="U47">
        <v>4.3550000000000004</v>
      </c>
      <c r="V47">
        <v>7.6999999999999999E-2</v>
      </c>
      <c r="Y47" t="s">
        <v>130</v>
      </c>
      <c r="AA47">
        <v>1388</v>
      </c>
      <c r="AB47">
        <v>10.4</v>
      </c>
      <c r="AC47" t="s">
        <v>130</v>
      </c>
    </row>
    <row r="48" spans="1:29" ht="14.5" x14ac:dyDescent="0.35">
      <c r="A48" s="2" t="s">
        <v>445</v>
      </c>
      <c r="B48" s="1" t="s">
        <v>29</v>
      </c>
      <c r="C48" s="1">
        <v>45893</v>
      </c>
      <c r="D48" s="1" t="s">
        <v>115</v>
      </c>
      <c r="E48" s="10">
        <v>45348</v>
      </c>
      <c r="F48" s="10"/>
      <c r="G48" s="94"/>
      <c r="H48" t="s">
        <v>130</v>
      </c>
      <c r="I48" t="s">
        <v>130</v>
      </c>
      <c r="J48" t="s">
        <v>130</v>
      </c>
      <c r="K48" t="s">
        <v>130</v>
      </c>
      <c r="L48" t="s">
        <v>130</v>
      </c>
      <c r="M48" t="s">
        <v>130</v>
      </c>
      <c r="N48" t="s">
        <v>130</v>
      </c>
      <c r="O48" t="s">
        <v>130</v>
      </c>
      <c r="P48" t="s">
        <v>130</v>
      </c>
      <c r="Q48" t="s">
        <v>130</v>
      </c>
      <c r="R48">
        <v>171.4</v>
      </c>
      <c r="S48">
        <v>6.9</v>
      </c>
      <c r="T48" t="s">
        <v>130</v>
      </c>
      <c r="U48">
        <v>4.6349999999999998</v>
      </c>
      <c r="V48">
        <v>7.6999999999999999E-2</v>
      </c>
      <c r="Y48" t="s">
        <v>130</v>
      </c>
      <c r="AA48">
        <v>2330</v>
      </c>
      <c r="AB48">
        <v>10.4</v>
      </c>
      <c r="AC48" t="s">
        <v>130</v>
      </c>
    </row>
    <row r="49" spans="1:29" ht="14.5" x14ac:dyDescent="0.35">
      <c r="A49" s="2" t="s">
        <v>446</v>
      </c>
      <c r="B49" s="1" t="s">
        <v>31</v>
      </c>
      <c r="C49" s="1">
        <v>45681</v>
      </c>
      <c r="D49" s="1" t="s">
        <v>115</v>
      </c>
      <c r="E49" s="10">
        <v>45349</v>
      </c>
      <c r="F49" s="10">
        <v>45320</v>
      </c>
      <c r="G49" s="94">
        <v>45352</v>
      </c>
      <c r="H49" t="s">
        <v>130</v>
      </c>
      <c r="I49" t="s">
        <v>130</v>
      </c>
      <c r="J49" t="s">
        <v>130</v>
      </c>
      <c r="K49" t="s">
        <v>130</v>
      </c>
      <c r="L49" t="s">
        <v>130</v>
      </c>
      <c r="M49" t="s">
        <v>130</v>
      </c>
      <c r="N49" t="s">
        <v>130</v>
      </c>
      <c r="O49" t="s">
        <v>130</v>
      </c>
      <c r="P49" t="s">
        <v>130</v>
      </c>
      <c r="Q49" t="s">
        <v>130</v>
      </c>
      <c r="R49">
        <v>131.9</v>
      </c>
      <c r="S49">
        <v>3.5</v>
      </c>
      <c r="T49" t="s">
        <v>130</v>
      </c>
      <c r="U49">
        <v>1.964</v>
      </c>
      <c r="V49">
        <v>9.9000000000000005E-2</v>
      </c>
      <c r="Y49" t="s">
        <v>130</v>
      </c>
      <c r="AA49">
        <v>2398</v>
      </c>
      <c r="AB49">
        <v>20.8</v>
      </c>
      <c r="AC49" t="s">
        <v>130</v>
      </c>
    </row>
    <row r="50" spans="1:29" ht="14.5" x14ac:dyDescent="0.35">
      <c r="A50" s="2" t="s">
        <v>447</v>
      </c>
      <c r="B50" s="1" t="s">
        <v>31</v>
      </c>
      <c r="C50" s="1">
        <v>45771</v>
      </c>
      <c r="D50" s="1" t="s">
        <v>116</v>
      </c>
      <c r="E50" s="10">
        <v>45350</v>
      </c>
      <c r="F50" s="10">
        <v>45619</v>
      </c>
      <c r="G50" s="94">
        <v>45737</v>
      </c>
      <c r="H50">
        <v>1.6419999999999999</v>
      </c>
      <c r="I50">
        <v>0.13</v>
      </c>
      <c r="J50" t="s">
        <v>130</v>
      </c>
      <c r="K50">
        <v>1.26</v>
      </c>
      <c r="L50">
        <v>0.38200000000000001</v>
      </c>
      <c r="M50">
        <v>1.2999999999999999E-2</v>
      </c>
      <c r="N50" t="s">
        <v>130</v>
      </c>
      <c r="O50">
        <v>1.21</v>
      </c>
      <c r="P50">
        <v>0.17899999999999999</v>
      </c>
      <c r="Q50" t="s">
        <v>130</v>
      </c>
      <c r="R50" t="s">
        <v>130</v>
      </c>
      <c r="S50" t="s">
        <v>130</v>
      </c>
      <c r="T50" t="s">
        <v>130</v>
      </c>
      <c r="U50" t="s">
        <v>130</v>
      </c>
      <c r="V50" t="s">
        <v>130</v>
      </c>
      <c r="X50">
        <v>0.16900000000000001</v>
      </c>
      <c r="Y50">
        <v>4.5999999999999999E-2</v>
      </c>
      <c r="Z50" t="s">
        <v>409</v>
      </c>
      <c r="AA50" t="s">
        <v>130</v>
      </c>
      <c r="AB50" t="s">
        <v>130</v>
      </c>
      <c r="AC50" t="s">
        <v>130</v>
      </c>
    </row>
    <row r="51" spans="1:29" ht="14.5" x14ac:dyDescent="0.35">
      <c r="A51" s="2" t="s">
        <v>448</v>
      </c>
      <c r="B51" s="1" t="s">
        <v>31</v>
      </c>
      <c r="C51" s="1">
        <v>45771</v>
      </c>
      <c r="D51" s="1" t="s">
        <v>115</v>
      </c>
      <c r="E51" s="10">
        <v>45351</v>
      </c>
      <c r="F51" s="10"/>
      <c r="G51" s="94"/>
      <c r="H51" t="s">
        <v>130</v>
      </c>
      <c r="I51" t="s">
        <v>130</v>
      </c>
      <c r="J51" t="s">
        <v>130</v>
      </c>
      <c r="K51" t="s">
        <v>130</v>
      </c>
      <c r="L51" t="s">
        <v>130</v>
      </c>
      <c r="M51" t="s">
        <v>130</v>
      </c>
      <c r="N51" t="s">
        <v>130</v>
      </c>
      <c r="O51" t="s">
        <v>130</v>
      </c>
      <c r="P51" t="s">
        <v>130</v>
      </c>
      <c r="Q51" t="s">
        <v>130</v>
      </c>
      <c r="R51">
        <v>232.1</v>
      </c>
      <c r="S51">
        <v>3.5</v>
      </c>
      <c r="T51" t="s">
        <v>130</v>
      </c>
      <c r="U51">
        <v>6.048</v>
      </c>
      <c r="V51">
        <v>0.107</v>
      </c>
      <c r="Y51" t="s">
        <v>130</v>
      </c>
      <c r="AA51">
        <v>1998</v>
      </c>
      <c r="AB51">
        <v>10.4</v>
      </c>
      <c r="AC51" t="s">
        <v>130</v>
      </c>
    </row>
    <row r="52" spans="1:29" ht="14.5" x14ac:dyDescent="0.35">
      <c r="A52" s="2" t="s">
        <v>448</v>
      </c>
      <c r="B52" s="1" t="s">
        <v>31</v>
      </c>
      <c r="C52" s="1">
        <v>45771</v>
      </c>
      <c r="D52" s="1" t="s">
        <v>115</v>
      </c>
      <c r="E52" s="10">
        <v>45352</v>
      </c>
      <c r="F52" s="10">
        <v>45619</v>
      </c>
      <c r="G52" s="94">
        <v>45737</v>
      </c>
      <c r="H52" t="s">
        <v>130</v>
      </c>
      <c r="I52" t="s">
        <v>130</v>
      </c>
      <c r="J52" t="s">
        <v>130</v>
      </c>
      <c r="K52" t="s">
        <v>130</v>
      </c>
      <c r="L52" t="s">
        <v>130</v>
      </c>
      <c r="M52" t="s">
        <v>130</v>
      </c>
      <c r="N52" t="s">
        <v>130</v>
      </c>
      <c r="O52" t="s">
        <v>130</v>
      </c>
      <c r="P52" t="s">
        <v>130</v>
      </c>
      <c r="Q52" t="s">
        <v>130</v>
      </c>
      <c r="R52">
        <v>232.1</v>
      </c>
      <c r="S52">
        <v>3.5</v>
      </c>
      <c r="T52" t="s">
        <v>130</v>
      </c>
      <c r="U52">
        <v>6.048</v>
      </c>
      <c r="V52">
        <v>0.107</v>
      </c>
      <c r="Y52" t="s">
        <v>130</v>
      </c>
      <c r="AA52">
        <v>1998</v>
      </c>
      <c r="AB52">
        <v>10.4</v>
      </c>
      <c r="AC52" t="s">
        <v>130</v>
      </c>
    </row>
    <row r="53" spans="1:29" ht="14.5" x14ac:dyDescent="0.35">
      <c r="A53" s="2" t="s">
        <v>449</v>
      </c>
      <c r="B53" s="1" t="s">
        <v>31</v>
      </c>
      <c r="C53" s="1">
        <v>45893</v>
      </c>
      <c r="D53" s="1" t="s">
        <v>116</v>
      </c>
      <c r="E53" s="10">
        <v>45353</v>
      </c>
      <c r="F53" s="10"/>
      <c r="G53" s="94"/>
      <c r="H53">
        <v>1.3779999999999999</v>
      </c>
      <c r="I53">
        <v>0.13</v>
      </c>
      <c r="J53" t="s">
        <v>130</v>
      </c>
      <c r="K53">
        <v>0.67700000000000005</v>
      </c>
      <c r="L53">
        <v>0.70099999999999996</v>
      </c>
      <c r="M53">
        <v>1.2999999999999999E-2</v>
      </c>
      <c r="N53" t="s">
        <v>130</v>
      </c>
      <c r="O53">
        <v>3.6749999999999998</v>
      </c>
      <c r="P53">
        <v>0.17899999999999999</v>
      </c>
      <c r="Q53" t="s">
        <v>130</v>
      </c>
      <c r="R53" t="s">
        <v>130</v>
      </c>
      <c r="S53" t="s">
        <v>130</v>
      </c>
      <c r="T53" t="s">
        <v>130</v>
      </c>
      <c r="U53" t="s">
        <v>130</v>
      </c>
      <c r="V53" t="s">
        <v>130</v>
      </c>
      <c r="X53">
        <v>0.13200000000000001</v>
      </c>
      <c r="Y53">
        <v>4.5999999999999999E-2</v>
      </c>
      <c r="Z53" t="s">
        <v>409</v>
      </c>
      <c r="AA53" t="s">
        <v>130</v>
      </c>
      <c r="AB53" t="s">
        <v>130</v>
      </c>
      <c r="AC53" t="s">
        <v>130</v>
      </c>
    </row>
    <row r="54" spans="1:29" ht="14.5" x14ac:dyDescent="0.35">
      <c r="A54" s="2" t="s">
        <v>450</v>
      </c>
      <c r="B54" s="1" t="s">
        <v>31</v>
      </c>
      <c r="C54" s="1">
        <v>45893</v>
      </c>
      <c r="D54" s="1" t="s">
        <v>115</v>
      </c>
      <c r="E54" s="10">
        <v>45354</v>
      </c>
      <c r="F54" s="10"/>
      <c r="G54" s="94"/>
      <c r="H54" t="s">
        <v>130</v>
      </c>
      <c r="I54" t="s">
        <v>130</v>
      </c>
      <c r="J54" t="s">
        <v>130</v>
      </c>
      <c r="K54" t="s">
        <v>130</v>
      </c>
      <c r="L54" t="s">
        <v>130</v>
      </c>
      <c r="M54" t="s">
        <v>130</v>
      </c>
      <c r="N54" t="s">
        <v>130</v>
      </c>
      <c r="O54" t="s">
        <v>130</v>
      </c>
      <c r="P54" t="s">
        <v>130</v>
      </c>
      <c r="Q54" t="s">
        <v>130</v>
      </c>
      <c r="R54">
        <v>218.3</v>
      </c>
      <c r="S54">
        <v>3.5</v>
      </c>
      <c r="T54" t="s">
        <v>130</v>
      </c>
      <c r="U54">
        <v>4.375</v>
      </c>
      <c r="V54">
        <v>7.6999999999999999E-2</v>
      </c>
      <c r="Y54" t="s">
        <v>130</v>
      </c>
      <c r="AA54">
        <v>2056</v>
      </c>
      <c r="AB54">
        <v>10.4</v>
      </c>
      <c r="AC54" t="s">
        <v>130</v>
      </c>
    </row>
    <row r="55" spans="1:29" ht="14.5" x14ac:dyDescent="0.35">
      <c r="A55" s="2" t="s">
        <v>451</v>
      </c>
      <c r="B55" s="1" t="s">
        <v>30</v>
      </c>
      <c r="C55" s="1">
        <v>45681</v>
      </c>
      <c r="D55" s="1" t="s">
        <v>115</v>
      </c>
      <c r="E55" s="10">
        <v>45355</v>
      </c>
      <c r="F55" s="10">
        <v>45320</v>
      </c>
      <c r="G55" s="94">
        <v>45352</v>
      </c>
      <c r="H55" t="s">
        <v>130</v>
      </c>
      <c r="I55" t="s">
        <v>130</v>
      </c>
      <c r="J55" t="s">
        <v>130</v>
      </c>
      <c r="K55" t="s">
        <v>130</v>
      </c>
      <c r="L55" t="s">
        <v>130</v>
      </c>
      <c r="M55" t="s">
        <v>130</v>
      </c>
      <c r="N55" t="s">
        <v>130</v>
      </c>
      <c r="O55" t="s">
        <v>130</v>
      </c>
      <c r="P55" t="s">
        <v>130</v>
      </c>
      <c r="Q55" t="s">
        <v>130</v>
      </c>
      <c r="R55">
        <v>141</v>
      </c>
      <c r="S55">
        <v>3.5</v>
      </c>
      <c r="T55" t="s">
        <v>130</v>
      </c>
      <c r="U55">
        <v>2.3959999999999999</v>
      </c>
      <c r="V55">
        <v>9.9000000000000005E-2</v>
      </c>
      <c r="Y55" t="s">
        <v>130</v>
      </c>
      <c r="AA55">
        <v>2177</v>
      </c>
      <c r="AB55">
        <v>10.4</v>
      </c>
      <c r="AC55" t="s">
        <v>130</v>
      </c>
    </row>
    <row r="56" spans="1:29" ht="14.5" x14ac:dyDescent="0.35">
      <c r="A56" s="2" t="s">
        <v>452</v>
      </c>
      <c r="B56" s="1" t="s">
        <v>30</v>
      </c>
      <c r="C56" s="1" t="s">
        <v>109</v>
      </c>
      <c r="D56" s="1" t="s">
        <v>116</v>
      </c>
      <c r="E56" s="10">
        <v>45356</v>
      </c>
      <c r="F56" s="10">
        <v>45320</v>
      </c>
      <c r="G56" s="94">
        <v>45352</v>
      </c>
      <c r="H56">
        <v>0.40799999999999997</v>
      </c>
      <c r="I56">
        <v>0.124</v>
      </c>
      <c r="J56" t="s">
        <v>409</v>
      </c>
      <c r="K56" t="s">
        <v>130</v>
      </c>
      <c r="L56">
        <v>0.37</v>
      </c>
      <c r="M56">
        <v>1.4999999999999999E-2</v>
      </c>
      <c r="N56" t="s">
        <v>130</v>
      </c>
      <c r="O56">
        <v>1.7769999999999999</v>
      </c>
      <c r="P56">
        <v>0.19600000000000001</v>
      </c>
      <c r="Q56" t="s">
        <v>130</v>
      </c>
      <c r="R56" t="s">
        <v>130</v>
      </c>
      <c r="S56" t="s">
        <v>130</v>
      </c>
      <c r="T56" t="s">
        <v>130</v>
      </c>
      <c r="U56" t="s">
        <v>130</v>
      </c>
      <c r="V56" t="s">
        <v>130</v>
      </c>
      <c r="X56">
        <v>7.9000000000000001E-2</v>
      </c>
      <c r="Y56">
        <v>6.2E-2</v>
      </c>
      <c r="Z56" t="s">
        <v>409</v>
      </c>
      <c r="AA56" t="s">
        <v>130</v>
      </c>
      <c r="AB56" t="s">
        <v>130</v>
      </c>
      <c r="AC56" t="s">
        <v>130</v>
      </c>
    </row>
    <row r="57" spans="1:29" ht="14.5" x14ac:dyDescent="0.35">
      <c r="A57" s="2" t="s">
        <v>453</v>
      </c>
      <c r="B57" s="1" t="s">
        <v>30</v>
      </c>
      <c r="C57" s="1">
        <v>45771</v>
      </c>
      <c r="D57" s="1" t="s">
        <v>116</v>
      </c>
      <c r="E57" s="10">
        <v>45357</v>
      </c>
      <c r="F57" s="10">
        <v>45619</v>
      </c>
      <c r="G57" s="94">
        <v>45737</v>
      </c>
      <c r="H57">
        <v>0.59</v>
      </c>
      <c r="I57">
        <v>0.124</v>
      </c>
      <c r="J57" t="s">
        <v>409</v>
      </c>
      <c r="K57" t="s">
        <v>130</v>
      </c>
      <c r="L57">
        <v>0.318</v>
      </c>
      <c r="M57">
        <v>1.4999999999999999E-2</v>
      </c>
      <c r="N57" t="s">
        <v>130</v>
      </c>
      <c r="O57">
        <v>1.1060000000000001</v>
      </c>
      <c r="P57">
        <v>0.19600000000000001</v>
      </c>
      <c r="Q57" t="s">
        <v>130</v>
      </c>
      <c r="R57" t="s">
        <v>130</v>
      </c>
      <c r="S57" t="s">
        <v>130</v>
      </c>
      <c r="T57" t="s">
        <v>130</v>
      </c>
      <c r="U57" t="s">
        <v>130</v>
      </c>
      <c r="V57" t="s">
        <v>130</v>
      </c>
      <c r="X57">
        <v>0.24399999999999999</v>
      </c>
      <c r="Y57">
        <v>6.2E-2</v>
      </c>
      <c r="Z57" t="s">
        <v>409</v>
      </c>
      <c r="AA57" t="s">
        <v>130</v>
      </c>
      <c r="AB57" t="s">
        <v>130</v>
      </c>
      <c r="AC57" t="s">
        <v>130</v>
      </c>
    </row>
    <row r="58" spans="1:29" ht="14.5" x14ac:dyDescent="0.35">
      <c r="A58" s="2" t="s">
        <v>454</v>
      </c>
      <c r="B58" s="1" t="s">
        <v>30</v>
      </c>
      <c r="C58" s="1">
        <v>45771</v>
      </c>
      <c r="D58" s="1" t="s">
        <v>115</v>
      </c>
      <c r="E58" s="10">
        <v>45358</v>
      </c>
      <c r="F58" s="10"/>
      <c r="G58" s="94"/>
      <c r="H58" t="s">
        <v>130</v>
      </c>
      <c r="I58" t="s">
        <v>130</v>
      </c>
      <c r="J58" t="s">
        <v>130</v>
      </c>
      <c r="K58" t="s">
        <v>130</v>
      </c>
      <c r="L58" t="s">
        <v>130</v>
      </c>
      <c r="M58" t="s">
        <v>130</v>
      </c>
      <c r="N58" t="s">
        <v>130</v>
      </c>
      <c r="O58" t="s">
        <v>130</v>
      </c>
      <c r="P58" t="s">
        <v>130</v>
      </c>
      <c r="Q58" t="s">
        <v>130</v>
      </c>
      <c r="R58">
        <v>354.8</v>
      </c>
      <c r="S58">
        <v>6.9</v>
      </c>
      <c r="T58" t="s">
        <v>130</v>
      </c>
      <c r="U58">
        <v>10.087999999999999</v>
      </c>
      <c r="V58">
        <v>0.21199999999999999</v>
      </c>
      <c r="Y58" t="s">
        <v>130</v>
      </c>
      <c r="AA58">
        <v>2825</v>
      </c>
      <c r="AB58">
        <v>20.8</v>
      </c>
      <c r="AC58" t="s">
        <v>130</v>
      </c>
    </row>
    <row r="59" spans="1:29" ht="14.5" x14ac:dyDescent="0.35">
      <c r="A59" s="2" t="s">
        <v>454</v>
      </c>
      <c r="B59" s="1" t="s">
        <v>30</v>
      </c>
      <c r="C59" s="1">
        <v>45771</v>
      </c>
      <c r="D59" s="1" t="s">
        <v>115</v>
      </c>
      <c r="E59" s="10">
        <v>45359</v>
      </c>
      <c r="F59" s="10">
        <v>45619</v>
      </c>
      <c r="G59" s="94">
        <v>45737</v>
      </c>
      <c r="H59" t="s">
        <v>130</v>
      </c>
      <c r="I59" t="s">
        <v>130</v>
      </c>
      <c r="J59" t="s">
        <v>130</v>
      </c>
      <c r="K59" t="s">
        <v>130</v>
      </c>
      <c r="L59" t="s">
        <v>130</v>
      </c>
      <c r="M59" t="s">
        <v>130</v>
      </c>
      <c r="N59" t="s">
        <v>130</v>
      </c>
      <c r="O59" t="s">
        <v>130</v>
      </c>
      <c r="P59" t="s">
        <v>130</v>
      </c>
      <c r="Q59" t="s">
        <v>130</v>
      </c>
      <c r="R59">
        <v>354.8</v>
      </c>
      <c r="S59">
        <v>6.9</v>
      </c>
      <c r="T59" t="s">
        <v>130</v>
      </c>
      <c r="U59">
        <v>10.087999999999999</v>
      </c>
      <c r="V59">
        <v>0.21199999999999999</v>
      </c>
      <c r="Y59" t="s">
        <v>130</v>
      </c>
      <c r="AA59">
        <v>2825</v>
      </c>
      <c r="AB59">
        <v>20.8</v>
      </c>
      <c r="AC59" t="s">
        <v>130</v>
      </c>
    </row>
    <row r="60" spans="1:29" ht="14.5" x14ac:dyDescent="0.35">
      <c r="A60" s="2" t="s">
        <v>455</v>
      </c>
      <c r="B60" s="1" t="s">
        <v>30</v>
      </c>
      <c r="C60" s="1">
        <v>45893</v>
      </c>
      <c r="D60" s="1" t="s">
        <v>115</v>
      </c>
      <c r="E60" s="10">
        <v>45360</v>
      </c>
      <c r="F60" s="10"/>
      <c r="G60" s="94"/>
      <c r="H60" t="s">
        <v>130</v>
      </c>
      <c r="I60" t="s">
        <v>130</v>
      </c>
      <c r="J60" t="s">
        <v>130</v>
      </c>
      <c r="K60" t="s">
        <v>130</v>
      </c>
      <c r="L60" t="s">
        <v>130</v>
      </c>
      <c r="M60" t="s">
        <v>130</v>
      </c>
      <c r="N60" t="s">
        <v>130</v>
      </c>
      <c r="O60" t="s">
        <v>130</v>
      </c>
      <c r="P60" t="s">
        <v>130</v>
      </c>
      <c r="Q60" t="s">
        <v>130</v>
      </c>
      <c r="R60">
        <v>263.10000000000002</v>
      </c>
      <c r="S60">
        <v>17.3</v>
      </c>
      <c r="T60" t="s">
        <v>130</v>
      </c>
      <c r="U60">
        <v>1.133</v>
      </c>
      <c r="V60">
        <v>0.21199999999999999</v>
      </c>
      <c r="W60" t="s">
        <v>409</v>
      </c>
      <c r="Y60" t="s">
        <v>130</v>
      </c>
      <c r="AA60">
        <v>3536</v>
      </c>
      <c r="AB60">
        <v>10.4</v>
      </c>
      <c r="AC60" t="s">
        <v>130</v>
      </c>
    </row>
    <row r="61" spans="1:29" ht="14.5" x14ac:dyDescent="0.35">
      <c r="A61" s="2" t="s">
        <v>456</v>
      </c>
      <c r="B61" s="1" t="s">
        <v>32</v>
      </c>
      <c r="C61" s="1">
        <v>45681</v>
      </c>
      <c r="D61" s="1" t="s">
        <v>115</v>
      </c>
      <c r="E61" s="10">
        <v>45361</v>
      </c>
      <c r="F61" s="10">
        <v>45320</v>
      </c>
      <c r="G61" s="94">
        <v>45352</v>
      </c>
      <c r="H61" t="s">
        <v>130</v>
      </c>
      <c r="I61" t="s">
        <v>130</v>
      </c>
      <c r="J61" t="s">
        <v>130</v>
      </c>
      <c r="K61" t="s">
        <v>130</v>
      </c>
      <c r="L61" t="s">
        <v>130</v>
      </c>
      <c r="M61" t="s">
        <v>130</v>
      </c>
      <c r="N61" t="s">
        <v>130</v>
      </c>
      <c r="O61" t="s">
        <v>130</v>
      </c>
      <c r="P61" t="s">
        <v>130</v>
      </c>
      <c r="Q61" t="s">
        <v>130</v>
      </c>
      <c r="R61">
        <v>153.30000000000001</v>
      </c>
      <c r="S61">
        <v>3.5</v>
      </c>
      <c r="T61" t="s">
        <v>130</v>
      </c>
      <c r="U61">
        <v>3.4369999999999998</v>
      </c>
      <c r="V61">
        <v>9.9000000000000005E-2</v>
      </c>
      <c r="Y61" t="s">
        <v>130</v>
      </c>
      <c r="AA61">
        <v>1922</v>
      </c>
      <c r="AB61">
        <v>10.4</v>
      </c>
      <c r="AC61" t="s">
        <v>130</v>
      </c>
    </row>
    <row r="62" spans="1:29" ht="14.5" x14ac:dyDescent="0.35">
      <c r="A62" s="2" t="s">
        <v>457</v>
      </c>
      <c r="B62" s="1" t="s">
        <v>32</v>
      </c>
      <c r="C62" s="1">
        <v>45893</v>
      </c>
      <c r="D62" s="1" t="s">
        <v>115</v>
      </c>
      <c r="E62" s="10">
        <v>45362</v>
      </c>
      <c r="F62" s="10"/>
      <c r="G62" s="94"/>
      <c r="H62" t="s">
        <v>130</v>
      </c>
      <c r="I62" t="s">
        <v>130</v>
      </c>
      <c r="J62" t="s">
        <v>130</v>
      </c>
      <c r="K62" t="s">
        <v>130</v>
      </c>
      <c r="L62" t="s">
        <v>130</v>
      </c>
      <c r="M62" t="s">
        <v>130</v>
      </c>
      <c r="N62" t="s">
        <v>130</v>
      </c>
      <c r="O62" t="s">
        <v>130</v>
      </c>
      <c r="P62" t="s">
        <v>130</v>
      </c>
      <c r="Q62" t="s">
        <v>130</v>
      </c>
      <c r="R62">
        <v>163.1</v>
      </c>
      <c r="S62">
        <v>17.3</v>
      </c>
      <c r="T62" t="s">
        <v>130</v>
      </c>
      <c r="U62">
        <v>7.1280000000000001</v>
      </c>
      <c r="V62">
        <v>0.122</v>
      </c>
      <c r="Y62" t="s">
        <v>130</v>
      </c>
      <c r="AA62">
        <v>1750</v>
      </c>
      <c r="AB62">
        <v>10.4</v>
      </c>
      <c r="AC62" t="s">
        <v>130</v>
      </c>
    </row>
    <row r="63" spans="1:29" ht="14.5" x14ac:dyDescent="0.35">
      <c r="A63" s="2" t="s">
        <v>458</v>
      </c>
      <c r="B63" s="1" t="s">
        <v>20</v>
      </c>
      <c r="C63" s="1">
        <v>45740</v>
      </c>
      <c r="D63" s="1" t="s">
        <v>116</v>
      </c>
      <c r="E63" s="10">
        <v>45363</v>
      </c>
      <c r="F63" s="10">
        <v>45619</v>
      </c>
      <c r="G63" s="94">
        <v>45737</v>
      </c>
      <c r="H63">
        <v>0.41599999999999998</v>
      </c>
      <c r="I63">
        <v>0.124</v>
      </c>
      <c r="J63" t="s">
        <v>409</v>
      </c>
      <c r="K63" t="s">
        <v>130</v>
      </c>
      <c r="L63">
        <v>4.3999999999999997E-2</v>
      </c>
      <c r="M63">
        <v>1.4999999999999999E-2</v>
      </c>
      <c r="N63" t="s">
        <v>409</v>
      </c>
      <c r="O63">
        <v>18.893999999999998</v>
      </c>
      <c r="P63">
        <v>0.58899999999999997</v>
      </c>
      <c r="Q63" t="s">
        <v>130</v>
      </c>
      <c r="R63" t="s">
        <v>130</v>
      </c>
      <c r="S63" t="s">
        <v>130</v>
      </c>
      <c r="T63" t="s">
        <v>130</v>
      </c>
      <c r="U63" t="s">
        <v>130</v>
      </c>
      <c r="V63" t="s">
        <v>130</v>
      </c>
      <c r="X63">
        <v>5.2999999999999999E-2</v>
      </c>
      <c r="Y63">
        <v>6.2E-2</v>
      </c>
      <c r="Z63" t="s">
        <v>421</v>
      </c>
      <c r="AA63" t="s">
        <v>130</v>
      </c>
      <c r="AB63" t="s">
        <v>130</v>
      </c>
      <c r="AC63" t="s">
        <v>130</v>
      </c>
    </row>
    <row r="64" spans="1:29" ht="14.5" x14ac:dyDescent="0.35">
      <c r="A64" s="2" t="s">
        <v>459</v>
      </c>
      <c r="B64" s="1" t="s">
        <v>20</v>
      </c>
      <c r="C64" s="1">
        <v>45740</v>
      </c>
      <c r="D64" s="1" t="s">
        <v>115</v>
      </c>
      <c r="E64" s="10">
        <v>45364</v>
      </c>
      <c r="F64" s="10"/>
      <c r="G64" s="94"/>
      <c r="H64" t="s">
        <v>130</v>
      </c>
      <c r="I64" t="s">
        <v>130</v>
      </c>
      <c r="J64" t="s">
        <v>130</v>
      </c>
      <c r="K64" t="s">
        <v>130</v>
      </c>
      <c r="L64" t="s">
        <v>130</v>
      </c>
      <c r="M64" t="s">
        <v>130</v>
      </c>
      <c r="N64" t="s">
        <v>130</v>
      </c>
      <c r="O64" t="s">
        <v>130</v>
      </c>
      <c r="P64" t="s">
        <v>130</v>
      </c>
      <c r="Q64" t="s">
        <v>130</v>
      </c>
      <c r="R64">
        <v>107.4</v>
      </c>
      <c r="S64">
        <v>3.5</v>
      </c>
      <c r="T64" t="s">
        <v>130</v>
      </c>
      <c r="U64">
        <v>0.67800000000000005</v>
      </c>
      <c r="V64">
        <v>1.6E-2</v>
      </c>
      <c r="Y64" t="s">
        <v>130</v>
      </c>
      <c r="AA64">
        <v>818.3</v>
      </c>
      <c r="AB64">
        <v>10.4</v>
      </c>
      <c r="AC64" t="s">
        <v>130</v>
      </c>
    </row>
    <row r="65" spans="1:29" ht="14.5" x14ac:dyDescent="0.35">
      <c r="A65" s="2" t="s">
        <v>459</v>
      </c>
      <c r="B65" s="1" t="s">
        <v>20</v>
      </c>
      <c r="C65" s="1">
        <v>45740</v>
      </c>
      <c r="D65" s="1" t="s">
        <v>115</v>
      </c>
      <c r="E65" s="10">
        <v>45365</v>
      </c>
      <c r="F65" s="10">
        <v>45619</v>
      </c>
      <c r="G65" s="94">
        <v>45737</v>
      </c>
      <c r="H65" t="s">
        <v>130</v>
      </c>
      <c r="I65" t="s">
        <v>130</v>
      </c>
      <c r="J65" t="s">
        <v>130</v>
      </c>
      <c r="K65" t="s">
        <v>130</v>
      </c>
      <c r="L65" t="s">
        <v>130</v>
      </c>
      <c r="M65" t="s">
        <v>130</v>
      </c>
      <c r="N65" t="s">
        <v>130</v>
      </c>
      <c r="O65" t="s">
        <v>130</v>
      </c>
      <c r="P65" t="s">
        <v>130</v>
      </c>
      <c r="Q65" t="s">
        <v>130</v>
      </c>
      <c r="R65">
        <v>107.4</v>
      </c>
      <c r="S65">
        <v>3.5</v>
      </c>
      <c r="T65" t="s">
        <v>130</v>
      </c>
      <c r="U65">
        <v>0.67800000000000005</v>
      </c>
      <c r="V65">
        <v>1.6E-2</v>
      </c>
      <c r="Y65" t="s">
        <v>130</v>
      </c>
      <c r="AA65">
        <v>818.3</v>
      </c>
      <c r="AB65">
        <v>10.4</v>
      </c>
      <c r="AC65" t="s">
        <v>130</v>
      </c>
    </row>
    <row r="66" spans="1:29" ht="14.5" x14ac:dyDescent="0.35">
      <c r="A66" s="2" t="s">
        <v>460</v>
      </c>
      <c r="B66" s="1" t="s">
        <v>20</v>
      </c>
      <c r="C66" s="1">
        <v>45862</v>
      </c>
      <c r="D66" s="1" t="s">
        <v>116</v>
      </c>
      <c r="E66" s="10">
        <v>45366</v>
      </c>
      <c r="F66" s="10">
        <v>45619</v>
      </c>
      <c r="G66" s="94">
        <v>45737</v>
      </c>
      <c r="H66">
        <v>0.432</v>
      </c>
      <c r="I66">
        <v>0.124</v>
      </c>
      <c r="J66" t="s">
        <v>409</v>
      </c>
      <c r="K66" t="s">
        <v>130</v>
      </c>
      <c r="L66">
        <v>7.2999999999999995E-2</v>
      </c>
      <c r="M66">
        <v>1.4999999999999999E-2</v>
      </c>
      <c r="N66" t="s">
        <v>409</v>
      </c>
      <c r="O66">
        <v>0.78600000000000003</v>
      </c>
      <c r="P66">
        <v>0.19600000000000001</v>
      </c>
      <c r="Q66" t="s">
        <v>409</v>
      </c>
      <c r="R66" t="s">
        <v>130</v>
      </c>
      <c r="S66" t="s">
        <v>130</v>
      </c>
      <c r="T66" t="s">
        <v>130</v>
      </c>
      <c r="U66" t="s">
        <v>130</v>
      </c>
      <c r="V66" t="s">
        <v>130</v>
      </c>
      <c r="X66">
        <v>7.0000000000000001E-3</v>
      </c>
      <c r="Y66">
        <v>6.2E-2</v>
      </c>
      <c r="Z66" t="s">
        <v>421</v>
      </c>
      <c r="AA66" t="s">
        <v>130</v>
      </c>
      <c r="AB66" t="s">
        <v>130</v>
      </c>
      <c r="AC66" t="s">
        <v>130</v>
      </c>
    </row>
    <row r="67" spans="1:29" ht="14.5" x14ac:dyDescent="0.35">
      <c r="A67" s="2" t="s">
        <v>461</v>
      </c>
      <c r="B67" s="1" t="s">
        <v>20</v>
      </c>
      <c r="C67" s="1">
        <v>45862</v>
      </c>
      <c r="D67" s="1" t="s">
        <v>115</v>
      </c>
      <c r="E67" s="10">
        <v>45367</v>
      </c>
      <c r="F67" s="10"/>
      <c r="G67" s="94"/>
      <c r="H67" t="s">
        <v>130</v>
      </c>
      <c r="I67" t="s">
        <v>130</v>
      </c>
      <c r="J67" t="s">
        <v>130</v>
      </c>
      <c r="K67" t="s">
        <v>130</v>
      </c>
      <c r="L67" t="s">
        <v>130</v>
      </c>
      <c r="M67" t="s">
        <v>130</v>
      </c>
      <c r="N67" t="s">
        <v>130</v>
      </c>
      <c r="O67" t="s">
        <v>130</v>
      </c>
      <c r="P67" t="s">
        <v>130</v>
      </c>
      <c r="Q67" t="s">
        <v>130</v>
      </c>
      <c r="R67">
        <v>77.900000000000006</v>
      </c>
      <c r="S67">
        <v>3.5</v>
      </c>
      <c r="T67" t="s">
        <v>130</v>
      </c>
      <c r="U67">
        <v>1.383</v>
      </c>
      <c r="V67">
        <v>1.6E-2</v>
      </c>
      <c r="Y67" t="s">
        <v>130</v>
      </c>
      <c r="AA67">
        <v>860.8</v>
      </c>
      <c r="AB67">
        <v>10.4</v>
      </c>
      <c r="AC67" t="s">
        <v>130</v>
      </c>
    </row>
    <row r="68" spans="1:29" ht="14.5" x14ac:dyDescent="0.35">
      <c r="A68" s="2" t="s">
        <v>461</v>
      </c>
      <c r="B68" s="1" t="s">
        <v>20</v>
      </c>
      <c r="C68" s="1">
        <v>45862</v>
      </c>
      <c r="D68" s="1" t="s">
        <v>115</v>
      </c>
      <c r="E68" s="10">
        <v>45368</v>
      </c>
      <c r="F68" s="10">
        <v>45619</v>
      </c>
      <c r="G68" s="94">
        <v>45737</v>
      </c>
      <c r="H68" t="s">
        <v>130</v>
      </c>
      <c r="I68" t="s">
        <v>130</v>
      </c>
      <c r="J68" t="s">
        <v>130</v>
      </c>
      <c r="K68" t="s">
        <v>130</v>
      </c>
      <c r="L68" t="s">
        <v>130</v>
      </c>
      <c r="M68" t="s">
        <v>130</v>
      </c>
      <c r="N68" t="s">
        <v>130</v>
      </c>
      <c r="O68" t="s">
        <v>130</v>
      </c>
      <c r="P68" t="s">
        <v>130</v>
      </c>
      <c r="Q68" t="s">
        <v>130</v>
      </c>
      <c r="R68">
        <v>77.900000000000006</v>
      </c>
      <c r="S68">
        <v>3.5</v>
      </c>
      <c r="T68" t="s">
        <v>130</v>
      </c>
      <c r="U68">
        <v>1.383</v>
      </c>
      <c r="V68">
        <v>1.6E-2</v>
      </c>
      <c r="Y68" t="s">
        <v>130</v>
      </c>
      <c r="AA68">
        <v>860.8</v>
      </c>
      <c r="AB68">
        <v>10.4</v>
      </c>
      <c r="AC68" t="s">
        <v>130</v>
      </c>
    </row>
    <row r="69" spans="1:29" ht="14.5" x14ac:dyDescent="0.35">
      <c r="A69" s="2" t="s">
        <v>462</v>
      </c>
      <c r="B69" s="1" t="s">
        <v>33</v>
      </c>
      <c r="C69" s="1">
        <v>45681</v>
      </c>
      <c r="D69" s="1" t="s">
        <v>115</v>
      </c>
      <c r="E69" s="10">
        <v>45369</v>
      </c>
      <c r="F69" s="10">
        <v>45320</v>
      </c>
      <c r="G69" s="94">
        <v>45352</v>
      </c>
      <c r="H69" t="s">
        <v>130</v>
      </c>
      <c r="I69" t="s">
        <v>130</v>
      </c>
      <c r="J69" t="s">
        <v>130</v>
      </c>
      <c r="K69" t="s">
        <v>130</v>
      </c>
      <c r="L69" t="s">
        <v>130</v>
      </c>
      <c r="M69" t="s">
        <v>130</v>
      </c>
      <c r="N69" t="s">
        <v>130</v>
      </c>
      <c r="O69" t="s">
        <v>130</v>
      </c>
      <c r="P69" t="s">
        <v>130</v>
      </c>
      <c r="Q69" t="s">
        <v>130</v>
      </c>
      <c r="R69">
        <v>98.1</v>
      </c>
      <c r="S69">
        <v>3.5</v>
      </c>
      <c r="T69" t="s">
        <v>130</v>
      </c>
      <c r="U69">
        <v>1.889</v>
      </c>
      <c r="V69">
        <v>2.8000000000000001E-2</v>
      </c>
      <c r="Y69" t="s">
        <v>130</v>
      </c>
      <c r="AA69">
        <v>1556</v>
      </c>
      <c r="AB69">
        <v>10.4</v>
      </c>
      <c r="AC69" t="s">
        <v>130</v>
      </c>
    </row>
    <row r="70" spans="1:29" ht="14.5" x14ac:dyDescent="0.35">
      <c r="A70" s="2" t="s">
        <v>463</v>
      </c>
      <c r="B70" s="1" t="s">
        <v>33</v>
      </c>
      <c r="C70" s="1">
        <v>45985</v>
      </c>
      <c r="D70" s="1" t="s">
        <v>116</v>
      </c>
      <c r="E70" s="10">
        <v>45370</v>
      </c>
      <c r="F70" s="10"/>
      <c r="G70" s="94"/>
      <c r="H70">
        <v>1.0229999999999999</v>
      </c>
      <c r="I70">
        <v>0.13</v>
      </c>
      <c r="J70" t="s">
        <v>130</v>
      </c>
      <c r="K70">
        <v>0.80700000000000005</v>
      </c>
      <c r="L70">
        <v>0.216</v>
      </c>
      <c r="M70">
        <v>1.2999999999999999E-2</v>
      </c>
      <c r="N70" t="s">
        <v>130</v>
      </c>
      <c r="O70">
        <v>10.507999999999999</v>
      </c>
      <c r="P70">
        <v>0.35899999999999999</v>
      </c>
      <c r="Q70" t="s">
        <v>130</v>
      </c>
      <c r="R70" t="s">
        <v>130</v>
      </c>
      <c r="S70" t="s">
        <v>130</v>
      </c>
      <c r="T70" t="s">
        <v>130</v>
      </c>
      <c r="U70" t="s">
        <v>130</v>
      </c>
      <c r="V70" t="s">
        <v>130</v>
      </c>
      <c r="X70">
        <v>0.06</v>
      </c>
      <c r="Y70">
        <v>4.5999999999999999E-2</v>
      </c>
      <c r="Z70" t="s">
        <v>409</v>
      </c>
      <c r="AA70" t="s">
        <v>130</v>
      </c>
      <c r="AB70" t="s">
        <v>130</v>
      </c>
      <c r="AC70" t="s">
        <v>130</v>
      </c>
    </row>
    <row r="71" spans="1:29" ht="14.5" x14ac:dyDescent="0.35">
      <c r="A71" s="2" t="s">
        <v>464</v>
      </c>
      <c r="B71" s="1" t="s">
        <v>33</v>
      </c>
      <c r="C71" s="1">
        <v>45985</v>
      </c>
      <c r="D71" s="1" t="s">
        <v>115</v>
      </c>
      <c r="E71" s="10">
        <v>45371</v>
      </c>
      <c r="F71" s="10"/>
      <c r="G71" s="94"/>
      <c r="H71" t="s">
        <v>130</v>
      </c>
      <c r="I71" t="s">
        <v>130</v>
      </c>
      <c r="J71" t="s">
        <v>130</v>
      </c>
      <c r="K71" t="s">
        <v>130</v>
      </c>
      <c r="L71" t="s">
        <v>130</v>
      </c>
      <c r="M71" t="s">
        <v>130</v>
      </c>
      <c r="N71" t="s">
        <v>130</v>
      </c>
      <c r="O71" t="s">
        <v>130</v>
      </c>
      <c r="P71" t="s">
        <v>130</v>
      </c>
      <c r="Q71" t="s">
        <v>130</v>
      </c>
      <c r="R71">
        <v>38.799999999999997</v>
      </c>
      <c r="S71">
        <v>3.5</v>
      </c>
      <c r="T71" t="s">
        <v>130</v>
      </c>
      <c r="U71">
        <v>0.80400000000000005</v>
      </c>
      <c r="V71">
        <v>1.4999999999999999E-2</v>
      </c>
      <c r="Y71" t="s">
        <v>130</v>
      </c>
      <c r="AA71">
        <v>372</v>
      </c>
      <c r="AB71">
        <v>10.4</v>
      </c>
      <c r="AC71" t="s">
        <v>130</v>
      </c>
    </row>
    <row r="72" spans="1:29" ht="14.5" x14ac:dyDescent="0.35">
      <c r="A72" s="2" t="s">
        <v>465</v>
      </c>
      <c r="B72" s="1" t="s">
        <v>33</v>
      </c>
      <c r="C72" s="1" t="s">
        <v>109</v>
      </c>
      <c r="D72" s="1" t="s">
        <v>116</v>
      </c>
      <c r="E72" s="10">
        <v>45372</v>
      </c>
      <c r="F72" s="10">
        <v>45320</v>
      </c>
      <c r="G72" s="94">
        <v>45352</v>
      </c>
      <c r="H72">
        <v>0.438</v>
      </c>
      <c r="I72">
        <v>0.13</v>
      </c>
      <c r="J72" t="s">
        <v>409</v>
      </c>
      <c r="K72" t="s">
        <v>130</v>
      </c>
      <c r="L72">
        <v>0.13100000000000001</v>
      </c>
      <c r="M72">
        <v>1.2999999999999999E-2</v>
      </c>
      <c r="N72" t="s">
        <v>409</v>
      </c>
      <c r="O72">
        <v>0.307</v>
      </c>
      <c r="P72">
        <v>0.17899999999999999</v>
      </c>
      <c r="Q72" t="s">
        <v>409</v>
      </c>
      <c r="R72" t="s">
        <v>130</v>
      </c>
      <c r="S72" t="s">
        <v>130</v>
      </c>
      <c r="T72" t="s">
        <v>130</v>
      </c>
      <c r="U72" t="s">
        <v>130</v>
      </c>
      <c r="V72" t="s">
        <v>130</v>
      </c>
      <c r="X72">
        <v>6.7000000000000004E-2</v>
      </c>
      <c r="Y72">
        <v>4.5999999999999999E-2</v>
      </c>
      <c r="Z72" t="s">
        <v>409</v>
      </c>
      <c r="AA72" t="s">
        <v>130</v>
      </c>
      <c r="AB72" t="s">
        <v>130</v>
      </c>
      <c r="AC72" t="s">
        <v>130</v>
      </c>
    </row>
    <row r="73" spans="1:29" ht="14.5" x14ac:dyDescent="0.35">
      <c r="A73" s="2" t="s">
        <v>466</v>
      </c>
      <c r="B73" s="1" t="s">
        <v>33</v>
      </c>
      <c r="C73" s="1">
        <v>45771</v>
      </c>
      <c r="D73" s="1" t="s">
        <v>116</v>
      </c>
      <c r="E73" s="10">
        <v>45373</v>
      </c>
      <c r="F73" s="10">
        <v>45619</v>
      </c>
      <c r="G73" s="94">
        <v>45737</v>
      </c>
      <c r="H73" t="s">
        <v>467</v>
      </c>
      <c r="I73">
        <v>0.13</v>
      </c>
      <c r="J73" t="s">
        <v>468</v>
      </c>
      <c r="K73" t="s">
        <v>130</v>
      </c>
      <c r="L73">
        <v>7.9000000000000001E-2</v>
      </c>
      <c r="M73">
        <v>1.2999999999999999E-2</v>
      </c>
      <c r="N73" t="s">
        <v>409</v>
      </c>
      <c r="O73">
        <v>0.84599999999999997</v>
      </c>
      <c r="P73">
        <v>0.17899999999999999</v>
      </c>
      <c r="Q73" t="s">
        <v>409</v>
      </c>
      <c r="R73" t="s">
        <v>130</v>
      </c>
      <c r="S73" t="s">
        <v>130</v>
      </c>
      <c r="T73" t="s">
        <v>130</v>
      </c>
      <c r="U73" t="s">
        <v>130</v>
      </c>
      <c r="V73" t="s">
        <v>130</v>
      </c>
      <c r="X73">
        <v>2.9000000000000001E-2</v>
      </c>
      <c r="Y73">
        <v>4.5999999999999999E-2</v>
      </c>
      <c r="Z73" t="s">
        <v>421</v>
      </c>
      <c r="AA73" t="s">
        <v>130</v>
      </c>
      <c r="AB73" t="s">
        <v>130</v>
      </c>
      <c r="AC73" t="s">
        <v>130</v>
      </c>
    </row>
    <row r="74" spans="1:29" ht="14.5" x14ac:dyDescent="0.35">
      <c r="A74" s="2" t="s">
        <v>469</v>
      </c>
      <c r="B74" s="1" t="s">
        <v>33</v>
      </c>
      <c r="C74" s="1">
        <v>45771</v>
      </c>
      <c r="D74" s="1" t="s">
        <v>115</v>
      </c>
      <c r="E74" s="10">
        <v>45374</v>
      </c>
      <c r="F74" s="10">
        <v>45619</v>
      </c>
      <c r="G74" s="94">
        <v>45737</v>
      </c>
      <c r="H74" t="s">
        <v>130</v>
      </c>
      <c r="I74" t="s">
        <v>130</v>
      </c>
      <c r="J74" t="s">
        <v>130</v>
      </c>
      <c r="K74" t="s">
        <v>130</v>
      </c>
      <c r="L74" t="s">
        <v>130</v>
      </c>
      <c r="M74" t="s">
        <v>130</v>
      </c>
      <c r="N74" t="s">
        <v>130</v>
      </c>
      <c r="O74" t="s">
        <v>130</v>
      </c>
      <c r="P74" t="s">
        <v>130</v>
      </c>
      <c r="Q74" t="s">
        <v>130</v>
      </c>
      <c r="R74">
        <v>109.3</v>
      </c>
      <c r="S74">
        <v>3.5</v>
      </c>
      <c r="T74" t="s">
        <v>130</v>
      </c>
      <c r="U74">
        <v>2.0470000000000002</v>
      </c>
      <c r="V74">
        <v>1.4999999999999999E-2</v>
      </c>
      <c r="Y74" t="s">
        <v>130</v>
      </c>
      <c r="AA74">
        <v>1047</v>
      </c>
      <c r="AB74">
        <v>10.4</v>
      </c>
      <c r="AC74" t="s">
        <v>130</v>
      </c>
    </row>
    <row r="75" spans="1:29" ht="14.5" x14ac:dyDescent="0.35">
      <c r="A75" s="2" t="s">
        <v>469</v>
      </c>
      <c r="B75" s="1" t="s">
        <v>33</v>
      </c>
      <c r="C75" s="1">
        <v>45771</v>
      </c>
      <c r="D75" s="1" t="s">
        <v>115</v>
      </c>
      <c r="E75" s="10">
        <v>45375</v>
      </c>
      <c r="F75" s="10"/>
      <c r="G75" s="94"/>
      <c r="H75" t="s">
        <v>130</v>
      </c>
      <c r="I75" t="s">
        <v>130</v>
      </c>
      <c r="J75" t="s">
        <v>130</v>
      </c>
      <c r="K75" t="s">
        <v>130</v>
      </c>
      <c r="L75" t="s">
        <v>130</v>
      </c>
      <c r="M75" t="s">
        <v>130</v>
      </c>
      <c r="N75" t="s">
        <v>130</v>
      </c>
      <c r="O75" t="s">
        <v>130</v>
      </c>
      <c r="P75" t="s">
        <v>130</v>
      </c>
      <c r="Q75" t="s">
        <v>130</v>
      </c>
      <c r="R75">
        <v>109.3</v>
      </c>
      <c r="S75">
        <v>3.5</v>
      </c>
      <c r="T75" t="s">
        <v>130</v>
      </c>
      <c r="U75">
        <v>2.0470000000000002</v>
      </c>
      <c r="V75">
        <v>1.4999999999999999E-2</v>
      </c>
      <c r="Y75" t="s">
        <v>130</v>
      </c>
      <c r="AA75">
        <v>1047</v>
      </c>
      <c r="AB75">
        <v>10.4</v>
      </c>
      <c r="AC75" t="s">
        <v>130</v>
      </c>
    </row>
    <row r="76" spans="1:29" ht="14.5" x14ac:dyDescent="0.35">
      <c r="A76" s="2" t="s">
        <v>470</v>
      </c>
      <c r="B76" s="1" t="s">
        <v>33</v>
      </c>
      <c r="C76" s="1">
        <v>45893</v>
      </c>
      <c r="D76" s="1" t="s">
        <v>115</v>
      </c>
      <c r="E76" s="10">
        <v>45376</v>
      </c>
      <c r="F76" s="10"/>
      <c r="G76" s="94"/>
      <c r="H76" t="s">
        <v>130</v>
      </c>
      <c r="I76" t="s">
        <v>130</v>
      </c>
      <c r="J76" t="s">
        <v>130</v>
      </c>
      <c r="K76" t="s">
        <v>130</v>
      </c>
      <c r="L76" t="s">
        <v>130</v>
      </c>
      <c r="M76" t="s">
        <v>130</v>
      </c>
      <c r="N76" t="s">
        <v>130</v>
      </c>
      <c r="O76" t="s">
        <v>130</v>
      </c>
      <c r="P76" t="s">
        <v>130</v>
      </c>
      <c r="Q76" t="s">
        <v>130</v>
      </c>
      <c r="R76">
        <v>163.6</v>
      </c>
      <c r="S76">
        <v>3.5</v>
      </c>
      <c r="T76" t="s">
        <v>130</v>
      </c>
      <c r="U76">
        <v>2.8740000000000001</v>
      </c>
      <c r="V76">
        <v>4.5999999999999999E-2</v>
      </c>
      <c r="Y76" t="s">
        <v>130</v>
      </c>
      <c r="AA76">
        <v>1330</v>
      </c>
      <c r="AB76">
        <v>10.4</v>
      </c>
      <c r="AC76" t="s">
        <v>130</v>
      </c>
    </row>
    <row r="77" spans="1:29" ht="14.5" x14ac:dyDescent="0.35">
      <c r="A77" s="2" t="s">
        <v>471</v>
      </c>
      <c r="B77" s="1" t="s">
        <v>42</v>
      </c>
      <c r="C77" s="1">
        <v>45681</v>
      </c>
      <c r="D77" s="1" t="s">
        <v>115</v>
      </c>
      <c r="E77" s="10">
        <v>45377</v>
      </c>
      <c r="F77" s="10">
        <v>45320</v>
      </c>
      <c r="G77" s="94">
        <v>45352</v>
      </c>
      <c r="H77" t="s">
        <v>130</v>
      </c>
      <c r="I77" t="s">
        <v>130</v>
      </c>
      <c r="J77" t="s">
        <v>130</v>
      </c>
      <c r="K77" t="s">
        <v>130</v>
      </c>
      <c r="L77" t="s">
        <v>130</v>
      </c>
      <c r="M77" t="s">
        <v>130</v>
      </c>
      <c r="N77" t="s">
        <v>130</v>
      </c>
      <c r="O77" t="s">
        <v>130</v>
      </c>
      <c r="P77" t="s">
        <v>130</v>
      </c>
      <c r="Q77" t="s">
        <v>130</v>
      </c>
      <c r="R77">
        <v>40.5</v>
      </c>
      <c r="S77">
        <v>3.5</v>
      </c>
      <c r="T77" t="s">
        <v>130</v>
      </c>
      <c r="U77">
        <v>0.77</v>
      </c>
      <c r="V77">
        <v>2.8000000000000001E-2</v>
      </c>
      <c r="Y77" t="s">
        <v>130</v>
      </c>
      <c r="AA77">
        <v>701.7</v>
      </c>
      <c r="AB77">
        <v>10.4</v>
      </c>
      <c r="AC77" t="s">
        <v>130</v>
      </c>
    </row>
    <row r="78" spans="1:29" ht="14.5" x14ac:dyDescent="0.35">
      <c r="A78" s="2" t="s">
        <v>472</v>
      </c>
      <c r="B78" s="1" t="s">
        <v>42</v>
      </c>
      <c r="C78" s="1" t="s">
        <v>109</v>
      </c>
      <c r="D78" s="1" t="s">
        <v>116</v>
      </c>
      <c r="E78" s="10">
        <v>45378</v>
      </c>
      <c r="F78" s="10">
        <v>45320</v>
      </c>
      <c r="G78" s="94">
        <v>45352</v>
      </c>
      <c r="H78">
        <v>0.47299999999999998</v>
      </c>
      <c r="I78">
        <v>0.13</v>
      </c>
      <c r="J78" t="s">
        <v>409</v>
      </c>
      <c r="K78" t="s">
        <v>130</v>
      </c>
      <c r="L78">
        <v>9.7000000000000003E-2</v>
      </c>
      <c r="M78">
        <v>1.2999999999999999E-2</v>
      </c>
      <c r="N78" t="s">
        <v>409</v>
      </c>
      <c r="O78">
        <v>7.2999999999999995E-2</v>
      </c>
      <c r="P78">
        <v>0.17899999999999999</v>
      </c>
      <c r="Q78" t="s">
        <v>421</v>
      </c>
      <c r="R78" t="s">
        <v>130</v>
      </c>
      <c r="S78" t="s">
        <v>130</v>
      </c>
      <c r="T78" t="s">
        <v>130</v>
      </c>
      <c r="U78" t="s">
        <v>130</v>
      </c>
      <c r="V78" t="s">
        <v>130</v>
      </c>
      <c r="X78">
        <v>7.0000000000000001E-3</v>
      </c>
      <c r="Y78">
        <v>4.5999999999999999E-2</v>
      </c>
      <c r="Z78" t="s">
        <v>421</v>
      </c>
      <c r="AA78" t="s">
        <v>130</v>
      </c>
      <c r="AB78" t="s">
        <v>130</v>
      </c>
      <c r="AC78" t="s">
        <v>130</v>
      </c>
    </row>
    <row r="79" spans="1:29" ht="14.5" x14ac:dyDescent="0.35">
      <c r="A79" s="2" t="s">
        <v>473</v>
      </c>
      <c r="B79" s="1" t="s">
        <v>42</v>
      </c>
      <c r="C79" s="1">
        <v>45771</v>
      </c>
      <c r="D79" s="1" t="s">
        <v>116</v>
      </c>
      <c r="E79" s="10">
        <v>45379</v>
      </c>
      <c r="F79" s="10">
        <v>45619</v>
      </c>
      <c r="G79" s="94">
        <v>45737</v>
      </c>
      <c r="H79">
        <v>0.29899999999999999</v>
      </c>
      <c r="I79">
        <v>0.13</v>
      </c>
      <c r="J79" t="s">
        <v>409</v>
      </c>
      <c r="K79" t="s">
        <v>130</v>
      </c>
      <c r="L79">
        <v>0.15</v>
      </c>
      <c r="M79">
        <v>1.2999999999999999E-2</v>
      </c>
      <c r="N79" t="s">
        <v>409</v>
      </c>
      <c r="O79">
        <v>3.82</v>
      </c>
      <c r="P79">
        <v>0.17899999999999999</v>
      </c>
      <c r="Q79" t="s">
        <v>130</v>
      </c>
      <c r="R79" t="s">
        <v>130</v>
      </c>
      <c r="S79" t="s">
        <v>130</v>
      </c>
      <c r="T79" t="s">
        <v>130</v>
      </c>
      <c r="U79" t="s">
        <v>130</v>
      </c>
      <c r="V79" t="s">
        <v>130</v>
      </c>
      <c r="X79">
        <v>1E-3</v>
      </c>
      <c r="Y79">
        <v>4.5999999999999999E-2</v>
      </c>
      <c r="Z79" t="s">
        <v>421</v>
      </c>
      <c r="AA79" t="s">
        <v>130</v>
      </c>
      <c r="AB79" t="s">
        <v>130</v>
      </c>
      <c r="AC79" t="s">
        <v>130</v>
      </c>
    </row>
    <row r="80" spans="1:29" ht="14.5" x14ac:dyDescent="0.35">
      <c r="A80" s="2" t="s">
        <v>474</v>
      </c>
      <c r="B80" s="1" t="s">
        <v>42</v>
      </c>
      <c r="C80" s="1">
        <v>45771</v>
      </c>
      <c r="D80" s="1" t="s">
        <v>115</v>
      </c>
      <c r="E80" s="10">
        <v>45380</v>
      </c>
      <c r="F80" s="10"/>
      <c r="G80" s="94"/>
      <c r="H80" t="s">
        <v>130</v>
      </c>
      <c r="I80" t="s">
        <v>130</v>
      </c>
      <c r="J80" t="s">
        <v>130</v>
      </c>
      <c r="K80" t="s">
        <v>130</v>
      </c>
      <c r="L80" t="s">
        <v>130</v>
      </c>
      <c r="M80" t="s">
        <v>130</v>
      </c>
      <c r="N80" t="s">
        <v>130</v>
      </c>
      <c r="O80" t="s">
        <v>130</v>
      </c>
      <c r="P80" t="s">
        <v>130</v>
      </c>
      <c r="Q80" t="s">
        <v>130</v>
      </c>
      <c r="R80">
        <v>89</v>
      </c>
      <c r="S80">
        <v>3.5</v>
      </c>
      <c r="T80" t="s">
        <v>130</v>
      </c>
      <c r="U80">
        <v>1.0469999999999999</v>
      </c>
      <c r="V80">
        <v>1.4999999999999999E-2</v>
      </c>
      <c r="Y80" t="s">
        <v>130</v>
      </c>
      <c r="AA80">
        <v>616.1</v>
      </c>
      <c r="AB80">
        <v>10.4</v>
      </c>
      <c r="AC80" t="s">
        <v>130</v>
      </c>
    </row>
    <row r="81" spans="1:29" ht="14.5" x14ac:dyDescent="0.35">
      <c r="A81" s="2" t="s">
        <v>474</v>
      </c>
      <c r="B81" s="1" t="s">
        <v>42</v>
      </c>
      <c r="C81" s="1">
        <v>45771</v>
      </c>
      <c r="D81" s="1" t="s">
        <v>115</v>
      </c>
      <c r="E81" s="10">
        <v>45381</v>
      </c>
      <c r="F81" s="10">
        <v>45619</v>
      </c>
      <c r="G81" s="94">
        <v>45737</v>
      </c>
      <c r="H81" t="s">
        <v>130</v>
      </c>
      <c r="I81" t="s">
        <v>130</v>
      </c>
      <c r="J81" t="s">
        <v>130</v>
      </c>
      <c r="K81" t="s">
        <v>130</v>
      </c>
      <c r="L81" t="s">
        <v>130</v>
      </c>
      <c r="M81" t="s">
        <v>130</v>
      </c>
      <c r="N81" t="s">
        <v>130</v>
      </c>
      <c r="O81" t="s">
        <v>130</v>
      </c>
      <c r="P81" t="s">
        <v>130</v>
      </c>
      <c r="Q81" t="s">
        <v>130</v>
      </c>
      <c r="R81">
        <v>89</v>
      </c>
      <c r="S81">
        <v>3.5</v>
      </c>
      <c r="T81" t="s">
        <v>130</v>
      </c>
      <c r="U81">
        <v>1.0469999999999999</v>
      </c>
      <c r="V81">
        <v>1.4999999999999999E-2</v>
      </c>
      <c r="Y81" t="s">
        <v>130</v>
      </c>
      <c r="AA81">
        <v>616.1</v>
      </c>
      <c r="AB81">
        <v>10.4</v>
      </c>
      <c r="AC81" t="s">
        <v>130</v>
      </c>
    </row>
    <row r="82" spans="1:29" ht="14.5" x14ac:dyDescent="0.35">
      <c r="A82" s="2" t="s">
        <v>475</v>
      </c>
      <c r="B82" s="1" t="s">
        <v>42</v>
      </c>
      <c r="C82" s="1">
        <v>45893</v>
      </c>
      <c r="D82" s="1" t="s">
        <v>115</v>
      </c>
      <c r="E82" s="10">
        <v>45382</v>
      </c>
      <c r="F82" s="10"/>
      <c r="G82" s="94"/>
      <c r="H82" t="s">
        <v>130</v>
      </c>
      <c r="I82" t="s">
        <v>130</v>
      </c>
      <c r="J82" t="s">
        <v>130</v>
      </c>
      <c r="K82" t="s">
        <v>130</v>
      </c>
      <c r="L82" t="s">
        <v>130</v>
      </c>
      <c r="M82" t="s">
        <v>130</v>
      </c>
      <c r="N82" t="s">
        <v>130</v>
      </c>
      <c r="O82" t="s">
        <v>130</v>
      </c>
      <c r="P82" t="s">
        <v>130</v>
      </c>
      <c r="Q82" t="s">
        <v>130</v>
      </c>
      <c r="R82">
        <v>81.900000000000006</v>
      </c>
      <c r="S82">
        <v>3.5</v>
      </c>
      <c r="T82" t="s">
        <v>130</v>
      </c>
      <c r="U82">
        <v>0.97599999999999998</v>
      </c>
      <c r="V82">
        <v>1.4999999999999999E-2</v>
      </c>
      <c r="Y82" t="s">
        <v>130</v>
      </c>
      <c r="AA82">
        <v>791.3</v>
      </c>
      <c r="AB82">
        <v>10.4</v>
      </c>
      <c r="AC82" t="s">
        <v>130</v>
      </c>
    </row>
    <row r="83" spans="1:29" ht="14.5" x14ac:dyDescent="0.35">
      <c r="A83" s="2" t="s">
        <v>476</v>
      </c>
      <c r="B83" s="1" t="s">
        <v>28</v>
      </c>
      <c r="C83" s="1">
        <v>45681</v>
      </c>
      <c r="D83" s="1" t="s">
        <v>115</v>
      </c>
      <c r="E83" s="10">
        <v>45383</v>
      </c>
      <c r="F83" s="10">
        <v>45320</v>
      </c>
      <c r="G83" s="94">
        <v>45352</v>
      </c>
      <c r="H83" t="s">
        <v>130</v>
      </c>
      <c r="I83" t="s">
        <v>130</v>
      </c>
      <c r="J83" t="s">
        <v>130</v>
      </c>
      <c r="K83" t="s">
        <v>130</v>
      </c>
      <c r="L83" t="s">
        <v>130</v>
      </c>
      <c r="M83" t="s">
        <v>130</v>
      </c>
      <c r="N83" t="s">
        <v>130</v>
      </c>
      <c r="O83" t="s">
        <v>130</v>
      </c>
      <c r="P83" t="s">
        <v>130</v>
      </c>
      <c r="Q83" t="s">
        <v>130</v>
      </c>
      <c r="R83">
        <v>109</v>
      </c>
      <c r="S83">
        <v>3.5</v>
      </c>
      <c r="T83" t="s">
        <v>130</v>
      </c>
      <c r="U83">
        <v>4.0659999999999998</v>
      </c>
      <c r="V83">
        <v>9.9000000000000005E-2</v>
      </c>
      <c r="Y83" t="s">
        <v>130</v>
      </c>
      <c r="AA83">
        <v>1193</v>
      </c>
      <c r="AB83">
        <v>10.4</v>
      </c>
      <c r="AC83" t="s">
        <v>130</v>
      </c>
    </row>
    <row r="84" spans="1:29" ht="14.5" x14ac:dyDescent="0.35">
      <c r="A84" s="2" t="s">
        <v>477</v>
      </c>
      <c r="B84" s="1" t="s">
        <v>54</v>
      </c>
      <c r="C84" s="1">
        <v>45681</v>
      </c>
      <c r="D84" s="1" t="s">
        <v>115</v>
      </c>
      <c r="E84" s="10">
        <v>45384</v>
      </c>
      <c r="F84" s="10">
        <v>45320</v>
      </c>
      <c r="G84" s="94">
        <v>45352</v>
      </c>
      <c r="H84" t="s">
        <v>130</v>
      </c>
      <c r="I84" t="s">
        <v>130</v>
      </c>
      <c r="J84" t="s">
        <v>130</v>
      </c>
      <c r="K84" t="s">
        <v>130</v>
      </c>
      <c r="L84" t="s">
        <v>130</v>
      </c>
      <c r="M84" t="s">
        <v>130</v>
      </c>
      <c r="N84" t="s">
        <v>130</v>
      </c>
      <c r="O84" t="s">
        <v>130</v>
      </c>
      <c r="P84" t="s">
        <v>130</v>
      </c>
      <c r="Q84" t="s">
        <v>130</v>
      </c>
      <c r="R84">
        <v>20.2</v>
      </c>
      <c r="S84">
        <v>3.5</v>
      </c>
      <c r="T84" t="s">
        <v>130</v>
      </c>
      <c r="U84">
        <v>0.34599999999999997</v>
      </c>
      <c r="V84">
        <v>2.8000000000000001E-2</v>
      </c>
      <c r="Y84" t="s">
        <v>130</v>
      </c>
      <c r="AA84">
        <v>286.8</v>
      </c>
      <c r="AB84">
        <v>10.4</v>
      </c>
      <c r="AC84" t="s">
        <v>130</v>
      </c>
    </row>
    <row r="85" spans="1:29" ht="14.5" x14ac:dyDescent="0.35">
      <c r="A85" s="2" t="s">
        <v>478</v>
      </c>
      <c r="B85" s="1" t="s">
        <v>54</v>
      </c>
      <c r="C85" s="1">
        <v>45985</v>
      </c>
      <c r="D85" s="1" t="s">
        <v>116</v>
      </c>
      <c r="E85" s="10">
        <v>45385</v>
      </c>
      <c r="F85" s="10"/>
      <c r="G85" s="94"/>
      <c r="H85">
        <v>0.48899999999999999</v>
      </c>
      <c r="I85">
        <v>0.13</v>
      </c>
      <c r="J85" t="s">
        <v>409</v>
      </c>
      <c r="K85" t="s">
        <v>130</v>
      </c>
      <c r="L85">
        <v>3.6999999999999998E-2</v>
      </c>
      <c r="M85">
        <v>1.2999999999999999E-2</v>
      </c>
      <c r="N85" t="s">
        <v>409</v>
      </c>
      <c r="O85">
        <v>0.219</v>
      </c>
      <c r="P85">
        <v>0.17899999999999999</v>
      </c>
      <c r="Q85" t="s">
        <v>409</v>
      </c>
      <c r="R85" t="s">
        <v>130</v>
      </c>
      <c r="S85" t="s">
        <v>130</v>
      </c>
      <c r="T85" t="s">
        <v>130</v>
      </c>
      <c r="U85" t="s">
        <v>130</v>
      </c>
      <c r="V85" t="s">
        <v>130</v>
      </c>
      <c r="X85">
        <v>2.3E-2</v>
      </c>
      <c r="Y85">
        <v>4.5999999999999999E-2</v>
      </c>
      <c r="Z85" t="s">
        <v>421</v>
      </c>
      <c r="AA85" t="s">
        <v>130</v>
      </c>
      <c r="AB85" t="s">
        <v>130</v>
      </c>
      <c r="AC85" t="s">
        <v>130</v>
      </c>
    </row>
    <row r="86" spans="1:29" ht="14.5" x14ac:dyDescent="0.35">
      <c r="A86" s="2" t="s">
        <v>479</v>
      </c>
      <c r="B86" s="1" t="s">
        <v>54</v>
      </c>
      <c r="C86" s="1">
        <v>45985</v>
      </c>
      <c r="D86" s="1" t="s">
        <v>115</v>
      </c>
      <c r="E86" s="10">
        <v>45386</v>
      </c>
      <c r="F86" s="10"/>
      <c r="G86" s="94"/>
      <c r="H86" t="s">
        <v>130</v>
      </c>
      <c r="I86" t="s">
        <v>130</v>
      </c>
      <c r="J86" t="s">
        <v>130</v>
      </c>
      <c r="K86" t="s">
        <v>130</v>
      </c>
      <c r="L86" t="s">
        <v>130</v>
      </c>
      <c r="M86" t="s">
        <v>130</v>
      </c>
      <c r="N86" t="s">
        <v>130</v>
      </c>
      <c r="O86" t="s">
        <v>130</v>
      </c>
      <c r="P86" t="s">
        <v>130</v>
      </c>
      <c r="Q86" t="s">
        <v>130</v>
      </c>
      <c r="R86">
        <v>48.1</v>
      </c>
      <c r="S86">
        <v>3.5</v>
      </c>
      <c r="T86" t="s">
        <v>130</v>
      </c>
      <c r="U86">
        <v>1.204</v>
      </c>
      <c r="V86">
        <v>1.4999999999999999E-2</v>
      </c>
      <c r="Y86" t="s">
        <v>130</v>
      </c>
      <c r="AA86">
        <v>531.79999999999995</v>
      </c>
      <c r="AB86">
        <v>10.4</v>
      </c>
      <c r="AC86" t="s">
        <v>130</v>
      </c>
    </row>
    <row r="87" spans="1:29" ht="14.5" x14ac:dyDescent="0.35">
      <c r="A87" s="2" t="s">
        <v>480</v>
      </c>
      <c r="B87" s="1" t="s">
        <v>54</v>
      </c>
      <c r="C87" s="1" t="s">
        <v>109</v>
      </c>
      <c r="D87" s="1" t="s">
        <v>116</v>
      </c>
      <c r="E87" s="10">
        <v>45387</v>
      </c>
      <c r="F87" s="10">
        <v>45204</v>
      </c>
      <c r="G87" s="94">
        <v>45352</v>
      </c>
      <c r="H87">
        <v>0.443</v>
      </c>
      <c r="I87">
        <v>0.13</v>
      </c>
      <c r="J87" t="s">
        <v>409</v>
      </c>
      <c r="K87" t="s">
        <v>130</v>
      </c>
      <c r="L87">
        <v>1.7999999999999999E-2</v>
      </c>
      <c r="M87">
        <v>1.2999999999999999E-2</v>
      </c>
      <c r="N87" t="s">
        <v>409</v>
      </c>
      <c r="O87">
        <v>0.28799999999999998</v>
      </c>
      <c r="P87">
        <v>0.17899999999999999</v>
      </c>
      <c r="Q87" t="s">
        <v>409</v>
      </c>
      <c r="R87" t="s">
        <v>130</v>
      </c>
      <c r="S87" t="s">
        <v>130</v>
      </c>
      <c r="T87" t="s">
        <v>130</v>
      </c>
      <c r="U87" t="s">
        <v>130</v>
      </c>
      <c r="V87" t="s">
        <v>130</v>
      </c>
      <c r="X87">
        <v>3.7999999999999999E-2</v>
      </c>
      <c r="Y87">
        <v>4.5999999999999999E-2</v>
      </c>
      <c r="Z87" t="s">
        <v>421</v>
      </c>
      <c r="AA87" t="s">
        <v>130</v>
      </c>
      <c r="AB87" t="s">
        <v>130</v>
      </c>
      <c r="AC87" t="s">
        <v>130</v>
      </c>
    </row>
    <row r="88" spans="1:29" ht="14.5" x14ac:dyDescent="0.35">
      <c r="A88" s="2" t="s">
        <v>481</v>
      </c>
      <c r="B88" s="1" t="s">
        <v>54</v>
      </c>
      <c r="C88" s="1">
        <v>45771</v>
      </c>
      <c r="D88" s="1" t="s">
        <v>116</v>
      </c>
      <c r="E88" s="10">
        <v>45388</v>
      </c>
      <c r="F88" s="10">
        <v>45619</v>
      </c>
      <c r="G88" s="94">
        <v>45737</v>
      </c>
      <c r="H88">
        <v>0.154</v>
      </c>
      <c r="I88">
        <v>0.13</v>
      </c>
      <c r="J88" t="s">
        <v>409</v>
      </c>
      <c r="K88" t="s">
        <v>130</v>
      </c>
      <c r="L88">
        <v>4.1000000000000002E-2</v>
      </c>
      <c r="M88">
        <v>1.2999999999999999E-2</v>
      </c>
      <c r="N88" t="s">
        <v>409</v>
      </c>
      <c r="O88">
        <v>0.249</v>
      </c>
      <c r="P88">
        <v>0.17899999999999999</v>
      </c>
      <c r="Q88" t="s">
        <v>409</v>
      </c>
      <c r="R88" t="s">
        <v>130</v>
      </c>
      <c r="S88" t="s">
        <v>130</v>
      </c>
      <c r="T88" t="s">
        <v>130</v>
      </c>
      <c r="U88" t="s">
        <v>130</v>
      </c>
      <c r="V88" t="s">
        <v>130</v>
      </c>
      <c r="X88">
        <v>1.2999999999999999E-2</v>
      </c>
      <c r="Y88">
        <v>4.5999999999999999E-2</v>
      </c>
      <c r="Z88" t="s">
        <v>421</v>
      </c>
      <c r="AA88" t="s">
        <v>130</v>
      </c>
      <c r="AB88" t="s">
        <v>130</v>
      </c>
      <c r="AC88" t="s">
        <v>130</v>
      </c>
    </row>
    <row r="89" spans="1:29" ht="14.5" x14ac:dyDescent="0.35">
      <c r="A89" s="2" t="s">
        <v>482</v>
      </c>
      <c r="B89" s="1" t="s">
        <v>54</v>
      </c>
      <c r="C89" s="1">
        <v>45771</v>
      </c>
      <c r="D89" s="1" t="s">
        <v>115</v>
      </c>
      <c r="E89" s="10">
        <v>45389</v>
      </c>
      <c r="F89" s="10"/>
      <c r="G89" s="94"/>
      <c r="H89" t="s">
        <v>130</v>
      </c>
      <c r="I89" t="s">
        <v>130</v>
      </c>
      <c r="J89" t="s">
        <v>130</v>
      </c>
      <c r="K89" t="s">
        <v>130</v>
      </c>
      <c r="L89" t="s">
        <v>130</v>
      </c>
      <c r="M89" t="s">
        <v>130</v>
      </c>
      <c r="N89" t="s">
        <v>130</v>
      </c>
      <c r="O89" t="s">
        <v>130</v>
      </c>
      <c r="P89" t="s">
        <v>130</v>
      </c>
      <c r="Q89" t="s">
        <v>130</v>
      </c>
      <c r="R89">
        <v>20.7</v>
      </c>
      <c r="S89">
        <v>3.5</v>
      </c>
      <c r="T89" t="s">
        <v>130</v>
      </c>
      <c r="U89">
        <v>0.41499999999999998</v>
      </c>
      <c r="V89">
        <v>1.4999999999999999E-2</v>
      </c>
      <c r="Y89" t="s">
        <v>130</v>
      </c>
      <c r="AA89">
        <v>256.39999999999998</v>
      </c>
      <c r="AB89">
        <v>10.4</v>
      </c>
      <c r="AC89" t="s">
        <v>130</v>
      </c>
    </row>
    <row r="90" spans="1:29" ht="14.5" x14ac:dyDescent="0.35">
      <c r="A90" s="2" t="s">
        <v>482</v>
      </c>
      <c r="B90" s="1" t="s">
        <v>54</v>
      </c>
      <c r="C90" s="1">
        <v>45771</v>
      </c>
      <c r="D90" s="1" t="s">
        <v>115</v>
      </c>
      <c r="E90" s="10">
        <v>45390</v>
      </c>
      <c r="F90" s="10">
        <v>45619</v>
      </c>
      <c r="G90" s="94">
        <v>45737</v>
      </c>
      <c r="H90" t="s">
        <v>130</v>
      </c>
      <c r="I90" t="s">
        <v>130</v>
      </c>
      <c r="J90" t="s">
        <v>130</v>
      </c>
      <c r="K90" t="s">
        <v>130</v>
      </c>
      <c r="L90" t="s">
        <v>130</v>
      </c>
      <c r="M90" t="s">
        <v>130</v>
      </c>
      <c r="N90" t="s">
        <v>130</v>
      </c>
      <c r="O90" t="s">
        <v>130</v>
      </c>
      <c r="P90" t="s">
        <v>130</v>
      </c>
      <c r="Q90" t="s">
        <v>130</v>
      </c>
      <c r="R90">
        <v>20.7</v>
      </c>
      <c r="S90">
        <v>3.5</v>
      </c>
      <c r="T90" t="s">
        <v>130</v>
      </c>
      <c r="U90">
        <v>0.41499999999999998</v>
      </c>
      <c r="V90">
        <v>1.4999999999999999E-2</v>
      </c>
      <c r="Y90" t="s">
        <v>130</v>
      </c>
      <c r="AA90">
        <v>256.39999999999998</v>
      </c>
      <c r="AB90">
        <v>10.4</v>
      </c>
      <c r="AC90" t="s">
        <v>130</v>
      </c>
    </row>
    <row r="91" spans="1:29" ht="14.5" x14ac:dyDescent="0.35">
      <c r="A91" s="2" t="s">
        <v>483</v>
      </c>
      <c r="B91" s="1" t="s">
        <v>54</v>
      </c>
      <c r="C91" s="1">
        <v>45893</v>
      </c>
      <c r="D91" s="1" t="s">
        <v>116</v>
      </c>
      <c r="E91" s="10">
        <v>45391</v>
      </c>
      <c r="F91" s="10"/>
      <c r="G91" s="94"/>
      <c r="H91">
        <v>0.23899999999999999</v>
      </c>
      <c r="I91">
        <v>0.13</v>
      </c>
      <c r="J91" t="s">
        <v>409</v>
      </c>
      <c r="K91" t="s">
        <v>130</v>
      </c>
      <c r="L91">
        <v>2.3E-2</v>
      </c>
      <c r="M91">
        <v>1.2999999999999999E-2</v>
      </c>
      <c r="N91" t="s">
        <v>409</v>
      </c>
      <c r="O91">
        <v>0.67100000000000004</v>
      </c>
      <c r="P91">
        <v>0.17899999999999999</v>
      </c>
      <c r="Q91" t="s">
        <v>409</v>
      </c>
      <c r="R91" t="s">
        <v>130</v>
      </c>
      <c r="S91" t="s">
        <v>130</v>
      </c>
      <c r="T91" t="s">
        <v>130</v>
      </c>
      <c r="U91" t="s">
        <v>130</v>
      </c>
      <c r="V91" t="s">
        <v>130</v>
      </c>
      <c r="X91">
        <v>8.9999999999999993E-3</v>
      </c>
      <c r="Y91">
        <v>4.5999999999999999E-2</v>
      </c>
      <c r="Z91" t="s">
        <v>421</v>
      </c>
      <c r="AA91" t="s">
        <v>130</v>
      </c>
      <c r="AB91" t="s">
        <v>130</v>
      </c>
      <c r="AC91" t="s">
        <v>130</v>
      </c>
    </row>
    <row r="92" spans="1:29" ht="14.5" x14ac:dyDescent="0.35">
      <c r="A92" s="2" t="s">
        <v>484</v>
      </c>
      <c r="B92" s="1" t="s">
        <v>54</v>
      </c>
      <c r="C92" s="1">
        <v>45893</v>
      </c>
      <c r="D92" s="1" t="s">
        <v>115</v>
      </c>
      <c r="E92" s="10">
        <v>45392</v>
      </c>
      <c r="F92" s="10"/>
      <c r="G92" s="94"/>
      <c r="H92" t="s">
        <v>130</v>
      </c>
      <c r="I92" t="s">
        <v>130</v>
      </c>
      <c r="J92" t="s">
        <v>130</v>
      </c>
      <c r="K92" t="s">
        <v>130</v>
      </c>
      <c r="L92" t="s">
        <v>130</v>
      </c>
      <c r="M92" t="s">
        <v>130</v>
      </c>
      <c r="N92" t="s">
        <v>130</v>
      </c>
      <c r="O92" t="s">
        <v>130</v>
      </c>
      <c r="P92" t="s">
        <v>130</v>
      </c>
      <c r="Q92" t="s">
        <v>130</v>
      </c>
      <c r="R92">
        <v>35.5</v>
      </c>
      <c r="S92">
        <v>3.5</v>
      </c>
      <c r="T92" t="s">
        <v>130</v>
      </c>
      <c r="U92">
        <v>0.31</v>
      </c>
      <c r="V92">
        <v>1.4999999999999999E-2</v>
      </c>
      <c r="Y92" t="s">
        <v>130</v>
      </c>
      <c r="AA92">
        <v>498.4</v>
      </c>
      <c r="AB92">
        <v>10.4</v>
      </c>
      <c r="AC92" t="s">
        <v>130</v>
      </c>
    </row>
    <row r="93" spans="1:29" ht="14.5" x14ac:dyDescent="0.35">
      <c r="A93" s="2" t="s">
        <v>485</v>
      </c>
      <c r="B93" s="1" t="s">
        <v>34</v>
      </c>
      <c r="C93" s="1">
        <v>45681</v>
      </c>
      <c r="D93" s="1" t="s">
        <v>115</v>
      </c>
      <c r="E93" s="10">
        <v>45393</v>
      </c>
      <c r="F93" s="10">
        <v>45320</v>
      </c>
      <c r="G93" s="94">
        <v>45352</v>
      </c>
      <c r="H93" t="s">
        <v>130</v>
      </c>
      <c r="I93" t="s">
        <v>130</v>
      </c>
      <c r="J93" t="s">
        <v>130</v>
      </c>
      <c r="K93" t="s">
        <v>130</v>
      </c>
      <c r="L93" t="s">
        <v>130</v>
      </c>
      <c r="M93" t="s">
        <v>130</v>
      </c>
      <c r="N93" t="s">
        <v>130</v>
      </c>
      <c r="O93" t="s">
        <v>130</v>
      </c>
      <c r="P93" t="s">
        <v>130</v>
      </c>
      <c r="Q93" t="s">
        <v>130</v>
      </c>
      <c r="R93">
        <v>65.2</v>
      </c>
      <c r="S93">
        <v>3.5</v>
      </c>
      <c r="T93" t="s">
        <v>130</v>
      </c>
      <c r="U93">
        <v>0.97499999999999998</v>
      </c>
      <c r="V93">
        <v>3.1E-2</v>
      </c>
      <c r="Y93" t="s">
        <v>130</v>
      </c>
      <c r="AA93">
        <v>901.7</v>
      </c>
      <c r="AB93">
        <v>10.4</v>
      </c>
      <c r="AC93" t="s">
        <v>130</v>
      </c>
    </row>
    <row r="94" spans="1:29" ht="14.5" x14ac:dyDescent="0.35">
      <c r="A94" s="2" t="s">
        <v>486</v>
      </c>
      <c r="B94" s="1" t="s">
        <v>34</v>
      </c>
      <c r="C94" s="1">
        <v>45985</v>
      </c>
      <c r="D94" s="1" t="s">
        <v>116</v>
      </c>
      <c r="E94" s="10">
        <v>45394</v>
      </c>
      <c r="F94" s="10"/>
      <c r="G94" s="94"/>
      <c r="H94">
        <v>0.51300000000000001</v>
      </c>
      <c r="I94">
        <v>0.13</v>
      </c>
      <c r="J94" t="s">
        <v>409</v>
      </c>
      <c r="K94" t="s">
        <v>130</v>
      </c>
      <c r="L94">
        <v>4.8000000000000001E-2</v>
      </c>
      <c r="M94">
        <v>1.2999999999999999E-2</v>
      </c>
      <c r="N94" t="s">
        <v>409</v>
      </c>
      <c r="O94">
        <v>0.20300000000000001</v>
      </c>
      <c r="P94">
        <v>0.17899999999999999</v>
      </c>
      <c r="Q94" t="s">
        <v>409</v>
      </c>
      <c r="R94" t="s">
        <v>130</v>
      </c>
      <c r="S94" t="s">
        <v>130</v>
      </c>
      <c r="T94" t="s">
        <v>130</v>
      </c>
      <c r="U94" t="s">
        <v>130</v>
      </c>
      <c r="V94" t="s">
        <v>130</v>
      </c>
      <c r="X94">
        <v>1.7999999999999999E-2</v>
      </c>
      <c r="Y94">
        <v>4.5999999999999999E-2</v>
      </c>
      <c r="Z94" t="s">
        <v>421</v>
      </c>
      <c r="AA94" t="s">
        <v>130</v>
      </c>
      <c r="AB94" t="s">
        <v>130</v>
      </c>
      <c r="AC94" t="s">
        <v>130</v>
      </c>
    </row>
    <row r="95" spans="1:29" ht="14.5" x14ac:dyDescent="0.35">
      <c r="A95" s="2" t="s">
        <v>487</v>
      </c>
      <c r="B95" s="1" t="s">
        <v>34</v>
      </c>
      <c r="C95" s="1">
        <v>45985</v>
      </c>
      <c r="D95" s="1" t="s">
        <v>115</v>
      </c>
      <c r="E95" s="10">
        <v>45395</v>
      </c>
      <c r="F95" s="10"/>
      <c r="G95" s="94"/>
      <c r="H95" t="s">
        <v>130</v>
      </c>
      <c r="I95" t="s">
        <v>130</v>
      </c>
      <c r="J95" t="s">
        <v>130</v>
      </c>
      <c r="K95" t="s">
        <v>130</v>
      </c>
      <c r="L95" t="s">
        <v>130</v>
      </c>
      <c r="M95" t="s">
        <v>130</v>
      </c>
      <c r="N95" t="s">
        <v>130</v>
      </c>
      <c r="O95" t="s">
        <v>130</v>
      </c>
      <c r="P95" t="s">
        <v>130</v>
      </c>
      <c r="Q95" t="s">
        <v>130</v>
      </c>
      <c r="R95">
        <v>16</v>
      </c>
      <c r="S95">
        <v>3.5</v>
      </c>
      <c r="T95" t="s">
        <v>409</v>
      </c>
      <c r="U95">
        <v>0.51600000000000001</v>
      </c>
      <c r="V95">
        <v>1.4999999999999999E-2</v>
      </c>
      <c r="Y95" t="s">
        <v>130</v>
      </c>
      <c r="AA95">
        <v>245.5</v>
      </c>
      <c r="AB95">
        <v>10.4</v>
      </c>
      <c r="AC95" t="s">
        <v>130</v>
      </c>
    </row>
    <row r="96" spans="1:29" ht="14.5" x14ac:dyDescent="0.35">
      <c r="A96" s="2" t="s">
        <v>488</v>
      </c>
      <c r="B96" s="1" t="s">
        <v>34</v>
      </c>
      <c r="C96" s="1" t="s">
        <v>109</v>
      </c>
      <c r="D96" s="1" t="s">
        <v>116</v>
      </c>
      <c r="E96" s="10">
        <v>45396</v>
      </c>
      <c r="F96" s="10">
        <v>45320</v>
      </c>
      <c r="G96" s="94">
        <v>45352</v>
      </c>
      <c r="H96">
        <v>0.34300000000000003</v>
      </c>
      <c r="I96">
        <v>0.124</v>
      </c>
      <c r="J96" t="s">
        <v>409</v>
      </c>
      <c r="K96" t="s">
        <v>130</v>
      </c>
      <c r="L96">
        <v>7.6999999999999999E-2</v>
      </c>
      <c r="M96">
        <v>1.4999999999999999E-2</v>
      </c>
      <c r="N96" t="s">
        <v>409</v>
      </c>
      <c r="O96">
        <v>0.155</v>
      </c>
      <c r="P96">
        <v>0.19600000000000001</v>
      </c>
      <c r="Q96" t="s">
        <v>421</v>
      </c>
      <c r="R96" t="s">
        <v>130</v>
      </c>
      <c r="S96" t="s">
        <v>130</v>
      </c>
      <c r="T96" t="s">
        <v>130</v>
      </c>
      <c r="U96" t="s">
        <v>130</v>
      </c>
      <c r="V96" t="s">
        <v>130</v>
      </c>
      <c r="X96">
        <v>1.0999999999999999E-2</v>
      </c>
      <c r="Y96">
        <v>6.2E-2</v>
      </c>
      <c r="Z96" t="s">
        <v>421</v>
      </c>
      <c r="AA96" t="s">
        <v>130</v>
      </c>
      <c r="AB96" t="s">
        <v>130</v>
      </c>
      <c r="AC96" t="s">
        <v>130</v>
      </c>
    </row>
    <row r="97" spans="1:29" ht="14.5" x14ac:dyDescent="0.35">
      <c r="A97" s="2" t="s">
        <v>489</v>
      </c>
      <c r="B97" s="1" t="s">
        <v>34</v>
      </c>
      <c r="C97" s="1">
        <v>45771</v>
      </c>
      <c r="D97" s="1" t="s">
        <v>116</v>
      </c>
      <c r="E97" s="10">
        <v>45397</v>
      </c>
      <c r="F97" s="10">
        <v>45619</v>
      </c>
      <c r="G97" s="94">
        <v>45737</v>
      </c>
      <c r="H97">
        <v>1.105</v>
      </c>
      <c r="I97">
        <v>0.124</v>
      </c>
      <c r="J97" t="s">
        <v>130</v>
      </c>
      <c r="K97" t="s">
        <v>130</v>
      </c>
      <c r="L97">
        <v>0.155</v>
      </c>
      <c r="M97">
        <v>1.4999999999999999E-2</v>
      </c>
      <c r="N97" t="s">
        <v>409</v>
      </c>
      <c r="O97">
        <v>1.4850000000000001</v>
      </c>
      <c r="P97">
        <v>0.19600000000000001</v>
      </c>
      <c r="Q97" t="s">
        <v>130</v>
      </c>
      <c r="R97" t="s">
        <v>130</v>
      </c>
      <c r="S97" t="s">
        <v>130</v>
      </c>
      <c r="T97" t="s">
        <v>130</v>
      </c>
      <c r="U97" t="s">
        <v>130</v>
      </c>
      <c r="V97" t="s">
        <v>130</v>
      </c>
      <c r="X97">
        <v>5.2999999999999999E-2</v>
      </c>
      <c r="Y97">
        <v>6.2E-2</v>
      </c>
      <c r="Z97" t="s">
        <v>421</v>
      </c>
      <c r="AA97" t="s">
        <v>130</v>
      </c>
      <c r="AB97" t="s">
        <v>130</v>
      </c>
      <c r="AC97" t="s">
        <v>130</v>
      </c>
    </row>
    <row r="98" spans="1:29" ht="14.5" x14ac:dyDescent="0.35">
      <c r="A98" s="2" t="s">
        <v>490</v>
      </c>
      <c r="B98" s="1" t="s">
        <v>34</v>
      </c>
      <c r="C98" s="1">
        <v>45771</v>
      </c>
      <c r="D98" s="1" t="s">
        <v>115</v>
      </c>
      <c r="E98" s="10">
        <v>45398</v>
      </c>
      <c r="F98" s="10"/>
      <c r="G98" s="94"/>
      <c r="H98" t="s">
        <v>130</v>
      </c>
      <c r="I98" t="s">
        <v>130</v>
      </c>
      <c r="J98" t="s">
        <v>130</v>
      </c>
      <c r="K98" t="s">
        <v>130</v>
      </c>
      <c r="L98" t="s">
        <v>130</v>
      </c>
      <c r="M98" t="s">
        <v>130</v>
      </c>
      <c r="N98" t="s">
        <v>130</v>
      </c>
      <c r="O98" t="s">
        <v>130</v>
      </c>
      <c r="P98" t="s">
        <v>130</v>
      </c>
      <c r="Q98" t="s">
        <v>130</v>
      </c>
      <c r="R98">
        <v>68.099999999999994</v>
      </c>
      <c r="S98">
        <v>3.5</v>
      </c>
      <c r="T98" t="s">
        <v>130</v>
      </c>
      <c r="U98">
        <v>1.0029999999999999</v>
      </c>
      <c r="V98">
        <v>1.6E-2</v>
      </c>
      <c r="Y98" t="s">
        <v>130</v>
      </c>
      <c r="AA98">
        <v>465.7</v>
      </c>
      <c r="AB98">
        <v>10.4</v>
      </c>
      <c r="AC98" t="s">
        <v>130</v>
      </c>
    </row>
    <row r="99" spans="1:29" ht="14.5" x14ac:dyDescent="0.35">
      <c r="A99" s="2" t="s">
        <v>490</v>
      </c>
      <c r="B99" s="1" t="s">
        <v>34</v>
      </c>
      <c r="C99" s="1">
        <v>45771</v>
      </c>
      <c r="D99" s="1" t="s">
        <v>115</v>
      </c>
      <c r="E99" s="10">
        <v>45399</v>
      </c>
      <c r="F99" s="10">
        <v>45619</v>
      </c>
      <c r="G99" s="94">
        <v>45737</v>
      </c>
      <c r="H99" t="s">
        <v>130</v>
      </c>
      <c r="I99" t="s">
        <v>130</v>
      </c>
      <c r="J99" t="s">
        <v>130</v>
      </c>
      <c r="K99" t="s">
        <v>130</v>
      </c>
      <c r="L99" t="s">
        <v>130</v>
      </c>
      <c r="M99" t="s">
        <v>130</v>
      </c>
      <c r="N99" t="s">
        <v>130</v>
      </c>
      <c r="O99" t="s">
        <v>130</v>
      </c>
      <c r="P99" t="s">
        <v>130</v>
      </c>
      <c r="Q99" t="s">
        <v>130</v>
      </c>
      <c r="R99">
        <v>68.099999999999994</v>
      </c>
      <c r="S99">
        <v>3.5</v>
      </c>
      <c r="T99" t="s">
        <v>130</v>
      </c>
      <c r="U99">
        <v>1.0029999999999999</v>
      </c>
      <c r="V99">
        <v>1.6E-2</v>
      </c>
      <c r="Y99" t="s">
        <v>130</v>
      </c>
      <c r="AA99">
        <v>465.7</v>
      </c>
      <c r="AB99">
        <v>10.4</v>
      </c>
      <c r="AC99" t="s">
        <v>130</v>
      </c>
    </row>
    <row r="100" spans="1:29" ht="14.5" x14ac:dyDescent="0.35">
      <c r="A100" s="2" t="s">
        <v>491</v>
      </c>
      <c r="B100" s="1" t="s">
        <v>34</v>
      </c>
      <c r="C100" s="1">
        <v>45893</v>
      </c>
      <c r="D100" s="1" t="s">
        <v>116</v>
      </c>
      <c r="E100" s="10">
        <v>45400</v>
      </c>
      <c r="F100" s="10"/>
      <c r="G100" s="94"/>
      <c r="H100">
        <v>0.79500000000000004</v>
      </c>
      <c r="I100">
        <v>0.124</v>
      </c>
      <c r="J100" t="s">
        <v>409</v>
      </c>
      <c r="K100" t="s">
        <v>130</v>
      </c>
      <c r="L100">
        <v>1.7000000000000001E-2</v>
      </c>
      <c r="M100">
        <v>1.4999999999999999E-2</v>
      </c>
      <c r="N100" t="s">
        <v>409</v>
      </c>
      <c r="O100">
        <v>1.1870000000000001</v>
      </c>
      <c r="P100">
        <v>0.19600000000000001</v>
      </c>
      <c r="Q100" t="s">
        <v>130</v>
      </c>
      <c r="R100" t="s">
        <v>130</v>
      </c>
      <c r="S100" t="s">
        <v>130</v>
      </c>
      <c r="T100" t="s">
        <v>130</v>
      </c>
      <c r="U100" t="s">
        <v>130</v>
      </c>
      <c r="V100" t="s">
        <v>130</v>
      </c>
      <c r="X100">
        <v>3.5000000000000003E-2</v>
      </c>
      <c r="Y100">
        <v>6.2E-2</v>
      </c>
      <c r="Z100" t="s">
        <v>421</v>
      </c>
      <c r="AA100" t="s">
        <v>130</v>
      </c>
      <c r="AB100" t="s">
        <v>130</v>
      </c>
      <c r="AC100" t="s">
        <v>130</v>
      </c>
    </row>
    <row r="101" spans="1:29" ht="14.5" x14ac:dyDescent="0.35">
      <c r="A101" s="2" t="s">
        <v>492</v>
      </c>
      <c r="B101" s="1" t="s">
        <v>34</v>
      </c>
      <c r="C101" s="1">
        <v>45893</v>
      </c>
      <c r="D101" s="1" t="s">
        <v>115</v>
      </c>
      <c r="E101" s="10">
        <v>45401</v>
      </c>
      <c r="F101" s="10"/>
      <c r="G101" s="94"/>
      <c r="H101" t="s">
        <v>130</v>
      </c>
      <c r="I101" t="s">
        <v>130</v>
      </c>
      <c r="J101" t="s">
        <v>130</v>
      </c>
      <c r="K101" t="s">
        <v>130</v>
      </c>
      <c r="L101" t="s">
        <v>130</v>
      </c>
      <c r="M101" t="s">
        <v>130</v>
      </c>
      <c r="N101" t="s">
        <v>130</v>
      </c>
      <c r="O101" t="s">
        <v>130</v>
      </c>
      <c r="P101" t="s">
        <v>130</v>
      </c>
      <c r="Q101" t="s">
        <v>130</v>
      </c>
      <c r="R101">
        <v>88.6</v>
      </c>
      <c r="S101">
        <v>3.5</v>
      </c>
      <c r="T101" t="s">
        <v>130</v>
      </c>
      <c r="U101">
        <v>1.0629999999999999</v>
      </c>
      <c r="V101">
        <v>1.6E-2</v>
      </c>
      <c r="Y101" t="s">
        <v>130</v>
      </c>
      <c r="AA101">
        <v>1397</v>
      </c>
      <c r="AB101">
        <v>10.4</v>
      </c>
      <c r="AC101" t="s">
        <v>130</v>
      </c>
    </row>
    <row r="102" spans="1:29" ht="14.5" x14ac:dyDescent="0.35">
      <c r="A102" s="2" t="s">
        <v>493</v>
      </c>
      <c r="B102" s="1" t="s">
        <v>35</v>
      </c>
      <c r="C102" s="1">
        <v>45681</v>
      </c>
      <c r="D102" s="1" t="s">
        <v>115</v>
      </c>
      <c r="E102" s="10">
        <v>45402</v>
      </c>
      <c r="F102" s="10">
        <v>45320</v>
      </c>
      <c r="G102" s="94">
        <v>45352</v>
      </c>
      <c r="H102" t="s">
        <v>130</v>
      </c>
      <c r="I102" t="s">
        <v>130</v>
      </c>
      <c r="J102" t="s">
        <v>130</v>
      </c>
      <c r="K102" t="s">
        <v>130</v>
      </c>
      <c r="L102" t="s">
        <v>130</v>
      </c>
      <c r="M102" t="s">
        <v>130</v>
      </c>
      <c r="N102" t="s">
        <v>130</v>
      </c>
      <c r="O102" t="s">
        <v>130</v>
      </c>
      <c r="P102" t="s">
        <v>130</v>
      </c>
      <c r="Q102" t="s">
        <v>130</v>
      </c>
      <c r="R102">
        <v>62.9</v>
      </c>
      <c r="S102">
        <v>3.5</v>
      </c>
      <c r="T102" t="s">
        <v>130</v>
      </c>
      <c r="U102">
        <v>0.63600000000000001</v>
      </c>
      <c r="V102">
        <v>3.1E-2</v>
      </c>
      <c r="Y102" t="s">
        <v>130</v>
      </c>
      <c r="AA102">
        <v>900</v>
      </c>
      <c r="AB102">
        <v>10.4</v>
      </c>
      <c r="AC102" t="s">
        <v>130</v>
      </c>
    </row>
    <row r="103" spans="1:29" ht="14.5" x14ac:dyDescent="0.35">
      <c r="A103" s="2" t="s">
        <v>494</v>
      </c>
      <c r="B103" s="1" t="s">
        <v>35</v>
      </c>
      <c r="C103" s="1">
        <v>45771</v>
      </c>
      <c r="D103" s="1" t="s">
        <v>116</v>
      </c>
      <c r="E103" s="10">
        <v>45403</v>
      </c>
      <c r="F103" s="10">
        <v>45619</v>
      </c>
      <c r="G103" s="94">
        <v>45737</v>
      </c>
      <c r="H103">
        <v>1.06</v>
      </c>
      <c r="I103">
        <v>0.124</v>
      </c>
      <c r="J103" t="s">
        <v>130</v>
      </c>
      <c r="K103" t="s">
        <v>130</v>
      </c>
      <c r="L103">
        <v>0.13900000000000001</v>
      </c>
      <c r="M103">
        <v>1.4999999999999999E-2</v>
      </c>
      <c r="N103" t="s">
        <v>409</v>
      </c>
      <c r="O103">
        <v>1.4710000000000001</v>
      </c>
      <c r="P103">
        <v>0.19600000000000001</v>
      </c>
      <c r="Q103" t="s">
        <v>130</v>
      </c>
      <c r="R103" t="s">
        <v>130</v>
      </c>
      <c r="S103" t="s">
        <v>130</v>
      </c>
      <c r="T103" t="s">
        <v>130</v>
      </c>
      <c r="U103" t="s">
        <v>130</v>
      </c>
      <c r="V103" t="s">
        <v>130</v>
      </c>
      <c r="X103">
        <v>3.4000000000000002E-2</v>
      </c>
      <c r="Y103">
        <v>6.2E-2</v>
      </c>
      <c r="Z103" t="s">
        <v>421</v>
      </c>
      <c r="AA103" t="s">
        <v>130</v>
      </c>
      <c r="AB103" t="s">
        <v>130</v>
      </c>
      <c r="AC103" t="s">
        <v>130</v>
      </c>
    </row>
    <row r="104" spans="1:29" ht="14.5" x14ac:dyDescent="0.35">
      <c r="A104" s="2" t="s">
        <v>495</v>
      </c>
      <c r="B104" s="1" t="s">
        <v>35</v>
      </c>
      <c r="C104" s="1">
        <v>45771</v>
      </c>
      <c r="D104" s="1" t="s">
        <v>115</v>
      </c>
      <c r="E104" s="10">
        <v>45404</v>
      </c>
      <c r="F104" s="10">
        <v>45619</v>
      </c>
      <c r="G104" s="94">
        <v>45737</v>
      </c>
      <c r="H104" t="s">
        <v>130</v>
      </c>
      <c r="I104" t="s">
        <v>130</v>
      </c>
      <c r="J104" t="s">
        <v>130</v>
      </c>
      <c r="K104" t="s">
        <v>130</v>
      </c>
      <c r="L104" t="s">
        <v>130</v>
      </c>
      <c r="M104" t="s">
        <v>130</v>
      </c>
      <c r="N104" t="s">
        <v>130</v>
      </c>
      <c r="O104" t="s">
        <v>130</v>
      </c>
      <c r="P104" t="s">
        <v>130</v>
      </c>
      <c r="Q104" t="s">
        <v>130</v>
      </c>
      <c r="R104">
        <v>88.1</v>
      </c>
      <c r="S104">
        <v>3.5</v>
      </c>
      <c r="T104" t="s">
        <v>130</v>
      </c>
      <c r="U104">
        <v>1.607</v>
      </c>
      <c r="V104">
        <v>1.6E-2</v>
      </c>
      <c r="Y104" t="s">
        <v>130</v>
      </c>
      <c r="AA104">
        <v>423</v>
      </c>
      <c r="AB104">
        <v>10.4</v>
      </c>
      <c r="AC104" t="s">
        <v>130</v>
      </c>
    </row>
    <row r="105" spans="1:29" ht="14.5" x14ac:dyDescent="0.35">
      <c r="A105" s="2" t="s">
        <v>495</v>
      </c>
      <c r="B105" s="1" t="s">
        <v>35</v>
      </c>
      <c r="C105" s="1">
        <v>45771</v>
      </c>
      <c r="D105" s="1" t="s">
        <v>115</v>
      </c>
      <c r="E105" s="10">
        <v>45405</v>
      </c>
      <c r="F105" s="10"/>
      <c r="G105" s="94"/>
      <c r="H105" t="s">
        <v>130</v>
      </c>
      <c r="I105" t="s">
        <v>130</v>
      </c>
      <c r="J105" t="s">
        <v>130</v>
      </c>
      <c r="K105" t="s">
        <v>130</v>
      </c>
      <c r="L105" t="s">
        <v>130</v>
      </c>
      <c r="M105" t="s">
        <v>130</v>
      </c>
      <c r="N105" t="s">
        <v>130</v>
      </c>
      <c r="O105" t="s">
        <v>130</v>
      </c>
      <c r="P105" t="s">
        <v>130</v>
      </c>
      <c r="Q105" t="s">
        <v>130</v>
      </c>
      <c r="R105">
        <v>88.1</v>
      </c>
      <c r="S105">
        <v>3.5</v>
      </c>
      <c r="T105" t="s">
        <v>130</v>
      </c>
      <c r="U105">
        <v>1.607</v>
      </c>
      <c r="V105">
        <v>1.6E-2</v>
      </c>
      <c r="Y105" t="s">
        <v>130</v>
      </c>
      <c r="AA105">
        <v>423</v>
      </c>
      <c r="AB105">
        <v>10.4</v>
      </c>
      <c r="AC105" t="s">
        <v>130</v>
      </c>
    </row>
    <row r="106" spans="1:29" ht="14.5" x14ac:dyDescent="0.35">
      <c r="A106" s="2" t="s">
        <v>496</v>
      </c>
      <c r="B106" s="1" t="s">
        <v>35</v>
      </c>
      <c r="C106" s="1">
        <v>45893</v>
      </c>
      <c r="D106" s="1" t="s">
        <v>116</v>
      </c>
      <c r="E106" s="10">
        <v>45406</v>
      </c>
      <c r="F106" s="10"/>
      <c r="G106" s="94"/>
      <c r="H106">
        <v>0.56899999999999995</v>
      </c>
      <c r="I106">
        <v>0.124</v>
      </c>
      <c r="J106" t="s">
        <v>409</v>
      </c>
      <c r="K106" t="s">
        <v>130</v>
      </c>
      <c r="L106">
        <v>5.0999999999999997E-2</v>
      </c>
      <c r="M106">
        <v>1.4999999999999999E-2</v>
      </c>
      <c r="N106" t="s">
        <v>409</v>
      </c>
      <c r="O106">
        <v>1.216</v>
      </c>
      <c r="P106">
        <v>0.19600000000000001</v>
      </c>
      <c r="Q106" t="s">
        <v>130</v>
      </c>
      <c r="R106" t="s">
        <v>130</v>
      </c>
      <c r="S106" t="s">
        <v>130</v>
      </c>
      <c r="T106" t="s">
        <v>130</v>
      </c>
      <c r="U106" t="s">
        <v>130</v>
      </c>
      <c r="V106" t="s">
        <v>130</v>
      </c>
      <c r="X106">
        <v>1.7000000000000001E-2</v>
      </c>
      <c r="Y106">
        <v>6.2E-2</v>
      </c>
      <c r="Z106" t="s">
        <v>421</v>
      </c>
      <c r="AA106" t="s">
        <v>130</v>
      </c>
      <c r="AB106" t="s">
        <v>130</v>
      </c>
      <c r="AC106" t="s">
        <v>130</v>
      </c>
    </row>
    <row r="107" spans="1:29" ht="14.5" x14ac:dyDescent="0.35">
      <c r="A107" s="2" t="s">
        <v>497</v>
      </c>
      <c r="B107" s="1" t="s">
        <v>35</v>
      </c>
      <c r="C107" s="1">
        <v>45893</v>
      </c>
      <c r="D107" s="1" t="s">
        <v>115</v>
      </c>
      <c r="E107" s="10">
        <v>45407</v>
      </c>
      <c r="F107" s="10"/>
      <c r="G107" s="94"/>
      <c r="H107" t="s">
        <v>130</v>
      </c>
      <c r="I107" t="s">
        <v>130</v>
      </c>
      <c r="J107" t="s">
        <v>130</v>
      </c>
      <c r="K107" t="s">
        <v>130</v>
      </c>
      <c r="L107" t="s">
        <v>130</v>
      </c>
      <c r="M107" t="s">
        <v>130</v>
      </c>
      <c r="N107" t="s">
        <v>130</v>
      </c>
      <c r="O107" t="s">
        <v>130</v>
      </c>
      <c r="P107" t="s">
        <v>130</v>
      </c>
      <c r="Q107" t="s">
        <v>130</v>
      </c>
      <c r="R107">
        <v>106.2</v>
      </c>
      <c r="S107">
        <v>3.5</v>
      </c>
      <c r="T107" t="s">
        <v>130</v>
      </c>
      <c r="U107">
        <v>1.1140000000000001</v>
      </c>
      <c r="V107">
        <v>1.4999999999999999E-2</v>
      </c>
      <c r="Y107" t="s">
        <v>130</v>
      </c>
      <c r="AA107">
        <v>1037</v>
      </c>
      <c r="AB107">
        <v>10.4</v>
      </c>
      <c r="AC107" t="s">
        <v>130</v>
      </c>
    </row>
    <row r="108" spans="1:29" ht="14.5" x14ac:dyDescent="0.35">
      <c r="A108" s="2" t="s">
        <v>498</v>
      </c>
      <c r="B108" s="1" t="s">
        <v>36</v>
      </c>
      <c r="C108" s="1">
        <v>45681</v>
      </c>
      <c r="D108" s="1" t="s">
        <v>115</v>
      </c>
      <c r="E108" s="10">
        <v>45408</v>
      </c>
      <c r="F108" s="10">
        <v>45320</v>
      </c>
      <c r="G108" s="94">
        <v>45352</v>
      </c>
      <c r="H108" t="s">
        <v>130</v>
      </c>
      <c r="I108" t="s">
        <v>130</v>
      </c>
      <c r="J108" t="s">
        <v>130</v>
      </c>
      <c r="K108" t="s">
        <v>130</v>
      </c>
      <c r="L108" t="s">
        <v>130</v>
      </c>
      <c r="M108" t="s">
        <v>130</v>
      </c>
      <c r="N108" t="s">
        <v>130</v>
      </c>
      <c r="O108" t="s">
        <v>130</v>
      </c>
      <c r="P108" t="s">
        <v>130</v>
      </c>
      <c r="Q108" t="s">
        <v>130</v>
      </c>
      <c r="R108">
        <v>60.5</v>
      </c>
      <c r="S108">
        <v>3.5</v>
      </c>
      <c r="T108" t="s">
        <v>130</v>
      </c>
      <c r="U108">
        <v>0.77400000000000002</v>
      </c>
      <c r="V108">
        <v>3.1E-2</v>
      </c>
      <c r="Y108" t="s">
        <v>130</v>
      </c>
      <c r="AA108">
        <v>860</v>
      </c>
      <c r="AB108">
        <v>10.4</v>
      </c>
      <c r="AC108" t="s">
        <v>130</v>
      </c>
    </row>
    <row r="109" spans="1:29" ht="14.5" x14ac:dyDescent="0.35">
      <c r="A109" s="2" t="s">
        <v>499</v>
      </c>
      <c r="B109" s="1" t="s">
        <v>36</v>
      </c>
      <c r="C109" s="1">
        <v>45771</v>
      </c>
      <c r="D109" s="1" t="s">
        <v>116</v>
      </c>
      <c r="E109" s="10">
        <v>45409</v>
      </c>
      <c r="F109" s="10">
        <v>45619</v>
      </c>
      <c r="G109" s="94">
        <v>45737</v>
      </c>
      <c r="H109">
        <v>1.286</v>
      </c>
      <c r="I109">
        <v>0.124</v>
      </c>
      <c r="J109" t="s">
        <v>130</v>
      </c>
      <c r="K109" t="s">
        <v>130</v>
      </c>
      <c r="L109">
        <v>9.9000000000000005E-2</v>
      </c>
      <c r="M109">
        <v>1.4999999999999999E-2</v>
      </c>
      <c r="N109" t="s">
        <v>409</v>
      </c>
      <c r="O109">
        <v>1.8740000000000001</v>
      </c>
      <c r="P109">
        <v>0.19600000000000001</v>
      </c>
      <c r="Q109" t="s">
        <v>130</v>
      </c>
      <c r="R109" t="s">
        <v>130</v>
      </c>
      <c r="S109" t="s">
        <v>130</v>
      </c>
      <c r="T109" t="s">
        <v>130</v>
      </c>
      <c r="U109" t="s">
        <v>130</v>
      </c>
      <c r="V109" t="s">
        <v>130</v>
      </c>
      <c r="X109">
        <v>2.4E-2</v>
      </c>
      <c r="Y109">
        <v>6.2E-2</v>
      </c>
      <c r="Z109" t="s">
        <v>421</v>
      </c>
      <c r="AA109" t="s">
        <v>130</v>
      </c>
      <c r="AB109" t="s">
        <v>130</v>
      </c>
      <c r="AC109" t="s">
        <v>130</v>
      </c>
    </row>
    <row r="110" spans="1:29" ht="14.5" x14ac:dyDescent="0.35">
      <c r="A110" s="2" t="s">
        <v>500</v>
      </c>
      <c r="B110" s="1" t="s">
        <v>36</v>
      </c>
      <c r="C110" s="1">
        <v>45771</v>
      </c>
      <c r="D110" s="1" t="s">
        <v>115</v>
      </c>
      <c r="E110" s="10">
        <v>45410</v>
      </c>
      <c r="F110" s="10">
        <v>45619</v>
      </c>
      <c r="G110" s="94">
        <v>45737</v>
      </c>
      <c r="H110" t="s">
        <v>130</v>
      </c>
      <c r="I110" t="s">
        <v>130</v>
      </c>
      <c r="J110" t="s">
        <v>130</v>
      </c>
      <c r="K110" t="s">
        <v>130</v>
      </c>
      <c r="L110" t="s">
        <v>130</v>
      </c>
      <c r="M110" t="s">
        <v>130</v>
      </c>
      <c r="N110" t="s">
        <v>130</v>
      </c>
      <c r="O110" t="s">
        <v>130</v>
      </c>
      <c r="P110" t="s">
        <v>130</v>
      </c>
      <c r="Q110" t="s">
        <v>130</v>
      </c>
      <c r="R110">
        <v>91.7</v>
      </c>
      <c r="S110">
        <v>3.5</v>
      </c>
      <c r="T110" t="s">
        <v>130</v>
      </c>
      <c r="U110">
        <v>1.7549999999999999</v>
      </c>
      <c r="V110">
        <v>1.6E-2</v>
      </c>
      <c r="Y110" t="s">
        <v>130</v>
      </c>
      <c r="AA110">
        <v>1276</v>
      </c>
      <c r="AB110">
        <v>10.4</v>
      </c>
      <c r="AC110" t="s">
        <v>130</v>
      </c>
    </row>
    <row r="111" spans="1:29" ht="14.5" x14ac:dyDescent="0.35">
      <c r="A111" s="2" t="s">
        <v>500</v>
      </c>
      <c r="B111" s="1" t="s">
        <v>36</v>
      </c>
      <c r="C111" s="1">
        <v>45771</v>
      </c>
      <c r="D111" s="1" t="s">
        <v>115</v>
      </c>
      <c r="E111" s="10">
        <v>45411</v>
      </c>
      <c r="F111" s="10"/>
      <c r="G111" s="94"/>
      <c r="H111" t="s">
        <v>130</v>
      </c>
      <c r="I111" t="s">
        <v>130</v>
      </c>
      <c r="J111" t="s">
        <v>130</v>
      </c>
      <c r="K111" t="s">
        <v>130</v>
      </c>
      <c r="L111" t="s">
        <v>130</v>
      </c>
      <c r="M111" t="s">
        <v>130</v>
      </c>
      <c r="N111" t="s">
        <v>130</v>
      </c>
      <c r="O111" t="s">
        <v>130</v>
      </c>
      <c r="P111" t="s">
        <v>130</v>
      </c>
      <c r="Q111" t="s">
        <v>130</v>
      </c>
      <c r="R111">
        <v>91.7</v>
      </c>
      <c r="S111">
        <v>3.5</v>
      </c>
      <c r="T111" t="s">
        <v>130</v>
      </c>
      <c r="U111">
        <v>1.7549999999999999</v>
      </c>
      <c r="V111">
        <v>1.6E-2</v>
      </c>
      <c r="Y111" t="s">
        <v>130</v>
      </c>
      <c r="AA111">
        <v>1276</v>
      </c>
      <c r="AB111">
        <v>10.4</v>
      </c>
      <c r="AC111" t="s">
        <v>130</v>
      </c>
    </row>
    <row r="112" spans="1:29" ht="14.5" x14ac:dyDescent="0.35">
      <c r="A112" s="2" t="s">
        <v>501</v>
      </c>
      <c r="B112" s="1" t="s">
        <v>36</v>
      </c>
      <c r="C112" s="1">
        <v>45893</v>
      </c>
      <c r="D112" s="1" t="s">
        <v>116</v>
      </c>
      <c r="E112" s="10">
        <v>45412</v>
      </c>
      <c r="F112" s="10"/>
      <c r="G112" s="94"/>
      <c r="H112">
        <v>1.43</v>
      </c>
      <c r="I112">
        <v>0.13</v>
      </c>
      <c r="J112" t="s">
        <v>130</v>
      </c>
      <c r="K112" t="s">
        <v>130</v>
      </c>
      <c r="L112">
        <v>5.5E-2</v>
      </c>
      <c r="M112">
        <v>1.2999999999999999E-2</v>
      </c>
      <c r="N112" t="s">
        <v>409</v>
      </c>
      <c r="O112">
        <v>0.90200000000000002</v>
      </c>
      <c r="P112">
        <v>0.17899999999999999</v>
      </c>
      <c r="Q112" t="s">
        <v>409</v>
      </c>
      <c r="R112" t="s">
        <v>130</v>
      </c>
      <c r="S112" t="s">
        <v>130</v>
      </c>
      <c r="T112" t="s">
        <v>130</v>
      </c>
      <c r="U112" t="s">
        <v>130</v>
      </c>
      <c r="V112" t="s">
        <v>130</v>
      </c>
      <c r="X112">
        <v>0.02</v>
      </c>
      <c r="Y112">
        <v>4.5999999999999999E-2</v>
      </c>
      <c r="Z112" t="s">
        <v>421</v>
      </c>
      <c r="AA112" t="s">
        <v>130</v>
      </c>
      <c r="AB112" t="s">
        <v>130</v>
      </c>
      <c r="AC112" t="s">
        <v>130</v>
      </c>
    </row>
    <row r="113" spans="1:29" ht="14.5" x14ac:dyDescent="0.35">
      <c r="A113" s="2" t="s">
        <v>502</v>
      </c>
      <c r="B113" s="1" t="s">
        <v>36</v>
      </c>
      <c r="C113" s="1">
        <v>45893</v>
      </c>
      <c r="D113" s="1" t="s">
        <v>115</v>
      </c>
      <c r="E113" s="10">
        <v>45413</v>
      </c>
      <c r="F113" s="10"/>
      <c r="G113" s="94"/>
      <c r="H113" t="s">
        <v>130</v>
      </c>
      <c r="I113" t="s">
        <v>130</v>
      </c>
      <c r="J113" t="s">
        <v>130</v>
      </c>
      <c r="K113" t="s">
        <v>130</v>
      </c>
      <c r="L113" t="s">
        <v>130</v>
      </c>
      <c r="M113" t="s">
        <v>130</v>
      </c>
      <c r="N113" t="s">
        <v>130</v>
      </c>
      <c r="O113" t="s">
        <v>130</v>
      </c>
      <c r="P113" t="s">
        <v>130</v>
      </c>
      <c r="Q113" t="s">
        <v>130</v>
      </c>
      <c r="R113">
        <v>103.1</v>
      </c>
      <c r="S113">
        <v>3.5</v>
      </c>
      <c r="T113" t="s">
        <v>130</v>
      </c>
      <c r="U113">
        <v>1.2110000000000001</v>
      </c>
      <c r="V113">
        <v>1.4999999999999999E-2</v>
      </c>
      <c r="Y113" t="s">
        <v>130</v>
      </c>
      <c r="AA113">
        <v>1187</v>
      </c>
      <c r="AB113">
        <v>10.4</v>
      </c>
      <c r="AC113" t="s">
        <v>130</v>
      </c>
    </row>
    <row r="114" spans="1:29" ht="14.5" x14ac:dyDescent="0.35">
      <c r="A114" s="2" t="s">
        <v>503</v>
      </c>
      <c r="B114" s="1" t="s">
        <v>37</v>
      </c>
      <c r="C114" s="1">
        <v>45681</v>
      </c>
      <c r="D114" s="1" t="s">
        <v>115</v>
      </c>
      <c r="E114" s="10">
        <v>45414</v>
      </c>
      <c r="F114" s="10">
        <v>45320</v>
      </c>
      <c r="G114" s="94">
        <v>45352</v>
      </c>
      <c r="H114" t="s">
        <v>130</v>
      </c>
      <c r="I114" t="s">
        <v>130</v>
      </c>
      <c r="J114" t="s">
        <v>130</v>
      </c>
      <c r="K114" t="s">
        <v>130</v>
      </c>
      <c r="L114" t="s">
        <v>130</v>
      </c>
      <c r="M114" t="s">
        <v>130</v>
      </c>
      <c r="N114" t="s">
        <v>130</v>
      </c>
      <c r="O114" t="s">
        <v>130</v>
      </c>
      <c r="P114" t="s">
        <v>130</v>
      </c>
      <c r="Q114" t="s">
        <v>130</v>
      </c>
      <c r="R114">
        <v>66.7</v>
      </c>
      <c r="S114">
        <v>3.5</v>
      </c>
      <c r="T114" t="s">
        <v>130</v>
      </c>
      <c r="U114">
        <v>0.64500000000000002</v>
      </c>
      <c r="V114">
        <v>3.1E-2</v>
      </c>
      <c r="Y114" t="s">
        <v>130</v>
      </c>
      <c r="AA114">
        <v>1107</v>
      </c>
      <c r="AB114">
        <v>10.4</v>
      </c>
      <c r="AC114" t="s">
        <v>130</v>
      </c>
    </row>
    <row r="115" spans="1:29" ht="14.5" x14ac:dyDescent="0.35">
      <c r="A115" s="2" t="s">
        <v>504</v>
      </c>
      <c r="B115" s="1" t="s">
        <v>37</v>
      </c>
      <c r="C115" s="1">
        <v>45771</v>
      </c>
      <c r="D115" s="1" t="s">
        <v>116</v>
      </c>
      <c r="E115" s="10">
        <v>45415</v>
      </c>
      <c r="F115" s="10">
        <v>45619</v>
      </c>
      <c r="G115" s="94">
        <v>45737</v>
      </c>
      <c r="H115">
        <v>1.4219999999999999</v>
      </c>
      <c r="I115">
        <v>0.124</v>
      </c>
      <c r="J115" t="s">
        <v>130</v>
      </c>
      <c r="K115" t="s">
        <v>130</v>
      </c>
      <c r="L115">
        <v>0.11700000000000001</v>
      </c>
      <c r="M115">
        <v>1.4999999999999999E-2</v>
      </c>
      <c r="N115" t="s">
        <v>409</v>
      </c>
      <c r="O115">
        <v>1.75</v>
      </c>
      <c r="P115">
        <v>0.19600000000000001</v>
      </c>
      <c r="Q115" t="s">
        <v>130</v>
      </c>
      <c r="R115" t="s">
        <v>130</v>
      </c>
      <c r="S115" t="s">
        <v>130</v>
      </c>
      <c r="T115" t="s">
        <v>130</v>
      </c>
      <c r="U115" t="s">
        <v>130</v>
      </c>
      <c r="V115" t="s">
        <v>130</v>
      </c>
      <c r="X115">
        <v>2.7E-2</v>
      </c>
      <c r="Y115">
        <v>6.2E-2</v>
      </c>
      <c r="Z115" t="s">
        <v>421</v>
      </c>
      <c r="AA115" t="s">
        <v>130</v>
      </c>
      <c r="AB115" t="s">
        <v>130</v>
      </c>
      <c r="AC115" t="s">
        <v>130</v>
      </c>
    </row>
    <row r="116" spans="1:29" ht="14.5" x14ac:dyDescent="0.35">
      <c r="A116" s="2" t="s">
        <v>505</v>
      </c>
      <c r="B116" s="1" t="s">
        <v>37</v>
      </c>
      <c r="C116" s="1">
        <v>45771</v>
      </c>
      <c r="D116" s="1" t="s">
        <v>115</v>
      </c>
      <c r="E116" s="10">
        <v>45416</v>
      </c>
      <c r="F116" s="10"/>
      <c r="G116" s="94"/>
      <c r="H116" t="s">
        <v>130</v>
      </c>
      <c r="I116" t="s">
        <v>130</v>
      </c>
      <c r="J116" t="s">
        <v>130</v>
      </c>
      <c r="K116" t="s">
        <v>130</v>
      </c>
      <c r="L116" t="s">
        <v>130</v>
      </c>
      <c r="M116" t="s">
        <v>130</v>
      </c>
      <c r="N116" t="s">
        <v>130</v>
      </c>
      <c r="O116" t="s">
        <v>130</v>
      </c>
      <c r="P116" t="s">
        <v>130</v>
      </c>
      <c r="Q116" t="s">
        <v>130</v>
      </c>
      <c r="R116">
        <v>71</v>
      </c>
      <c r="S116">
        <v>3.5</v>
      </c>
      <c r="T116" t="s">
        <v>130</v>
      </c>
      <c r="U116">
        <v>1.5620000000000001</v>
      </c>
      <c r="V116">
        <v>1.6E-2</v>
      </c>
      <c r="Y116" t="s">
        <v>130</v>
      </c>
      <c r="AA116">
        <v>664.3</v>
      </c>
      <c r="AB116">
        <v>10.4</v>
      </c>
      <c r="AC116" t="s">
        <v>130</v>
      </c>
    </row>
    <row r="117" spans="1:29" ht="14.5" x14ac:dyDescent="0.35">
      <c r="A117" s="2" t="s">
        <v>505</v>
      </c>
      <c r="B117" s="1" t="s">
        <v>37</v>
      </c>
      <c r="C117" s="1">
        <v>45771</v>
      </c>
      <c r="D117" s="1" t="s">
        <v>115</v>
      </c>
      <c r="E117" s="10">
        <v>45417</v>
      </c>
      <c r="F117" s="10">
        <v>45619</v>
      </c>
      <c r="G117" s="94">
        <v>45737</v>
      </c>
      <c r="H117" t="s">
        <v>130</v>
      </c>
      <c r="I117" t="s">
        <v>130</v>
      </c>
      <c r="J117" t="s">
        <v>130</v>
      </c>
      <c r="K117" t="s">
        <v>130</v>
      </c>
      <c r="L117" t="s">
        <v>130</v>
      </c>
      <c r="M117" t="s">
        <v>130</v>
      </c>
      <c r="N117" t="s">
        <v>130</v>
      </c>
      <c r="O117" t="s">
        <v>130</v>
      </c>
      <c r="P117" t="s">
        <v>130</v>
      </c>
      <c r="Q117" t="s">
        <v>130</v>
      </c>
      <c r="R117">
        <v>71</v>
      </c>
      <c r="S117">
        <v>3.5</v>
      </c>
      <c r="T117" t="s">
        <v>130</v>
      </c>
      <c r="U117">
        <v>1.5620000000000001</v>
      </c>
      <c r="V117">
        <v>1.6E-2</v>
      </c>
      <c r="Y117" t="s">
        <v>130</v>
      </c>
      <c r="AA117">
        <v>664.3</v>
      </c>
      <c r="AB117">
        <v>10.4</v>
      </c>
      <c r="AC117" t="s">
        <v>130</v>
      </c>
    </row>
    <row r="118" spans="1:29" ht="14.5" x14ac:dyDescent="0.35">
      <c r="A118" s="2" t="s">
        <v>506</v>
      </c>
      <c r="B118" s="1" t="s">
        <v>37</v>
      </c>
      <c r="C118" s="1">
        <v>45893</v>
      </c>
      <c r="D118" s="1" t="s">
        <v>115</v>
      </c>
      <c r="E118" s="10">
        <v>45418</v>
      </c>
      <c r="F118" s="10"/>
      <c r="G118" s="94"/>
      <c r="H118" t="s">
        <v>130</v>
      </c>
      <c r="I118" t="s">
        <v>130</v>
      </c>
      <c r="J118" t="s">
        <v>130</v>
      </c>
      <c r="K118" t="s">
        <v>130</v>
      </c>
      <c r="L118" t="s">
        <v>130</v>
      </c>
      <c r="M118" t="s">
        <v>130</v>
      </c>
      <c r="N118" t="s">
        <v>130</v>
      </c>
      <c r="O118" t="s">
        <v>130</v>
      </c>
      <c r="P118" t="s">
        <v>130</v>
      </c>
      <c r="Q118" t="s">
        <v>130</v>
      </c>
      <c r="R118">
        <v>97.1</v>
      </c>
      <c r="S118">
        <v>3.5</v>
      </c>
      <c r="T118" t="s">
        <v>130</v>
      </c>
      <c r="U118">
        <v>1.2070000000000001</v>
      </c>
      <c r="V118">
        <v>1.4999999999999999E-2</v>
      </c>
      <c r="Y118" t="s">
        <v>130</v>
      </c>
      <c r="AA118">
        <v>1058</v>
      </c>
      <c r="AB118">
        <v>10.4</v>
      </c>
      <c r="AC118" t="s">
        <v>130</v>
      </c>
    </row>
    <row r="119" spans="1:29" ht="14.5" x14ac:dyDescent="0.35">
      <c r="A119" s="2" t="s">
        <v>507</v>
      </c>
      <c r="B119" s="1" t="s">
        <v>18</v>
      </c>
      <c r="C119" s="1">
        <v>45740</v>
      </c>
      <c r="D119" s="1" t="s">
        <v>116</v>
      </c>
      <c r="E119" s="10">
        <v>45419</v>
      </c>
      <c r="F119" s="10">
        <v>45619</v>
      </c>
      <c r="G119" s="94">
        <v>45737</v>
      </c>
      <c r="H119">
        <v>1.115</v>
      </c>
      <c r="I119">
        <v>0.124</v>
      </c>
      <c r="J119" t="s">
        <v>130</v>
      </c>
      <c r="K119" t="s">
        <v>130</v>
      </c>
      <c r="L119">
        <v>1.6E-2</v>
      </c>
      <c r="M119">
        <v>1.4999999999999999E-2</v>
      </c>
      <c r="N119" t="s">
        <v>409</v>
      </c>
      <c r="O119">
        <v>2.194</v>
      </c>
      <c r="P119">
        <v>0.19600000000000001</v>
      </c>
      <c r="Q119" t="s">
        <v>130</v>
      </c>
      <c r="R119" t="s">
        <v>130</v>
      </c>
      <c r="S119" t="s">
        <v>130</v>
      </c>
      <c r="T119" t="s">
        <v>130</v>
      </c>
      <c r="U119" t="s">
        <v>130</v>
      </c>
      <c r="V119" t="s">
        <v>130</v>
      </c>
      <c r="X119">
        <v>1.2999999999999999E-2</v>
      </c>
      <c r="Y119">
        <v>6.2E-2</v>
      </c>
      <c r="Z119" t="s">
        <v>421</v>
      </c>
      <c r="AA119" t="s">
        <v>130</v>
      </c>
      <c r="AB119" t="s">
        <v>130</v>
      </c>
      <c r="AC119" t="s">
        <v>130</v>
      </c>
    </row>
    <row r="120" spans="1:29" ht="14.5" x14ac:dyDescent="0.35">
      <c r="A120" s="2" t="s">
        <v>508</v>
      </c>
      <c r="B120" s="1" t="s">
        <v>18</v>
      </c>
      <c r="C120" s="1">
        <v>45740</v>
      </c>
      <c r="D120" s="1" t="s">
        <v>115</v>
      </c>
      <c r="E120" s="10">
        <v>45420</v>
      </c>
      <c r="F120" s="10">
        <v>45619</v>
      </c>
      <c r="G120" s="94">
        <v>45737</v>
      </c>
      <c r="H120" t="s">
        <v>130</v>
      </c>
      <c r="I120" t="s">
        <v>130</v>
      </c>
      <c r="J120" t="s">
        <v>130</v>
      </c>
      <c r="K120" t="s">
        <v>130</v>
      </c>
      <c r="L120" t="s">
        <v>130</v>
      </c>
      <c r="M120" t="s">
        <v>130</v>
      </c>
      <c r="N120" t="s">
        <v>130</v>
      </c>
      <c r="O120" t="s">
        <v>130</v>
      </c>
      <c r="P120" t="s">
        <v>130</v>
      </c>
      <c r="Q120" t="s">
        <v>130</v>
      </c>
      <c r="R120">
        <v>107.1</v>
      </c>
      <c r="S120">
        <v>3.5</v>
      </c>
      <c r="T120" t="s">
        <v>130</v>
      </c>
      <c r="U120">
        <v>0.36499999999999999</v>
      </c>
      <c r="V120">
        <v>1.6E-2</v>
      </c>
      <c r="Y120" t="s">
        <v>130</v>
      </c>
      <c r="AA120">
        <v>819.2</v>
      </c>
      <c r="AB120">
        <v>10.4</v>
      </c>
      <c r="AC120" t="s">
        <v>130</v>
      </c>
    </row>
    <row r="121" spans="1:29" ht="14.5" x14ac:dyDescent="0.35">
      <c r="A121" s="2" t="s">
        <v>508</v>
      </c>
      <c r="B121" s="1" t="s">
        <v>18</v>
      </c>
      <c r="C121" s="1">
        <v>45740</v>
      </c>
      <c r="D121" s="1" t="s">
        <v>115</v>
      </c>
      <c r="E121" s="10">
        <v>45421</v>
      </c>
      <c r="F121" s="10"/>
      <c r="G121" s="94"/>
      <c r="H121" t="s">
        <v>130</v>
      </c>
      <c r="I121" t="s">
        <v>130</v>
      </c>
      <c r="J121" t="s">
        <v>130</v>
      </c>
      <c r="K121" t="s">
        <v>130</v>
      </c>
      <c r="L121" t="s">
        <v>130</v>
      </c>
      <c r="M121" t="s">
        <v>130</v>
      </c>
      <c r="N121" t="s">
        <v>130</v>
      </c>
      <c r="O121" t="s">
        <v>130</v>
      </c>
      <c r="P121" t="s">
        <v>130</v>
      </c>
      <c r="Q121" t="s">
        <v>130</v>
      </c>
      <c r="R121">
        <v>107.1</v>
      </c>
      <c r="S121">
        <v>3.5</v>
      </c>
      <c r="T121" t="s">
        <v>130</v>
      </c>
      <c r="U121">
        <v>0.36499999999999999</v>
      </c>
      <c r="V121">
        <v>1.6E-2</v>
      </c>
      <c r="Y121" t="s">
        <v>130</v>
      </c>
      <c r="AA121">
        <v>819.2</v>
      </c>
      <c r="AB121">
        <v>10.4</v>
      </c>
      <c r="AC121" t="s">
        <v>130</v>
      </c>
    </row>
    <row r="122" spans="1:29" ht="14.5" x14ac:dyDescent="0.35">
      <c r="A122" s="2" t="s">
        <v>509</v>
      </c>
      <c r="B122" s="1" t="s">
        <v>18</v>
      </c>
      <c r="C122" s="1">
        <v>45862</v>
      </c>
      <c r="D122" s="1" t="s">
        <v>116</v>
      </c>
      <c r="E122" s="10">
        <v>45422</v>
      </c>
      <c r="F122" s="10">
        <v>45619</v>
      </c>
      <c r="G122" s="94">
        <v>45737</v>
      </c>
      <c r="H122">
        <v>0.45</v>
      </c>
      <c r="I122">
        <v>0.124</v>
      </c>
      <c r="J122" t="s">
        <v>409</v>
      </c>
      <c r="K122" t="s">
        <v>130</v>
      </c>
      <c r="L122">
        <v>2.7E-2</v>
      </c>
      <c r="M122">
        <v>1.4999999999999999E-2</v>
      </c>
      <c r="N122" t="s">
        <v>409</v>
      </c>
      <c r="O122">
        <v>3.4140000000000001</v>
      </c>
      <c r="P122">
        <v>0.19600000000000001</v>
      </c>
      <c r="Q122" t="s">
        <v>130</v>
      </c>
      <c r="R122" t="s">
        <v>130</v>
      </c>
      <c r="S122" t="s">
        <v>130</v>
      </c>
      <c r="T122" t="s">
        <v>130</v>
      </c>
      <c r="U122" t="s">
        <v>130</v>
      </c>
      <c r="V122" t="s">
        <v>130</v>
      </c>
      <c r="X122">
        <v>3.6999999999999998E-2</v>
      </c>
      <c r="Y122">
        <v>6.2E-2</v>
      </c>
      <c r="Z122" t="s">
        <v>421</v>
      </c>
      <c r="AA122" t="s">
        <v>130</v>
      </c>
      <c r="AB122" t="s">
        <v>130</v>
      </c>
      <c r="AC122" t="s">
        <v>130</v>
      </c>
    </row>
    <row r="123" spans="1:29" ht="14.5" x14ac:dyDescent="0.35">
      <c r="A123" s="2" t="s">
        <v>510</v>
      </c>
      <c r="B123" s="1" t="s">
        <v>18</v>
      </c>
      <c r="C123" s="1">
        <v>45862</v>
      </c>
      <c r="D123" s="1" t="s">
        <v>115</v>
      </c>
      <c r="E123" s="10">
        <v>45423</v>
      </c>
      <c r="F123" s="10">
        <v>45619</v>
      </c>
      <c r="G123" s="94">
        <v>45737</v>
      </c>
      <c r="H123" t="s">
        <v>130</v>
      </c>
      <c r="I123" t="s">
        <v>130</v>
      </c>
      <c r="J123" t="s">
        <v>130</v>
      </c>
      <c r="K123" t="s">
        <v>130</v>
      </c>
      <c r="L123" t="s">
        <v>130</v>
      </c>
      <c r="M123" t="s">
        <v>130</v>
      </c>
      <c r="N123" t="s">
        <v>130</v>
      </c>
      <c r="O123" t="s">
        <v>130</v>
      </c>
      <c r="P123" t="s">
        <v>130</v>
      </c>
      <c r="Q123" t="s">
        <v>130</v>
      </c>
      <c r="R123">
        <v>107.4</v>
      </c>
      <c r="S123">
        <v>3.5</v>
      </c>
      <c r="T123" t="s">
        <v>130</v>
      </c>
      <c r="U123">
        <v>0.308</v>
      </c>
      <c r="V123">
        <v>1.6E-2</v>
      </c>
      <c r="Y123" t="s">
        <v>130</v>
      </c>
      <c r="AA123">
        <v>900</v>
      </c>
      <c r="AB123">
        <v>10.4</v>
      </c>
      <c r="AC123" t="s">
        <v>130</v>
      </c>
    </row>
    <row r="124" spans="1:29" ht="14.5" x14ac:dyDescent="0.35">
      <c r="A124" s="2" t="s">
        <v>510</v>
      </c>
      <c r="B124" s="1" t="s">
        <v>18</v>
      </c>
      <c r="C124" s="1">
        <v>45862</v>
      </c>
      <c r="D124" s="1" t="s">
        <v>115</v>
      </c>
      <c r="E124" s="10">
        <v>45424</v>
      </c>
      <c r="F124" s="10"/>
      <c r="G124" s="94"/>
      <c r="H124" t="s">
        <v>130</v>
      </c>
      <c r="I124" t="s">
        <v>130</v>
      </c>
      <c r="J124" t="s">
        <v>130</v>
      </c>
      <c r="K124" t="s">
        <v>130</v>
      </c>
      <c r="L124" t="s">
        <v>130</v>
      </c>
      <c r="M124" t="s">
        <v>130</v>
      </c>
      <c r="N124" t="s">
        <v>130</v>
      </c>
      <c r="O124" t="s">
        <v>130</v>
      </c>
      <c r="P124" t="s">
        <v>130</v>
      </c>
      <c r="Q124" t="s">
        <v>130</v>
      </c>
      <c r="R124">
        <v>107.4</v>
      </c>
      <c r="S124">
        <v>3.5</v>
      </c>
      <c r="T124" t="s">
        <v>130</v>
      </c>
      <c r="U124">
        <v>0.308</v>
      </c>
      <c r="V124">
        <v>1.6E-2</v>
      </c>
      <c r="Y124" t="s">
        <v>130</v>
      </c>
      <c r="AA124">
        <v>900</v>
      </c>
      <c r="AB124">
        <v>10.4</v>
      </c>
      <c r="AC124" t="s">
        <v>130</v>
      </c>
    </row>
    <row r="125" spans="1:29" ht="14.5" x14ac:dyDescent="0.35">
      <c r="A125" s="2" t="s">
        <v>511</v>
      </c>
      <c r="B125" s="1" t="s">
        <v>21</v>
      </c>
      <c r="C125" s="1">
        <v>45740</v>
      </c>
      <c r="D125" s="1" t="s">
        <v>116</v>
      </c>
      <c r="E125" s="10">
        <v>45425</v>
      </c>
      <c r="F125" s="10">
        <v>45619</v>
      </c>
      <c r="G125" s="94">
        <v>45737</v>
      </c>
      <c r="H125">
        <v>0.49299999999999999</v>
      </c>
      <c r="I125">
        <v>0.124</v>
      </c>
      <c r="J125" t="s">
        <v>409</v>
      </c>
      <c r="K125" t="s">
        <v>130</v>
      </c>
      <c r="L125">
        <v>4.9000000000000002E-2</v>
      </c>
      <c r="M125">
        <v>1.4999999999999999E-2</v>
      </c>
      <c r="N125" t="s">
        <v>409</v>
      </c>
      <c r="O125">
        <v>66.045000000000002</v>
      </c>
      <c r="P125">
        <v>2.9430000000000001</v>
      </c>
      <c r="Q125" t="s">
        <v>130</v>
      </c>
      <c r="R125" t="s">
        <v>130</v>
      </c>
      <c r="S125" t="s">
        <v>130</v>
      </c>
      <c r="T125" t="s">
        <v>130</v>
      </c>
      <c r="U125" t="s">
        <v>130</v>
      </c>
      <c r="V125" t="s">
        <v>130</v>
      </c>
      <c r="X125">
        <v>1.7000000000000001E-2</v>
      </c>
      <c r="Y125">
        <v>6.2E-2</v>
      </c>
      <c r="Z125" t="s">
        <v>421</v>
      </c>
      <c r="AA125" t="s">
        <v>130</v>
      </c>
      <c r="AB125" t="s">
        <v>130</v>
      </c>
      <c r="AC125" t="s">
        <v>130</v>
      </c>
    </row>
    <row r="126" spans="1:29" ht="14.5" x14ac:dyDescent="0.35">
      <c r="A126" s="2" t="s">
        <v>512</v>
      </c>
      <c r="B126" s="1" t="s">
        <v>21</v>
      </c>
      <c r="C126" s="1">
        <v>45740</v>
      </c>
      <c r="D126" s="1" t="s">
        <v>115</v>
      </c>
      <c r="E126" s="10">
        <v>45426</v>
      </c>
      <c r="F126" s="10"/>
      <c r="G126" s="94"/>
      <c r="H126" t="s">
        <v>130</v>
      </c>
      <c r="I126" t="s">
        <v>130</v>
      </c>
      <c r="J126" t="s">
        <v>130</v>
      </c>
      <c r="K126" t="s">
        <v>130</v>
      </c>
      <c r="L126" t="s">
        <v>130</v>
      </c>
      <c r="M126" t="s">
        <v>130</v>
      </c>
      <c r="N126" t="s">
        <v>130</v>
      </c>
      <c r="O126" t="s">
        <v>130</v>
      </c>
      <c r="P126" t="s">
        <v>130</v>
      </c>
      <c r="Q126" t="s">
        <v>130</v>
      </c>
      <c r="R126">
        <v>135.5</v>
      </c>
      <c r="S126">
        <v>3.5</v>
      </c>
      <c r="T126" t="s">
        <v>130</v>
      </c>
      <c r="U126">
        <v>0.54100000000000004</v>
      </c>
      <c r="V126">
        <v>1.6E-2</v>
      </c>
      <c r="Y126" t="s">
        <v>130</v>
      </c>
      <c r="AA126">
        <v>875.8</v>
      </c>
      <c r="AB126">
        <v>10.4</v>
      </c>
      <c r="AC126" t="s">
        <v>130</v>
      </c>
    </row>
    <row r="127" spans="1:29" ht="14.5" x14ac:dyDescent="0.35">
      <c r="A127" s="2" t="s">
        <v>512</v>
      </c>
      <c r="B127" s="1" t="s">
        <v>21</v>
      </c>
      <c r="C127" s="1">
        <v>45740</v>
      </c>
      <c r="D127" s="1" t="s">
        <v>115</v>
      </c>
      <c r="E127" s="10">
        <v>45427</v>
      </c>
      <c r="F127" s="10">
        <v>45619</v>
      </c>
      <c r="G127" s="94">
        <v>45737</v>
      </c>
      <c r="H127" t="s">
        <v>130</v>
      </c>
      <c r="I127" t="s">
        <v>130</v>
      </c>
      <c r="J127" t="s">
        <v>130</v>
      </c>
      <c r="K127" t="s">
        <v>130</v>
      </c>
      <c r="L127" t="s">
        <v>130</v>
      </c>
      <c r="M127" t="s">
        <v>130</v>
      </c>
      <c r="N127" t="s">
        <v>130</v>
      </c>
      <c r="O127" t="s">
        <v>130</v>
      </c>
      <c r="P127" t="s">
        <v>130</v>
      </c>
      <c r="Q127" t="s">
        <v>130</v>
      </c>
      <c r="R127">
        <v>135.5</v>
      </c>
      <c r="S127">
        <v>3.5</v>
      </c>
      <c r="T127" t="s">
        <v>130</v>
      </c>
      <c r="U127">
        <v>0.54100000000000004</v>
      </c>
      <c r="V127">
        <v>1.6E-2</v>
      </c>
      <c r="Y127" t="s">
        <v>130</v>
      </c>
      <c r="AA127">
        <v>875.8</v>
      </c>
      <c r="AB127">
        <v>10.4</v>
      </c>
      <c r="AC127" t="s">
        <v>130</v>
      </c>
    </row>
    <row r="128" spans="1:29" ht="14.5" x14ac:dyDescent="0.35">
      <c r="A128" s="2" t="s">
        <v>513</v>
      </c>
      <c r="B128" s="1" t="s">
        <v>21</v>
      </c>
      <c r="C128" s="1">
        <v>45862</v>
      </c>
      <c r="D128" s="1" t="s">
        <v>116</v>
      </c>
      <c r="E128" s="10">
        <v>45428</v>
      </c>
      <c r="F128" s="10">
        <v>45619</v>
      </c>
      <c r="G128" s="94">
        <v>45737</v>
      </c>
      <c r="H128">
        <v>0.23799999999999999</v>
      </c>
      <c r="I128">
        <v>0.124</v>
      </c>
      <c r="J128" t="s">
        <v>409</v>
      </c>
      <c r="K128" t="s">
        <v>130</v>
      </c>
      <c r="L128">
        <v>0.16600000000000001</v>
      </c>
      <c r="M128">
        <v>1.4999999999999999E-2</v>
      </c>
      <c r="N128" t="s">
        <v>130</v>
      </c>
      <c r="O128">
        <v>1.07</v>
      </c>
      <c r="P128">
        <v>0.19600000000000001</v>
      </c>
      <c r="Q128" t="s">
        <v>130</v>
      </c>
      <c r="R128" t="s">
        <v>130</v>
      </c>
      <c r="S128" t="s">
        <v>130</v>
      </c>
      <c r="T128" t="s">
        <v>130</v>
      </c>
      <c r="U128" t="s">
        <v>130</v>
      </c>
      <c r="V128" t="s">
        <v>130</v>
      </c>
      <c r="X128">
        <v>2.1999999999999999E-2</v>
      </c>
      <c r="Y128">
        <v>6.2E-2</v>
      </c>
      <c r="Z128" t="s">
        <v>421</v>
      </c>
      <c r="AA128" t="s">
        <v>130</v>
      </c>
      <c r="AB128" t="s">
        <v>130</v>
      </c>
      <c r="AC128" t="s">
        <v>130</v>
      </c>
    </row>
    <row r="129" spans="1:29" ht="14.5" x14ac:dyDescent="0.35">
      <c r="A129" s="2" t="s">
        <v>514</v>
      </c>
      <c r="B129" s="1" t="s">
        <v>21</v>
      </c>
      <c r="C129" s="1">
        <v>45862</v>
      </c>
      <c r="D129" s="1" t="s">
        <v>115</v>
      </c>
      <c r="E129" s="10">
        <v>45429</v>
      </c>
      <c r="F129" s="10"/>
      <c r="G129" s="94"/>
      <c r="H129" t="s">
        <v>130</v>
      </c>
      <c r="I129" t="s">
        <v>130</v>
      </c>
      <c r="J129" t="s">
        <v>130</v>
      </c>
      <c r="K129" t="s">
        <v>130</v>
      </c>
      <c r="L129" t="s">
        <v>130</v>
      </c>
      <c r="M129" t="s">
        <v>130</v>
      </c>
      <c r="N129" t="s">
        <v>130</v>
      </c>
      <c r="O129" t="s">
        <v>130</v>
      </c>
      <c r="P129" t="s">
        <v>130</v>
      </c>
      <c r="Q129" t="s">
        <v>130</v>
      </c>
      <c r="R129">
        <v>69.599999999999994</v>
      </c>
      <c r="S129">
        <v>3.5</v>
      </c>
      <c r="T129" t="s">
        <v>130</v>
      </c>
      <c r="U129">
        <v>0.496</v>
      </c>
      <c r="V129">
        <v>1.6E-2</v>
      </c>
      <c r="Y129" t="s">
        <v>130</v>
      </c>
      <c r="AA129">
        <v>891.7</v>
      </c>
      <c r="AB129">
        <v>10.4</v>
      </c>
      <c r="AC129" t="s">
        <v>130</v>
      </c>
    </row>
    <row r="130" spans="1:29" ht="14.5" x14ac:dyDescent="0.35">
      <c r="A130" s="2" t="s">
        <v>514</v>
      </c>
      <c r="B130" s="1" t="s">
        <v>21</v>
      </c>
      <c r="C130" s="1">
        <v>45862</v>
      </c>
      <c r="D130" s="1" t="s">
        <v>115</v>
      </c>
      <c r="E130" s="10">
        <v>45430</v>
      </c>
      <c r="F130" s="10">
        <v>45619</v>
      </c>
      <c r="G130" s="94">
        <v>45737</v>
      </c>
      <c r="H130" t="s">
        <v>130</v>
      </c>
      <c r="I130" t="s">
        <v>130</v>
      </c>
      <c r="J130" t="s">
        <v>130</v>
      </c>
      <c r="K130" t="s">
        <v>130</v>
      </c>
      <c r="L130" t="s">
        <v>130</v>
      </c>
      <c r="M130" t="s">
        <v>130</v>
      </c>
      <c r="N130" t="s">
        <v>130</v>
      </c>
      <c r="O130" t="s">
        <v>130</v>
      </c>
      <c r="P130" t="s">
        <v>130</v>
      </c>
      <c r="Q130" t="s">
        <v>130</v>
      </c>
      <c r="R130">
        <v>69.599999999999994</v>
      </c>
      <c r="S130">
        <v>3.5</v>
      </c>
      <c r="T130" t="s">
        <v>130</v>
      </c>
      <c r="U130">
        <v>0.496</v>
      </c>
      <c r="V130">
        <v>1.6E-2</v>
      </c>
      <c r="Y130" t="s">
        <v>130</v>
      </c>
      <c r="AA130">
        <v>891.7</v>
      </c>
      <c r="AB130">
        <v>10.4</v>
      </c>
      <c r="AC130" t="s">
        <v>130</v>
      </c>
    </row>
    <row r="131" spans="1:29" ht="14.5" x14ac:dyDescent="0.35">
      <c r="A131" s="2" t="s">
        <v>515</v>
      </c>
      <c r="B131" s="1" t="s">
        <v>13</v>
      </c>
      <c r="C131" s="1">
        <v>45740</v>
      </c>
      <c r="D131" s="1" t="s">
        <v>116</v>
      </c>
      <c r="E131" s="10">
        <v>45431</v>
      </c>
      <c r="F131" s="10">
        <v>45619</v>
      </c>
      <c r="G131" s="94">
        <v>45737</v>
      </c>
      <c r="H131">
        <v>0.77100000000000002</v>
      </c>
      <c r="I131">
        <v>0.124</v>
      </c>
      <c r="J131" t="s">
        <v>409</v>
      </c>
      <c r="K131" t="s">
        <v>130</v>
      </c>
      <c r="L131">
        <v>0.188</v>
      </c>
      <c r="M131">
        <v>1.4999999999999999E-2</v>
      </c>
      <c r="N131" t="s">
        <v>130</v>
      </c>
      <c r="O131">
        <v>21.39</v>
      </c>
      <c r="P131">
        <v>0.58899999999999997</v>
      </c>
      <c r="Q131" t="s">
        <v>130</v>
      </c>
      <c r="R131" t="s">
        <v>130</v>
      </c>
      <c r="S131" t="s">
        <v>130</v>
      </c>
      <c r="T131" t="s">
        <v>130</v>
      </c>
      <c r="U131" t="s">
        <v>130</v>
      </c>
      <c r="V131" t="s">
        <v>130</v>
      </c>
      <c r="X131">
        <v>1.4E-2</v>
      </c>
      <c r="Y131">
        <v>6.2E-2</v>
      </c>
      <c r="Z131" t="s">
        <v>421</v>
      </c>
      <c r="AA131" t="s">
        <v>130</v>
      </c>
      <c r="AB131" t="s">
        <v>130</v>
      </c>
      <c r="AC131" t="s">
        <v>130</v>
      </c>
    </row>
    <row r="132" spans="1:29" ht="14.5" x14ac:dyDescent="0.35">
      <c r="A132" s="2" t="s">
        <v>516</v>
      </c>
      <c r="B132" s="1" t="s">
        <v>13</v>
      </c>
      <c r="C132" s="1">
        <v>45740</v>
      </c>
      <c r="D132" s="1" t="s">
        <v>115</v>
      </c>
      <c r="E132" s="10">
        <v>45432</v>
      </c>
      <c r="F132" s="10"/>
      <c r="G132" s="94"/>
      <c r="H132" t="s">
        <v>130</v>
      </c>
      <c r="I132" t="s">
        <v>130</v>
      </c>
      <c r="J132" t="s">
        <v>130</v>
      </c>
      <c r="K132" t="s">
        <v>130</v>
      </c>
      <c r="L132" t="s">
        <v>130</v>
      </c>
      <c r="M132" t="s">
        <v>130</v>
      </c>
      <c r="N132" t="s">
        <v>130</v>
      </c>
      <c r="O132" t="s">
        <v>130</v>
      </c>
      <c r="P132" t="s">
        <v>130</v>
      </c>
      <c r="Q132" t="s">
        <v>130</v>
      </c>
      <c r="R132">
        <v>88.1</v>
      </c>
      <c r="S132">
        <v>3.5</v>
      </c>
      <c r="T132" t="s">
        <v>130</v>
      </c>
      <c r="U132">
        <v>0.58299999999999996</v>
      </c>
      <c r="V132">
        <v>1.6E-2</v>
      </c>
      <c r="Y132" t="s">
        <v>130</v>
      </c>
      <c r="AA132">
        <v>643.5</v>
      </c>
      <c r="AB132">
        <v>10.4</v>
      </c>
      <c r="AC132" t="s">
        <v>130</v>
      </c>
    </row>
    <row r="133" spans="1:29" ht="14.5" x14ac:dyDescent="0.35">
      <c r="A133" s="2" t="s">
        <v>516</v>
      </c>
      <c r="B133" s="1" t="s">
        <v>13</v>
      </c>
      <c r="C133" s="1">
        <v>45740</v>
      </c>
      <c r="D133" s="1" t="s">
        <v>115</v>
      </c>
      <c r="E133" s="10">
        <v>45433</v>
      </c>
      <c r="F133" s="10">
        <v>45619</v>
      </c>
      <c r="G133" s="94">
        <v>45737</v>
      </c>
      <c r="H133" t="s">
        <v>130</v>
      </c>
      <c r="I133" t="s">
        <v>130</v>
      </c>
      <c r="J133" t="s">
        <v>130</v>
      </c>
      <c r="K133" t="s">
        <v>130</v>
      </c>
      <c r="L133" t="s">
        <v>130</v>
      </c>
      <c r="M133" t="s">
        <v>130</v>
      </c>
      <c r="N133" t="s">
        <v>130</v>
      </c>
      <c r="O133" t="s">
        <v>130</v>
      </c>
      <c r="P133" t="s">
        <v>130</v>
      </c>
      <c r="Q133" t="s">
        <v>130</v>
      </c>
      <c r="R133">
        <v>88.1</v>
      </c>
      <c r="S133">
        <v>3.5</v>
      </c>
      <c r="T133" t="s">
        <v>130</v>
      </c>
      <c r="U133">
        <v>0.58299999999999996</v>
      </c>
      <c r="V133">
        <v>1.6E-2</v>
      </c>
      <c r="Y133" t="s">
        <v>130</v>
      </c>
      <c r="AA133">
        <v>643.5</v>
      </c>
      <c r="AB133">
        <v>10.4</v>
      </c>
      <c r="AC133" t="s">
        <v>130</v>
      </c>
    </row>
    <row r="134" spans="1:29" ht="14.5" x14ac:dyDescent="0.35">
      <c r="A134" s="2" t="s">
        <v>517</v>
      </c>
      <c r="B134" s="1" t="s">
        <v>13</v>
      </c>
      <c r="C134" s="1">
        <v>45862</v>
      </c>
      <c r="D134" s="1" t="s">
        <v>116</v>
      </c>
      <c r="E134" s="10">
        <v>45434</v>
      </c>
      <c r="F134" s="10">
        <v>45619</v>
      </c>
      <c r="G134" s="94">
        <v>45737</v>
      </c>
      <c r="H134">
        <v>0.13900000000000001</v>
      </c>
      <c r="I134">
        <v>0.124</v>
      </c>
      <c r="J134" t="s">
        <v>409</v>
      </c>
      <c r="K134" t="s">
        <v>130</v>
      </c>
      <c r="L134">
        <v>3.6999999999999998E-2</v>
      </c>
      <c r="M134">
        <v>1.4999999999999999E-2</v>
      </c>
      <c r="N134" t="s">
        <v>409</v>
      </c>
      <c r="O134">
        <v>0.96399999999999997</v>
      </c>
      <c r="P134">
        <v>0.19600000000000001</v>
      </c>
      <c r="Q134" t="s">
        <v>409</v>
      </c>
      <c r="R134" t="s">
        <v>130</v>
      </c>
      <c r="S134" t="s">
        <v>130</v>
      </c>
      <c r="T134" t="s">
        <v>130</v>
      </c>
      <c r="U134" t="s">
        <v>130</v>
      </c>
      <c r="V134" t="s">
        <v>130</v>
      </c>
      <c r="X134">
        <v>4.0000000000000001E-3</v>
      </c>
      <c r="Y134">
        <v>6.2E-2</v>
      </c>
      <c r="Z134" t="s">
        <v>421</v>
      </c>
      <c r="AA134" t="s">
        <v>130</v>
      </c>
      <c r="AB134" t="s">
        <v>130</v>
      </c>
      <c r="AC134" t="s">
        <v>130</v>
      </c>
    </row>
    <row r="135" spans="1:29" ht="14.5" x14ac:dyDescent="0.35">
      <c r="A135" s="2" t="s">
        <v>518</v>
      </c>
      <c r="B135" s="1" t="s">
        <v>13</v>
      </c>
      <c r="C135" s="1">
        <v>45862</v>
      </c>
      <c r="D135" s="1" t="s">
        <v>115</v>
      </c>
      <c r="E135" s="10">
        <v>45435</v>
      </c>
      <c r="F135" s="10"/>
      <c r="G135" s="94"/>
      <c r="H135" t="s">
        <v>130</v>
      </c>
      <c r="I135" t="s">
        <v>130</v>
      </c>
      <c r="J135" t="s">
        <v>130</v>
      </c>
      <c r="K135" t="s">
        <v>130</v>
      </c>
      <c r="L135" t="s">
        <v>130</v>
      </c>
      <c r="M135" t="s">
        <v>130</v>
      </c>
      <c r="N135" t="s">
        <v>130</v>
      </c>
      <c r="O135" t="s">
        <v>130</v>
      </c>
      <c r="P135" t="s">
        <v>130</v>
      </c>
      <c r="Q135" t="s">
        <v>130</v>
      </c>
      <c r="R135">
        <v>56.7</v>
      </c>
      <c r="S135">
        <v>3.5</v>
      </c>
      <c r="T135" t="s">
        <v>130</v>
      </c>
      <c r="U135">
        <v>0.32300000000000001</v>
      </c>
      <c r="V135">
        <v>1.6E-2</v>
      </c>
      <c r="Y135" t="s">
        <v>130</v>
      </c>
      <c r="AA135">
        <v>620.4</v>
      </c>
      <c r="AB135">
        <v>10.4</v>
      </c>
      <c r="AC135" t="s">
        <v>130</v>
      </c>
    </row>
    <row r="136" spans="1:29" ht="14.5" x14ac:dyDescent="0.35">
      <c r="A136" s="2" t="s">
        <v>518</v>
      </c>
      <c r="B136" s="1" t="s">
        <v>13</v>
      </c>
      <c r="C136" s="1">
        <v>45862</v>
      </c>
      <c r="D136" s="1" t="s">
        <v>115</v>
      </c>
      <c r="E136" s="10">
        <v>45436</v>
      </c>
      <c r="F136" s="10">
        <v>45619</v>
      </c>
      <c r="G136" s="94">
        <v>45737</v>
      </c>
      <c r="H136" t="s">
        <v>130</v>
      </c>
      <c r="I136" t="s">
        <v>130</v>
      </c>
      <c r="J136" t="s">
        <v>130</v>
      </c>
      <c r="K136" t="s">
        <v>130</v>
      </c>
      <c r="L136" t="s">
        <v>130</v>
      </c>
      <c r="M136" t="s">
        <v>130</v>
      </c>
      <c r="N136" t="s">
        <v>130</v>
      </c>
      <c r="O136" t="s">
        <v>130</v>
      </c>
      <c r="P136" t="s">
        <v>130</v>
      </c>
      <c r="Q136" t="s">
        <v>130</v>
      </c>
      <c r="R136">
        <v>56.7</v>
      </c>
      <c r="S136">
        <v>3.5</v>
      </c>
      <c r="T136" t="s">
        <v>130</v>
      </c>
      <c r="U136">
        <v>0.32300000000000001</v>
      </c>
      <c r="V136">
        <v>1.6E-2</v>
      </c>
      <c r="Y136" t="s">
        <v>130</v>
      </c>
      <c r="AA136">
        <v>620.4</v>
      </c>
      <c r="AB136">
        <v>10.4</v>
      </c>
      <c r="AC136" t="s">
        <v>130</v>
      </c>
    </row>
    <row r="137" spans="1:29" ht="14.5" x14ac:dyDescent="0.35">
      <c r="A137" s="2" t="s">
        <v>519</v>
      </c>
      <c r="B137" s="1" t="s">
        <v>22</v>
      </c>
      <c r="C137" s="1">
        <v>45740</v>
      </c>
      <c r="D137" s="1" t="s">
        <v>116</v>
      </c>
      <c r="E137" s="10">
        <v>45437</v>
      </c>
      <c r="F137" s="10">
        <v>45619</v>
      </c>
      <c r="G137" s="94">
        <v>45737</v>
      </c>
      <c r="H137">
        <v>0.56100000000000005</v>
      </c>
      <c r="I137">
        <v>0.124</v>
      </c>
      <c r="J137" t="s">
        <v>409</v>
      </c>
      <c r="K137" t="s">
        <v>130</v>
      </c>
      <c r="L137">
        <v>2.9000000000000001E-2</v>
      </c>
      <c r="M137">
        <v>1.4999999999999999E-2</v>
      </c>
      <c r="N137" t="s">
        <v>409</v>
      </c>
      <c r="O137">
        <v>0.80800000000000005</v>
      </c>
      <c r="P137">
        <v>0.19600000000000001</v>
      </c>
      <c r="Q137" t="s">
        <v>409</v>
      </c>
      <c r="R137" t="s">
        <v>130</v>
      </c>
      <c r="S137" t="s">
        <v>130</v>
      </c>
      <c r="T137" t="s">
        <v>130</v>
      </c>
      <c r="U137" t="s">
        <v>130</v>
      </c>
      <c r="V137" t="s">
        <v>130</v>
      </c>
      <c r="X137">
        <v>1.9E-2</v>
      </c>
      <c r="Y137">
        <v>6.2E-2</v>
      </c>
      <c r="Z137" t="s">
        <v>421</v>
      </c>
      <c r="AA137" t="s">
        <v>130</v>
      </c>
      <c r="AB137" t="s">
        <v>130</v>
      </c>
      <c r="AC137" t="s">
        <v>130</v>
      </c>
    </row>
    <row r="138" spans="1:29" ht="14.5" x14ac:dyDescent="0.35">
      <c r="A138" s="2" t="s">
        <v>520</v>
      </c>
      <c r="B138" s="1" t="s">
        <v>22</v>
      </c>
      <c r="C138" s="1">
        <v>45740</v>
      </c>
      <c r="D138" s="1" t="s">
        <v>115</v>
      </c>
      <c r="E138" s="10">
        <v>45438</v>
      </c>
      <c r="F138" s="10"/>
      <c r="G138" s="94"/>
      <c r="H138" t="s">
        <v>130</v>
      </c>
      <c r="I138" t="s">
        <v>130</v>
      </c>
      <c r="J138" t="s">
        <v>130</v>
      </c>
      <c r="K138" t="s">
        <v>130</v>
      </c>
      <c r="L138" t="s">
        <v>130</v>
      </c>
      <c r="M138" t="s">
        <v>130</v>
      </c>
      <c r="N138" t="s">
        <v>130</v>
      </c>
      <c r="O138" t="s">
        <v>130</v>
      </c>
      <c r="P138" t="s">
        <v>130</v>
      </c>
      <c r="Q138" t="s">
        <v>130</v>
      </c>
      <c r="R138">
        <v>71.400000000000006</v>
      </c>
      <c r="S138">
        <v>3.5</v>
      </c>
      <c r="T138" t="s">
        <v>130</v>
      </c>
      <c r="U138">
        <v>0.67300000000000004</v>
      </c>
      <c r="V138">
        <v>1.6E-2</v>
      </c>
      <c r="Y138" t="s">
        <v>130</v>
      </c>
      <c r="AA138">
        <v>774.4</v>
      </c>
      <c r="AB138">
        <v>10.4</v>
      </c>
      <c r="AC138" t="s">
        <v>130</v>
      </c>
    </row>
    <row r="139" spans="1:29" ht="14.5" x14ac:dyDescent="0.35">
      <c r="A139" s="2" t="s">
        <v>520</v>
      </c>
      <c r="B139" s="1" t="s">
        <v>22</v>
      </c>
      <c r="C139" s="1">
        <v>45740</v>
      </c>
      <c r="D139" s="1" t="s">
        <v>115</v>
      </c>
      <c r="E139" s="10">
        <v>45439</v>
      </c>
      <c r="F139" s="10">
        <v>45619</v>
      </c>
      <c r="G139" s="94">
        <v>45737</v>
      </c>
      <c r="H139" t="s">
        <v>130</v>
      </c>
      <c r="I139" t="s">
        <v>130</v>
      </c>
      <c r="J139" t="s">
        <v>130</v>
      </c>
      <c r="K139" t="s">
        <v>130</v>
      </c>
      <c r="L139" t="s">
        <v>130</v>
      </c>
      <c r="M139" t="s">
        <v>130</v>
      </c>
      <c r="N139" t="s">
        <v>130</v>
      </c>
      <c r="O139" t="s">
        <v>130</v>
      </c>
      <c r="P139" t="s">
        <v>130</v>
      </c>
      <c r="Q139" t="s">
        <v>130</v>
      </c>
      <c r="R139">
        <v>71.400000000000006</v>
      </c>
      <c r="S139">
        <v>3.5</v>
      </c>
      <c r="T139" t="s">
        <v>130</v>
      </c>
      <c r="U139">
        <v>0.67300000000000004</v>
      </c>
      <c r="V139">
        <v>1.6E-2</v>
      </c>
      <c r="Y139" t="s">
        <v>130</v>
      </c>
      <c r="AA139">
        <v>774.4</v>
      </c>
      <c r="AB139">
        <v>10.4</v>
      </c>
      <c r="AC139" t="s">
        <v>130</v>
      </c>
    </row>
    <row r="140" spans="1:29" ht="14.5" x14ac:dyDescent="0.35">
      <c r="A140" s="2" t="s">
        <v>521</v>
      </c>
      <c r="B140" s="1" t="s">
        <v>22</v>
      </c>
      <c r="C140" s="1">
        <v>45862</v>
      </c>
      <c r="D140" s="1" t="s">
        <v>116</v>
      </c>
      <c r="E140" s="10">
        <v>45440</v>
      </c>
      <c r="F140" s="10">
        <v>45619</v>
      </c>
      <c r="G140" s="94">
        <v>45737</v>
      </c>
      <c r="H140">
        <v>0.40699999999999997</v>
      </c>
      <c r="I140">
        <v>0.124</v>
      </c>
      <c r="J140" t="s">
        <v>409</v>
      </c>
      <c r="K140" t="s">
        <v>130</v>
      </c>
      <c r="L140">
        <v>0.107</v>
      </c>
      <c r="M140">
        <v>1.4999999999999999E-2</v>
      </c>
      <c r="N140" t="s">
        <v>409</v>
      </c>
      <c r="O140">
        <v>0.307</v>
      </c>
      <c r="P140">
        <v>0.19600000000000001</v>
      </c>
      <c r="Q140" t="s">
        <v>409</v>
      </c>
      <c r="R140" t="s">
        <v>130</v>
      </c>
      <c r="S140" t="s">
        <v>130</v>
      </c>
      <c r="T140" t="s">
        <v>130</v>
      </c>
      <c r="U140" t="s">
        <v>130</v>
      </c>
      <c r="V140" t="s">
        <v>130</v>
      </c>
      <c r="X140" t="s">
        <v>467</v>
      </c>
      <c r="Y140">
        <v>6.2E-2</v>
      </c>
      <c r="Z140" t="s">
        <v>468</v>
      </c>
      <c r="AA140" t="s">
        <v>130</v>
      </c>
      <c r="AB140" t="s">
        <v>130</v>
      </c>
      <c r="AC140" t="s">
        <v>130</v>
      </c>
    </row>
    <row r="141" spans="1:29" ht="14.5" x14ac:dyDescent="0.35">
      <c r="A141" s="2" t="s">
        <v>522</v>
      </c>
      <c r="B141" s="1" t="s">
        <v>22</v>
      </c>
      <c r="C141" s="1">
        <v>45862</v>
      </c>
      <c r="D141" s="1" t="s">
        <v>115</v>
      </c>
      <c r="E141" s="10">
        <v>45441</v>
      </c>
      <c r="F141" s="10">
        <v>45619</v>
      </c>
      <c r="G141" s="94">
        <v>45737</v>
      </c>
      <c r="H141" t="s">
        <v>130</v>
      </c>
      <c r="I141" t="s">
        <v>130</v>
      </c>
      <c r="J141" t="s">
        <v>130</v>
      </c>
      <c r="K141" t="s">
        <v>130</v>
      </c>
      <c r="L141" t="s">
        <v>130</v>
      </c>
      <c r="M141" t="s">
        <v>130</v>
      </c>
      <c r="N141" t="s">
        <v>130</v>
      </c>
      <c r="O141" t="s">
        <v>130</v>
      </c>
      <c r="P141" t="s">
        <v>130</v>
      </c>
      <c r="Q141" t="s">
        <v>130</v>
      </c>
      <c r="R141">
        <v>45.7</v>
      </c>
      <c r="S141">
        <v>3.5</v>
      </c>
      <c r="T141" t="s">
        <v>130</v>
      </c>
      <c r="U141">
        <v>0.69699999999999995</v>
      </c>
      <c r="V141">
        <v>1.6E-2</v>
      </c>
      <c r="Y141" t="s">
        <v>130</v>
      </c>
      <c r="AA141">
        <v>706.3</v>
      </c>
      <c r="AB141">
        <v>10.4</v>
      </c>
      <c r="AC141" t="s">
        <v>130</v>
      </c>
    </row>
    <row r="142" spans="1:29" ht="14.5" x14ac:dyDescent="0.35">
      <c r="A142" s="2" t="s">
        <v>522</v>
      </c>
      <c r="B142" s="1" t="s">
        <v>22</v>
      </c>
      <c r="C142" s="1">
        <v>45862</v>
      </c>
      <c r="D142" s="1" t="s">
        <v>115</v>
      </c>
      <c r="E142" s="10">
        <v>45442</v>
      </c>
      <c r="F142" s="10"/>
      <c r="G142" s="94"/>
      <c r="H142" t="s">
        <v>130</v>
      </c>
      <c r="I142" t="s">
        <v>130</v>
      </c>
      <c r="J142" t="s">
        <v>130</v>
      </c>
      <c r="K142" t="s">
        <v>130</v>
      </c>
      <c r="L142" t="s">
        <v>130</v>
      </c>
      <c r="M142" t="s">
        <v>130</v>
      </c>
      <c r="N142" t="s">
        <v>130</v>
      </c>
      <c r="O142" t="s">
        <v>130</v>
      </c>
      <c r="P142" t="s">
        <v>130</v>
      </c>
      <c r="Q142" t="s">
        <v>130</v>
      </c>
      <c r="R142">
        <v>45.7</v>
      </c>
      <c r="S142">
        <v>3.5</v>
      </c>
      <c r="T142" t="s">
        <v>130</v>
      </c>
      <c r="U142">
        <v>0.69699999999999995</v>
      </c>
      <c r="V142">
        <v>1.6E-2</v>
      </c>
      <c r="Y142" t="s">
        <v>130</v>
      </c>
      <c r="AA142">
        <v>706.3</v>
      </c>
      <c r="AB142">
        <v>10.4</v>
      </c>
      <c r="AC142" t="s">
        <v>130</v>
      </c>
    </row>
    <row r="143" spans="1:29" ht="14.5" x14ac:dyDescent="0.35">
      <c r="A143" s="2" t="s">
        <v>523</v>
      </c>
      <c r="B143" s="1" t="s">
        <v>43</v>
      </c>
      <c r="C143" s="1">
        <v>45681</v>
      </c>
      <c r="D143" s="1" t="s">
        <v>115</v>
      </c>
      <c r="E143" s="10">
        <v>45443</v>
      </c>
      <c r="F143" s="10">
        <v>45320</v>
      </c>
      <c r="G143" s="94">
        <v>45352</v>
      </c>
      <c r="H143" t="s">
        <v>130</v>
      </c>
      <c r="I143" t="s">
        <v>130</v>
      </c>
      <c r="J143" t="s">
        <v>130</v>
      </c>
      <c r="K143" t="s">
        <v>130</v>
      </c>
      <c r="L143" t="s">
        <v>130</v>
      </c>
      <c r="M143" t="s">
        <v>130</v>
      </c>
      <c r="N143" t="s">
        <v>130</v>
      </c>
      <c r="O143" t="s">
        <v>130</v>
      </c>
      <c r="P143" t="s">
        <v>130</v>
      </c>
      <c r="Q143" t="s">
        <v>130</v>
      </c>
      <c r="R143">
        <v>37.9</v>
      </c>
      <c r="S143">
        <v>3.5</v>
      </c>
      <c r="T143" t="s">
        <v>130</v>
      </c>
      <c r="U143">
        <v>0.61799999999999999</v>
      </c>
      <c r="V143">
        <v>2.8000000000000001E-2</v>
      </c>
      <c r="Y143" t="s">
        <v>130</v>
      </c>
      <c r="AA143">
        <v>501.1</v>
      </c>
      <c r="AB143">
        <v>10.4</v>
      </c>
      <c r="AC143" t="s">
        <v>130</v>
      </c>
    </row>
    <row r="144" spans="1:29" ht="14.5" x14ac:dyDescent="0.35">
      <c r="A144" s="2" t="s">
        <v>524</v>
      </c>
      <c r="B144" s="1" t="s">
        <v>43</v>
      </c>
      <c r="C144" s="1">
        <v>45985</v>
      </c>
      <c r="D144" s="1" t="s">
        <v>116</v>
      </c>
      <c r="E144" s="10">
        <v>45444</v>
      </c>
      <c r="F144" s="10"/>
      <c r="G144" s="94"/>
      <c r="H144">
        <v>1.339</v>
      </c>
      <c r="I144">
        <v>0.13</v>
      </c>
      <c r="J144" t="s">
        <v>130</v>
      </c>
      <c r="K144">
        <v>0.96899999999999997</v>
      </c>
      <c r="L144">
        <v>0.37</v>
      </c>
      <c r="M144">
        <v>1.2999999999999999E-2</v>
      </c>
      <c r="N144" t="s">
        <v>130</v>
      </c>
      <c r="O144">
        <v>13.853999999999999</v>
      </c>
      <c r="P144">
        <v>0.35899999999999999</v>
      </c>
      <c r="Q144" t="s">
        <v>130</v>
      </c>
      <c r="R144" t="s">
        <v>130</v>
      </c>
      <c r="S144" t="s">
        <v>130</v>
      </c>
      <c r="T144" t="s">
        <v>130</v>
      </c>
      <c r="U144" t="s">
        <v>130</v>
      </c>
      <c r="V144" t="s">
        <v>130</v>
      </c>
      <c r="X144">
        <v>2.3E-2</v>
      </c>
      <c r="Y144">
        <v>4.5999999999999999E-2</v>
      </c>
      <c r="Z144" t="s">
        <v>421</v>
      </c>
      <c r="AA144" t="s">
        <v>130</v>
      </c>
      <c r="AB144" t="s">
        <v>130</v>
      </c>
      <c r="AC144" t="s">
        <v>130</v>
      </c>
    </row>
    <row r="145" spans="1:29" ht="14.5" x14ac:dyDescent="0.35">
      <c r="A145" s="2" t="s">
        <v>525</v>
      </c>
      <c r="B145" s="1" t="s">
        <v>43</v>
      </c>
      <c r="C145" s="1">
        <v>45985</v>
      </c>
      <c r="D145" s="1" t="s">
        <v>115</v>
      </c>
      <c r="E145" s="10">
        <v>45445</v>
      </c>
      <c r="F145" s="10"/>
      <c r="G145" s="94"/>
      <c r="H145" t="s">
        <v>130</v>
      </c>
      <c r="I145" t="s">
        <v>130</v>
      </c>
      <c r="J145" t="s">
        <v>130</v>
      </c>
      <c r="K145" t="s">
        <v>130</v>
      </c>
      <c r="L145" t="s">
        <v>130</v>
      </c>
      <c r="M145" t="s">
        <v>130</v>
      </c>
      <c r="N145" t="s">
        <v>130</v>
      </c>
      <c r="O145" t="s">
        <v>130</v>
      </c>
      <c r="P145" t="s">
        <v>130</v>
      </c>
      <c r="Q145" t="s">
        <v>130</v>
      </c>
      <c r="R145">
        <v>52.4</v>
      </c>
      <c r="S145">
        <v>3.5</v>
      </c>
      <c r="T145" t="s">
        <v>130</v>
      </c>
      <c r="U145">
        <v>0.59899999999999998</v>
      </c>
      <c r="V145">
        <v>1.4999999999999999E-2</v>
      </c>
      <c r="Y145" t="s">
        <v>130</v>
      </c>
      <c r="AA145">
        <v>437.5</v>
      </c>
      <c r="AB145">
        <v>10.4</v>
      </c>
      <c r="AC145" t="s">
        <v>130</v>
      </c>
    </row>
    <row r="146" spans="1:29" ht="14.5" x14ac:dyDescent="0.35">
      <c r="A146" s="2" t="s">
        <v>526</v>
      </c>
      <c r="B146" s="1" t="s">
        <v>43</v>
      </c>
      <c r="C146" s="1" t="s">
        <v>109</v>
      </c>
      <c r="D146" s="1" t="s">
        <v>116</v>
      </c>
      <c r="E146" s="10">
        <v>45446</v>
      </c>
      <c r="F146" s="10">
        <v>45320</v>
      </c>
      <c r="G146" s="94">
        <v>45352</v>
      </c>
      <c r="H146">
        <v>0.45100000000000001</v>
      </c>
      <c r="I146">
        <v>0.13</v>
      </c>
      <c r="J146" t="s">
        <v>409</v>
      </c>
      <c r="K146" t="s">
        <v>130</v>
      </c>
      <c r="L146">
        <v>6.6000000000000003E-2</v>
      </c>
      <c r="M146">
        <v>1.2999999999999999E-2</v>
      </c>
      <c r="N146" t="s">
        <v>409</v>
      </c>
      <c r="O146">
        <v>3.3000000000000002E-2</v>
      </c>
      <c r="P146">
        <v>0.17899999999999999</v>
      </c>
      <c r="Q146" t="s">
        <v>421</v>
      </c>
      <c r="R146" t="s">
        <v>130</v>
      </c>
      <c r="S146" t="s">
        <v>130</v>
      </c>
      <c r="T146" t="s">
        <v>130</v>
      </c>
      <c r="U146" t="s">
        <v>130</v>
      </c>
      <c r="V146" t="s">
        <v>130</v>
      </c>
      <c r="X146">
        <v>2.5000000000000001E-2</v>
      </c>
      <c r="Y146">
        <v>4.5999999999999999E-2</v>
      </c>
      <c r="Z146" t="s">
        <v>421</v>
      </c>
      <c r="AA146" t="s">
        <v>130</v>
      </c>
      <c r="AB146" t="s">
        <v>130</v>
      </c>
      <c r="AC146" t="s">
        <v>130</v>
      </c>
    </row>
    <row r="147" spans="1:29" ht="14.5" x14ac:dyDescent="0.35">
      <c r="A147" s="2" t="s">
        <v>527</v>
      </c>
      <c r="B147" s="1" t="s">
        <v>43</v>
      </c>
      <c r="C147" s="1">
        <v>45771</v>
      </c>
      <c r="D147" s="1" t="s">
        <v>116</v>
      </c>
      <c r="E147" s="10">
        <v>45447</v>
      </c>
      <c r="F147" s="10">
        <v>45619</v>
      </c>
      <c r="G147" s="94">
        <v>45737</v>
      </c>
      <c r="H147">
        <v>0.53700000000000003</v>
      </c>
      <c r="I147">
        <v>0.13</v>
      </c>
      <c r="J147" t="s">
        <v>409</v>
      </c>
      <c r="K147" t="s">
        <v>130</v>
      </c>
      <c r="L147">
        <v>0.156</v>
      </c>
      <c r="M147">
        <v>1.2999999999999999E-2</v>
      </c>
      <c r="N147" t="s">
        <v>409</v>
      </c>
      <c r="O147">
        <v>1.2270000000000001</v>
      </c>
      <c r="P147">
        <v>0.17899999999999999</v>
      </c>
      <c r="Q147" t="s">
        <v>130</v>
      </c>
      <c r="R147" t="s">
        <v>130</v>
      </c>
      <c r="S147" t="s">
        <v>130</v>
      </c>
      <c r="T147" t="s">
        <v>130</v>
      </c>
      <c r="U147" t="s">
        <v>130</v>
      </c>
      <c r="V147" t="s">
        <v>130</v>
      </c>
      <c r="X147">
        <v>2.7E-2</v>
      </c>
      <c r="Y147">
        <v>4.5999999999999999E-2</v>
      </c>
      <c r="Z147" t="s">
        <v>421</v>
      </c>
      <c r="AA147" t="s">
        <v>130</v>
      </c>
      <c r="AB147" t="s">
        <v>130</v>
      </c>
      <c r="AC147" t="s">
        <v>130</v>
      </c>
    </row>
    <row r="148" spans="1:29" ht="14.5" x14ac:dyDescent="0.35">
      <c r="A148" s="2" t="s">
        <v>528</v>
      </c>
      <c r="B148" s="1" t="s">
        <v>43</v>
      </c>
      <c r="C148" s="1">
        <v>45771</v>
      </c>
      <c r="D148" s="1" t="s">
        <v>115</v>
      </c>
      <c r="E148" s="10">
        <v>45448</v>
      </c>
      <c r="F148" s="10"/>
      <c r="G148" s="94"/>
      <c r="H148" t="s">
        <v>130</v>
      </c>
      <c r="I148" t="s">
        <v>130</v>
      </c>
      <c r="J148" t="s">
        <v>130</v>
      </c>
      <c r="K148" t="s">
        <v>130</v>
      </c>
      <c r="L148" t="s">
        <v>130</v>
      </c>
      <c r="M148" t="s">
        <v>130</v>
      </c>
      <c r="N148" t="s">
        <v>130</v>
      </c>
      <c r="O148" t="s">
        <v>130</v>
      </c>
      <c r="P148" t="s">
        <v>130</v>
      </c>
      <c r="Q148" t="s">
        <v>130</v>
      </c>
      <c r="R148">
        <v>48.8</v>
      </c>
      <c r="S148">
        <v>3.5</v>
      </c>
      <c r="T148" t="s">
        <v>130</v>
      </c>
      <c r="U148">
        <v>0.45100000000000001</v>
      </c>
      <c r="V148">
        <v>1.4999999999999999E-2</v>
      </c>
      <c r="Y148" t="s">
        <v>130</v>
      </c>
      <c r="AA148">
        <v>695.3</v>
      </c>
      <c r="AB148">
        <v>10.4</v>
      </c>
      <c r="AC148" t="s">
        <v>130</v>
      </c>
    </row>
    <row r="149" spans="1:29" ht="14.5" x14ac:dyDescent="0.35">
      <c r="A149" s="2" t="s">
        <v>528</v>
      </c>
      <c r="B149" s="1" t="s">
        <v>43</v>
      </c>
      <c r="C149" s="1">
        <v>45771</v>
      </c>
      <c r="D149" s="1" t="s">
        <v>115</v>
      </c>
      <c r="E149" s="10">
        <v>45449</v>
      </c>
      <c r="F149" s="10">
        <v>45619</v>
      </c>
      <c r="G149" s="94">
        <v>45737</v>
      </c>
      <c r="H149" t="s">
        <v>130</v>
      </c>
      <c r="I149" t="s">
        <v>130</v>
      </c>
      <c r="J149" t="s">
        <v>130</v>
      </c>
      <c r="K149" t="s">
        <v>130</v>
      </c>
      <c r="L149" t="s">
        <v>130</v>
      </c>
      <c r="M149" t="s">
        <v>130</v>
      </c>
      <c r="N149" t="s">
        <v>130</v>
      </c>
      <c r="O149" t="s">
        <v>130</v>
      </c>
      <c r="P149" t="s">
        <v>130</v>
      </c>
      <c r="Q149" t="s">
        <v>130</v>
      </c>
      <c r="R149">
        <v>48.8</v>
      </c>
      <c r="S149">
        <v>3.5</v>
      </c>
      <c r="T149" t="s">
        <v>130</v>
      </c>
      <c r="U149">
        <v>0.45100000000000001</v>
      </c>
      <c r="V149">
        <v>1.4999999999999999E-2</v>
      </c>
      <c r="Y149" t="s">
        <v>130</v>
      </c>
      <c r="AA149">
        <v>695.3</v>
      </c>
      <c r="AB149">
        <v>10.4</v>
      </c>
      <c r="AC149" t="s">
        <v>130</v>
      </c>
    </row>
    <row r="150" spans="1:29" ht="14.5" x14ac:dyDescent="0.35">
      <c r="A150" s="2" t="s">
        <v>529</v>
      </c>
      <c r="B150" s="1" t="s">
        <v>43</v>
      </c>
      <c r="C150" s="1">
        <v>45893</v>
      </c>
      <c r="D150" s="1" t="s">
        <v>115</v>
      </c>
      <c r="E150" s="10">
        <v>45450</v>
      </c>
      <c r="F150" s="10"/>
      <c r="G150" s="94"/>
      <c r="H150" t="s">
        <v>130</v>
      </c>
      <c r="I150" t="s">
        <v>130</v>
      </c>
      <c r="J150" t="s">
        <v>130</v>
      </c>
      <c r="K150" t="s">
        <v>130</v>
      </c>
      <c r="L150" t="s">
        <v>130</v>
      </c>
      <c r="M150" t="s">
        <v>130</v>
      </c>
      <c r="N150" t="s">
        <v>130</v>
      </c>
      <c r="O150" t="s">
        <v>130</v>
      </c>
      <c r="P150" t="s">
        <v>130</v>
      </c>
      <c r="Q150" t="s">
        <v>130</v>
      </c>
      <c r="R150">
        <v>105.5</v>
      </c>
      <c r="S150">
        <v>3.5</v>
      </c>
      <c r="T150" t="s">
        <v>130</v>
      </c>
      <c r="U150">
        <v>1.0449999999999999</v>
      </c>
      <c r="V150">
        <v>1.4999999999999999E-2</v>
      </c>
      <c r="Y150" t="s">
        <v>130</v>
      </c>
      <c r="AA150">
        <v>1054</v>
      </c>
      <c r="AB150">
        <v>10.4</v>
      </c>
      <c r="AC150" t="s">
        <v>130</v>
      </c>
    </row>
    <row r="151" spans="1:29" ht="14.5" x14ac:dyDescent="0.35">
      <c r="A151" s="2" t="s">
        <v>530</v>
      </c>
      <c r="B151" s="1" t="s">
        <v>47</v>
      </c>
      <c r="C151" s="1">
        <v>45681</v>
      </c>
      <c r="D151" s="1" t="s">
        <v>115</v>
      </c>
      <c r="E151" s="10">
        <v>45451</v>
      </c>
      <c r="F151" s="10"/>
      <c r="G151" s="94"/>
      <c r="H151" t="s">
        <v>130</v>
      </c>
      <c r="I151" t="s">
        <v>130</v>
      </c>
      <c r="J151" t="s">
        <v>130</v>
      </c>
      <c r="K151" t="s">
        <v>130</v>
      </c>
      <c r="L151" t="s">
        <v>130</v>
      </c>
      <c r="M151" t="s">
        <v>130</v>
      </c>
      <c r="N151" t="s">
        <v>130</v>
      </c>
      <c r="O151" t="s">
        <v>130</v>
      </c>
      <c r="P151" t="s">
        <v>130</v>
      </c>
      <c r="Q151" t="s">
        <v>130</v>
      </c>
      <c r="R151">
        <v>268.10000000000002</v>
      </c>
      <c r="S151">
        <v>3.5</v>
      </c>
      <c r="T151" t="s">
        <v>130</v>
      </c>
      <c r="U151">
        <v>7.9409999999999998</v>
      </c>
      <c r="V151">
        <v>0.21199999999999999</v>
      </c>
      <c r="Y151" t="s">
        <v>130</v>
      </c>
      <c r="AA151">
        <v>1825</v>
      </c>
      <c r="AB151">
        <v>10.4</v>
      </c>
      <c r="AC151" t="s">
        <v>130</v>
      </c>
    </row>
    <row r="152" spans="1:29" ht="14.5" x14ac:dyDescent="0.35">
      <c r="A152" s="2" t="s">
        <v>531</v>
      </c>
      <c r="B152" s="1" t="s">
        <v>47</v>
      </c>
      <c r="C152" s="1">
        <v>45985</v>
      </c>
      <c r="D152" s="1" t="s">
        <v>115</v>
      </c>
      <c r="E152" s="10">
        <v>45452</v>
      </c>
      <c r="F152" s="10"/>
      <c r="G152" s="94"/>
      <c r="H152" t="s">
        <v>130</v>
      </c>
      <c r="I152" t="s">
        <v>130</v>
      </c>
      <c r="J152" t="s">
        <v>130</v>
      </c>
      <c r="K152" t="s">
        <v>130</v>
      </c>
      <c r="L152" t="s">
        <v>130</v>
      </c>
      <c r="M152" t="s">
        <v>130</v>
      </c>
      <c r="N152" t="s">
        <v>130</v>
      </c>
      <c r="O152" t="s">
        <v>130</v>
      </c>
      <c r="P152" t="s">
        <v>130</v>
      </c>
      <c r="Q152" t="s">
        <v>130</v>
      </c>
      <c r="R152">
        <v>254.3</v>
      </c>
      <c r="S152">
        <v>6.9</v>
      </c>
      <c r="T152" t="s">
        <v>130</v>
      </c>
      <c r="U152">
        <v>13.37</v>
      </c>
      <c r="V152">
        <v>0.153</v>
      </c>
      <c r="Y152" t="s">
        <v>130</v>
      </c>
      <c r="AA152">
        <v>5230</v>
      </c>
      <c r="AB152">
        <v>41.59</v>
      </c>
      <c r="AC152" t="s">
        <v>130</v>
      </c>
    </row>
    <row r="153" spans="1:29" ht="14.5" x14ac:dyDescent="0.35">
      <c r="A153" s="2" t="s">
        <v>532</v>
      </c>
      <c r="B153" s="1" t="s">
        <v>47</v>
      </c>
      <c r="C153" s="1" t="s">
        <v>109</v>
      </c>
      <c r="D153" s="1" t="s">
        <v>116</v>
      </c>
      <c r="E153" s="10">
        <v>45453</v>
      </c>
      <c r="F153" s="10">
        <v>45320</v>
      </c>
      <c r="G153" s="94">
        <v>45352</v>
      </c>
      <c r="H153">
        <v>0.6</v>
      </c>
      <c r="I153">
        <v>0.124</v>
      </c>
      <c r="J153" t="s">
        <v>409</v>
      </c>
      <c r="K153" t="s">
        <v>130</v>
      </c>
      <c r="L153">
        <v>1.2929999999999999</v>
      </c>
      <c r="M153">
        <v>1.4999999999999999E-2</v>
      </c>
      <c r="N153" t="s">
        <v>130</v>
      </c>
      <c r="O153">
        <v>1.694</v>
      </c>
      <c r="P153">
        <v>0.19600000000000001</v>
      </c>
      <c r="Q153" t="s">
        <v>130</v>
      </c>
      <c r="R153" t="s">
        <v>130</v>
      </c>
      <c r="S153" t="s">
        <v>130</v>
      </c>
      <c r="T153" t="s">
        <v>130</v>
      </c>
      <c r="U153" t="s">
        <v>130</v>
      </c>
      <c r="V153" t="s">
        <v>130</v>
      </c>
      <c r="X153">
        <v>3.3730000000000002</v>
      </c>
      <c r="Y153">
        <v>6.2E-2</v>
      </c>
      <c r="AA153" t="s">
        <v>130</v>
      </c>
      <c r="AB153" t="s">
        <v>130</v>
      </c>
      <c r="AC153" t="s">
        <v>130</v>
      </c>
    </row>
    <row r="154" spans="1:29" ht="14.5" x14ac:dyDescent="0.35">
      <c r="A154" s="2" t="s">
        <v>533</v>
      </c>
      <c r="B154" s="1" t="s">
        <v>47</v>
      </c>
      <c r="C154" s="1">
        <v>45771</v>
      </c>
      <c r="D154" s="1" t="s">
        <v>116</v>
      </c>
      <c r="E154" s="10">
        <v>45454</v>
      </c>
      <c r="F154" s="10">
        <v>45619</v>
      </c>
      <c r="G154" s="94">
        <v>45737</v>
      </c>
      <c r="H154">
        <v>1.298</v>
      </c>
      <c r="I154">
        <v>0.13</v>
      </c>
      <c r="J154" t="s">
        <v>130</v>
      </c>
      <c r="K154" t="s">
        <v>130</v>
      </c>
      <c r="L154">
        <v>0.30499999999999999</v>
      </c>
      <c r="M154">
        <v>1.2999999999999999E-2</v>
      </c>
      <c r="N154" t="s">
        <v>130</v>
      </c>
      <c r="O154">
        <v>3.3010000000000002</v>
      </c>
      <c r="P154">
        <v>0.17899999999999999</v>
      </c>
      <c r="Q154" t="s">
        <v>130</v>
      </c>
      <c r="R154" t="s">
        <v>130</v>
      </c>
      <c r="S154" t="s">
        <v>130</v>
      </c>
      <c r="T154" t="s">
        <v>130</v>
      </c>
      <c r="U154" t="s">
        <v>130</v>
      </c>
      <c r="V154" t="s">
        <v>130</v>
      </c>
      <c r="X154">
        <v>1.1259999999999999</v>
      </c>
      <c r="Y154">
        <v>4.5999999999999999E-2</v>
      </c>
      <c r="AA154" t="s">
        <v>130</v>
      </c>
      <c r="AB154" t="s">
        <v>130</v>
      </c>
      <c r="AC154" t="s">
        <v>130</v>
      </c>
    </row>
    <row r="155" spans="1:29" ht="14.5" x14ac:dyDescent="0.35">
      <c r="A155" s="2" t="s">
        <v>534</v>
      </c>
      <c r="B155" s="1" t="s">
        <v>47</v>
      </c>
      <c r="C155" s="1">
        <v>45771</v>
      </c>
      <c r="D155" s="1" t="s">
        <v>115</v>
      </c>
      <c r="E155" s="10">
        <v>45455</v>
      </c>
      <c r="F155" s="10"/>
      <c r="G155" s="94"/>
      <c r="H155" t="s">
        <v>130</v>
      </c>
      <c r="I155" t="s">
        <v>130</v>
      </c>
      <c r="J155" t="s">
        <v>130</v>
      </c>
      <c r="K155" t="s">
        <v>130</v>
      </c>
      <c r="L155" t="s">
        <v>130</v>
      </c>
      <c r="M155" t="s">
        <v>130</v>
      </c>
      <c r="N155" t="s">
        <v>130</v>
      </c>
      <c r="O155" t="s">
        <v>130</v>
      </c>
      <c r="P155" t="s">
        <v>130</v>
      </c>
      <c r="Q155" t="s">
        <v>130</v>
      </c>
      <c r="R155">
        <v>188.3</v>
      </c>
      <c r="S155">
        <v>3.5</v>
      </c>
      <c r="T155" t="s">
        <v>130</v>
      </c>
      <c r="U155">
        <v>4.3499999999999996</v>
      </c>
      <c r="V155">
        <v>7.6999999999999999E-2</v>
      </c>
      <c r="Y155" t="s">
        <v>130</v>
      </c>
      <c r="AA155">
        <v>2455</v>
      </c>
      <c r="AB155">
        <v>20.8</v>
      </c>
      <c r="AC155" t="s">
        <v>130</v>
      </c>
    </row>
    <row r="156" spans="1:29" ht="14.5" x14ac:dyDescent="0.35">
      <c r="A156" s="2" t="s">
        <v>534</v>
      </c>
      <c r="B156" s="1" t="s">
        <v>47</v>
      </c>
      <c r="C156" s="1">
        <v>45771</v>
      </c>
      <c r="D156" s="1" t="s">
        <v>115</v>
      </c>
      <c r="E156" s="10">
        <v>45456</v>
      </c>
      <c r="F156" s="10">
        <v>45619</v>
      </c>
      <c r="G156" s="94">
        <v>45737</v>
      </c>
      <c r="H156" t="s">
        <v>130</v>
      </c>
      <c r="I156" t="s">
        <v>130</v>
      </c>
      <c r="J156" t="s">
        <v>130</v>
      </c>
      <c r="K156" t="s">
        <v>130</v>
      </c>
      <c r="L156" t="s">
        <v>130</v>
      </c>
      <c r="M156" t="s">
        <v>130</v>
      </c>
      <c r="N156" t="s">
        <v>130</v>
      </c>
      <c r="O156" t="s">
        <v>130</v>
      </c>
      <c r="P156" t="s">
        <v>130</v>
      </c>
      <c r="Q156" t="s">
        <v>130</v>
      </c>
      <c r="R156">
        <v>188.3</v>
      </c>
      <c r="S156">
        <v>3.5</v>
      </c>
      <c r="T156" t="s">
        <v>130</v>
      </c>
      <c r="U156">
        <v>4.3499999999999996</v>
      </c>
      <c r="V156">
        <v>7.6999999999999999E-2</v>
      </c>
      <c r="Y156" t="s">
        <v>130</v>
      </c>
      <c r="AA156">
        <v>2455</v>
      </c>
      <c r="AB156">
        <v>20.8</v>
      </c>
      <c r="AC156" t="s">
        <v>130</v>
      </c>
    </row>
    <row r="157" spans="1:29" ht="14.5" x14ac:dyDescent="0.35">
      <c r="A157" s="2" t="s">
        <v>535</v>
      </c>
      <c r="B157" s="1" t="s">
        <v>47</v>
      </c>
      <c r="C157" s="1">
        <v>45893</v>
      </c>
      <c r="D157" s="1" t="s">
        <v>115</v>
      </c>
      <c r="E157" s="10">
        <v>45457</v>
      </c>
      <c r="F157" s="10"/>
      <c r="G157" s="94"/>
      <c r="H157" t="s">
        <v>130</v>
      </c>
      <c r="I157" t="s">
        <v>130</v>
      </c>
      <c r="J157" t="s">
        <v>130</v>
      </c>
      <c r="K157" t="s">
        <v>130</v>
      </c>
      <c r="L157" t="s">
        <v>130</v>
      </c>
      <c r="M157" t="s">
        <v>130</v>
      </c>
      <c r="N157" t="s">
        <v>130</v>
      </c>
      <c r="O157" t="s">
        <v>130</v>
      </c>
      <c r="P157" t="s">
        <v>130</v>
      </c>
      <c r="Q157" t="s">
        <v>130</v>
      </c>
      <c r="R157">
        <v>163.30000000000001</v>
      </c>
      <c r="S157">
        <v>3.5</v>
      </c>
      <c r="T157" t="s">
        <v>130</v>
      </c>
      <c r="U157">
        <v>2.202</v>
      </c>
      <c r="V157">
        <v>3.1E-2</v>
      </c>
      <c r="Y157" t="s">
        <v>130</v>
      </c>
      <c r="AA157">
        <v>1945</v>
      </c>
      <c r="AB157">
        <v>10.4</v>
      </c>
      <c r="AC157" t="s">
        <v>130</v>
      </c>
    </row>
    <row r="158" spans="1:29" ht="14.5" x14ac:dyDescent="0.35">
      <c r="A158" s="2" t="s">
        <v>536</v>
      </c>
      <c r="B158" s="1" t="s">
        <v>48</v>
      </c>
      <c r="C158" s="1">
        <v>45681</v>
      </c>
      <c r="D158" s="1" t="s">
        <v>115</v>
      </c>
      <c r="E158" s="10">
        <v>45458</v>
      </c>
      <c r="F158" s="10">
        <v>45320</v>
      </c>
      <c r="G158" s="94">
        <v>45352</v>
      </c>
      <c r="H158" t="s">
        <v>130</v>
      </c>
      <c r="I158" t="s">
        <v>130</v>
      </c>
      <c r="J158" t="s">
        <v>130</v>
      </c>
      <c r="K158" t="s">
        <v>130</v>
      </c>
      <c r="L158" t="s">
        <v>130</v>
      </c>
      <c r="M158" t="s">
        <v>130</v>
      </c>
      <c r="N158" t="s">
        <v>130</v>
      </c>
      <c r="O158" t="s">
        <v>130</v>
      </c>
      <c r="P158" t="s">
        <v>130</v>
      </c>
      <c r="Q158" t="s">
        <v>130</v>
      </c>
      <c r="R158">
        <v>39.5</v>
      </c>
      <c r="S158">
        <v>3.5</v>
      </c>
      <c r="T158" t="s">
        <v>130</v>
      </c>
      <c r="U158">
        <v>0.69</v>
      </c>
      <c r="V158">
        <v>2.8000000000000001E-2</v>
      </c>
      <c r="Y158" t="s">
        <v>130</v>
      </c>
      <c r="AA158">
        <v>483.5</v>
      </c>
      <c r="AB158">
        <v>10.4</v>
      </c>
      <c r="AC158" t="s">
        <v>130</v>
      </c>
    </row>
    <row r="159" spans="1:29" ht="14.5" x14ac:dyDescent="0.35">
      <c r="A159" s="2" t="s">
        <v>537</v>
      </c>
      <c r="B159" s="1" t="s">
        <v>48</v>
      </c>
      <c r="C159" s="1">
        <v>45985</v>
      </c>
      <c r="D159" s="1" t="s">
        <v>115</v>
      </c>
      <c r="E159" s="10">
        <v>45459</v>
      </c>
      <c r="F159" s="10"/>
      <c r="G159" s="94"/>
      <c r="H159" t="s">
        <v>130</v>
      </c>
      <c r="I159" t="s">
        <v>130</v>
      </c>
      <c r="J159" t="s">
        <v>130</v>
      </c>
      <c r="K159" t="s">
        <v>130</v>
      </c>
      <c r="L159" t="s">
        <v>130</v>
      </c>
      <c r="M159" t="s">
        <v>130</v>
      </c>
      <c r="N159" t="s">
        <v>130</v>
      </c>
      <c r="O159" t="s">
        <v>130</v>
      </c>
      <c r="P159" t="s">
        <v>130</v>
      </c>
      <c r="Q159" t="s">
        <v>130</v>
      </c>
      <c r="R159">
        <v>98.9</v>
      </c>
      <c r="S159">
        <v>3.5</v>
      </c>
      <c r="T159" t="s">
        <v>130</v>
      </c>
      <c r="U159">
        <v>1.798</v>
      </c>
      <c r="V159">
        <v>1.4999999999999999E-2</v>
      </c>
      <c r="Y159" t="s">
        <v>130</v>
      </c>
      <c r="AA159">
        <v>856.7</v>
      </c>
      <c r="AB159">
        <v>10.4</v>
      </c>
      <c r="AC159" t="s">
        <v>130</v>
      </c>
    </row>
    <row r="160" spans="1:29" ht="14.5" x14ac:dyDescent="0.35">
      <c r="A160" s="2" t="s">
        <v>538</v>
      </c>
      <c r="B160" s="1" t="s">
        <v>48</v>
      </c>
      <c r="C160" s="1" t="s">
        <v>109</v>
      </c>
      <c r="D160" s="1" t="s">
        <v>116</v>
      </c>
      <c r="E160" s="10">
        <v>45460</v>
      </c>
      <c r="F160" s="10">
        <v>45320</v>
      </c>
      <c r="G160" s="94">
        <v>45352</v>
      </c>
      <c r="H160">
        <v>0.156</v>
      </c>
      <c r="I160">
        <v>0.13</v>
      </c>
      <c r="J160" t="s">
        <v>409</v>
      </c>
      <c r="K160" t="s">
        <v>130</v>
      </c>
      <c r="L160">
        <v>3.9E-2</v>
      </c>
      <c r="M160">
        <v>1.2999999999999999E-2</v>
      </c>
      <c r="N160" t="s">
        <v>409</v>
      </c>
      <c r="O160">
        <v>0.47199999999999998</v>
      </c>
      <c r="P160">
        <v>0.17899999999999999</v>
      </c>
      <c r="Q160" t="s">
        <v>409</v>
      </c>
      <c r="R160" t="s">
        <v>130</v>
      </c>
      <c r="S160" t="s">
        <v>130</v>
      </c>
      <c r="T160" t="s">
        <v>130</v>
      </c>
      <c r="U160" t="s">
        <v>130</v>
      </c>
      <c r="V160" t="s">
        <v>130</v>
      </c>
      <c r="X160">
        <v>2.8000000000000001E-2</v>
      </c>
      <c r="Y160">
        <v>4.5999999999999999E-2</v>
      </c>
      <c r="Z160" t="s">
        <v>421</v>
      </c>
      <c r="AA160" t="s">
        <v>130</v>
      </c>
      <c r="AB160" t="s">
        <v>130</v>
      </c>
      <c r="AC160" t="s">
        <v>130</v>
      </c>
    </row>
    <row r="161" spans="1:29" ht="14.5" x14ac:dyDescent="0.35">
      <c r="A161" s="2" t="s">
        <v>539</v>
      </c>
      <c r="B161" s="1" t="s">
        <v>48</v>
      </c>
      <c r="C161" s="1">
        <v>45771</v>
      </c>
      <c r="D161" s="1" t="s">
        <v>116</v>
      </c>
      <c r="E161" s="10">
        <v>45461</v>
      </c>
      <c r="F161" s="10">
        <v>45619</v>
      </c>
      <c r="G161" s="94">
        <v>45737</v>
      </c>
      <c r="H161">
        <v>0.49399999999999999</v>
      </c>
      <c r="I161">
        <v>0.13</v>
      </c>
      <c r="J161" t="s">
        <v>409</v>
      </c>
      <c r="K161" t="s">
        <v>130</v>
      </c>
      <c r="L161">
        <v>5.8000000000000003E-2</v>
      </c>
      <c r="M161">
        <v>1.2999999999999999E-2</v>
      </c>
      <c r="N161" t="s">
        <v>409</v>
      </c>
      <c r="O161">
        <v>1.5940000000000001</v>
      </c>
      <c r="P161">
        <v>0.17899999999999999</v>
      </c>
      <c r="Q161" t="s">
        <v>130</v>
      </c>
      <c r="R161" t="s">
        <v>130</v>
      </c>
      <c r="S161" t="s">
        <v>130</v>
      </c>
      <c r="T161" t="s">
        <v>130</v>
      </c>
      <c r="U161" t="s">
        <v>130</v>
      </c>
      <c r="V161" t="s">
        <v>130</v>
      </c>
      <c r="X161">
        <v>3.9E-2</v>
      </c>
      <c r="Y161">
        <v>4.5999999999999999E-2</v>
      </c>
      <c r="Z161" t="s">
        <v>421</v>
      </c>
      <c r="AA161" t="s">
        <v>130</v>
      </c>
      <c r="AB161" t="s">
        <v>130</v>
      </c>
      <c r="AC161" t="s">
        <v>130</v>
      </c>
    </row>
    <row r="162" spans="1:29" ht="15" customHeight="1" x14ac:dyDescent="0.35">
      <c r="A162" s="2" t="s">
        <v>540</v>
      </c>
      <c r="B162" s="1" t="s">
        <v>48</v>
      </c>
      <c r="C162" s="1">
        <v>45771</v>
      </c>
      <c r="D162" s="1" t="s">
        <v>115</v>
      </c>
      <c r="E162" s="10">
        <v>45462</v>
      </c>
      <c r="F162" s="10"/>
      <c r="G162" s="94"/>
      <c r="H162" t="s">
        <v>130</v>
      </c>
      <c r="I162" t="s">
        <v>130</v>
      </c>
      <c r="J162" t="s">
        <v>130</v>
      </c>
      <c r="K162" t="s">
        <v>130</v>
      </c>
      <c r="L162" t="s">
        <v>130</v>
      </c>
      <c r="M162" t="s">
        <v>130</v>
      </c>
      <c r="N162" t="s">
        <v>130</v>
      </c>
      <c r="O162" t="s">
        <v>130</v>
      </c>
      <c r="P162" t="s">
        <v>130</v>
      </c>
      <c r="Q162" t="s">
        <v>130</v>
      </c>
      <c r="R162">
        <v>57.9</v>
      </c>
      <c r="S162">
        <v>3.5</v>
      </c>
      <c r="T162" t="s">
        <v>130</v>
      </c>
      <c r="U162">
        <v>2.0219999999999998</v>
      </c>
      <c r="V162">
        <v>1.4999999999999999E-2</v>
      </c>
      <c r="Y162" t="s">
        <v>130</v>
      </c>
      <c r="AA162">
        <v>1341</v>
      </c>
      <c r="AB162">
        <v>20.8</v>
      </c>
      <c r="AC162" t="s">
        <v>130</v>
      </c>
    </row>
    <row r="163" spans="1:29" ht="15" customHeight="1" x14ac:dyDescent="0.35">
      <c r="A163" s="2" t="s">
        <v>540</v>
      </c>
      <c r="B163" s="1" t="s">
        <v>48</v>
      </c>
      <c r="C163" s="1">
        <v>45771</v>
      </c>
      <c r="D163" s="1" t="s">
        <v>115</v>
      </c>
      <c r="E163" s="10">
        <v>45463</v>
      </c>
      <c r="F163" s="10">
        <v>45619</v>
      </c>
      <c r="G163" s="94">
        <v>45737</v>
      </c>
      <c r="H163" t="s">
        <v>130</v>
      </c>
      <c r="I163" t="s">
        <v>130</v>
      </c>
      <c r="J163" t="s">
        <v>130</v>
      </c>
      <c r="K163" t="s">
        <v>130</v>
      </c>
      <c r="L163" t="s">
        <v>130</v>
      </c>
      <c r="M163" t="s">
        <v>130</v>
      </c>
      <c r="N163" t="s">
        <v>130</v>
      </c>
      <c r="O163" t="s">
        <v>130</v>
      </c>
      <c r="P163" t="s">
        <v>130</v>
      </c>
      <c r="Q163" t="s">
        <v>130</v>
      </c>
      <c r="R163">
        <v>57.9</v>
      </c>
      <c r="S163">
        <v>3.5</v>
      </c>
      <c r="T163" t="s">
        <v>130</v>
      </c>
      <c r="U163">
        <v>2.0219999999999998</v>
      </c>
      <c r="V163">
        <v>1.4999999999999999E-2</v>
      </c>
      <c r="Y163" t="s">
        <v>130</v>
      </c>
      <c r="AA163">
        <v>1341</v>
      </c>
      <c r="AB163">
        <v>20.8</v>
      </c>
      <c r="AC163" t="s">
        <v>130</v>
      </c>
    </row>
    <row r="164" spans="1:29" ht="15" customHeight="1" x14ac:dyDescent="0.35">
      <c r="A164" s="2" t="s">
        <v>541</v>
      </c>
      <c r="B164" s="1" t="s">
        <v>48</v>
      </c>
      <c r="C164" s="1">
        <v>45893</v>
      </c>
      <c r="D164" s="1" t="s">
        <v>115</v>
      </c>
      <c r="E164" s="10">
        <v>45464</v>
      </c>
      <c r="F164" s="10"/>
      <c r="G164" s="94"/>
      <c r="H164" t="s">
        <v>130</v>
      </c>
      <c r="I164" t="s">
        <v>130</v>
      </c>
      <c r="J164" t="s">
        <v>130</v>
      </c>
      <c r="K164" t="s">
        <v>130</v>
      </c>
      <c r="L164" t="s">
        <v>130</v>
      </c>
      <c r="M164" t="s">
        <v>130</v>
      </c>
      <c r="N164" t="s">
        <v>130</v>
      </c>
      <c r="O164" t="s">
        <v>130</v>
      </c>
      <c r="P164" t="s">
        <v>130</v>
      </c>
      <c r="Q164" t="s">
        <v>130</v>
      </c>
      <c r="R164">
        <v>62.4</v>
      </c>
      <c r="S164">
        <v>3.5</v>
      </c>
      <c r="T164" t="s">
        <v>130</v>
      </c>
      <c r="U164">
        <v>0.83</v>
      </c>
      <c r="V164">
        <v>1.4999999999999999E-2</v>
      </c>
      <c r="Y164" t="s">
        <v>130</v>
      </c>
      <c r="AA164">
        <v>660.6</v>
      </c>
      <c r="AB164">
        <v>10.4</v>
      </c>
      <c r="AC164" t="s">
        <v>130</v>
      </c>
    </row>
    <row r="165" spans="1:29" ht="15" customHeight="1" x14ac:dyDescent="0.35">
      <c r="A165" s="2" t="s">
        <v>542</v>
      </c>
      <c r="B165" s="1" t="s">
        <v>40</v>
      </c>
      <c r="C165" s="1">
        <v>45681</v>
      </c>
      <c r="D165" s="1" t="s">
        <v>115</v>
      </c>
      <c r="E165" s="10">
        <v>45465</v>
      </c>
      <c r="F165" s="10">
        <v>45320</v>
      </c>
      <c r="G165" s="94">
        <v>45352</v>
      </c>
      <c r="H165" t="s">
        <v>130</v>
      </c>
      <c r="I165" t="s">
        <v>130</v>
      </c>
      <c r="J165" t="s">
        <v>130</v>
      </c>
      <c r="K165" t="s">
        <v>130</v>
      </c>
      <c r="L165" t="s">
        <v>130</v>
      </c>
      <c r="M165" t="s">
        <v>130</v>
      </c>
      <c r="N165" t="s">
        <v>130</v>
      </c>
      <c r="O165" t="s">
        <v>130</v>
      </c>
      <c r="P165" t="s">
        <v>130</v>
      </c>
      <c r="Q165" t="s">
        <v>130</v>
      </c>
      <c r="R165">
        <v>61.4</v>
      </c>
      <c r="S165">
        <v>3.5</v>
      </c>
      <c r="T165" t="s">
        <v>130</v>
      </c>
      <c r="U165">
        <v>0.79800000000000004</v>
      </c>
      <c r="V165">
        <v>3.1E-2</v>
      </c>
      <c r="Y165" t="s">
        <v>130</v>
      </c>
      <c r="AA165">
        <v>834.2</v>
      </c>
      <c r="AB165">
        <v>10.4</v>
      </c>
      <c r="AC165" t="s">
        <v>130</v>
      </c>
    </row>
    <row r="166" spans="1:29" ht="15" customHeight="1" x14ac:dyDescent="0.35">
      <c r="A166" s="2" t="s">
        <v>543</v>
      </c>
      <c r="B166" s="1" t="s">
        <v>40</v>
      </c>
      <c r="C166" s="1">
        <v>45985</v>
      </c>
      <c r="D166" s="1" t="s">
        <v>115</v>
      </c>
      <c r="E166" s="10">
        <v>45466</v>
      </c>
      <c r="F166" s="10"/>
      <c r="G166" s="94"/>
      <c r="H166" t="s">
        <v>130</v>
      </c>
      <c r="I166" t="s">
        <v>130</v>
      </c>
      <c r="J166" t="s">
        <v>130</v>
      </c>
      <c r="K166" t="s">
        <v>130</v>
      </c>
      <c r="L166" t="s">
        <v>130</v>
      </c>
      <c r="M166" t="s">
        <v>130</v>
      </c>
      <c r="N166" t="s">
        <v>130</v>
      </c>
      <c r="O166" t="s">
        <v>130</v>
      </c>
      <c r="P166" t="s">
        <v>130</v>
      </c>
      <c r="Q166" t="s">
        <v>130</v>
      </c>
      <c r="R166">
        <v>36.200000000000003</v>
      </c>
      <c r="S166">
        <v>3.5</v>
      </c>
      <c r="T166" t="s">
        <v>130</v>
      </c>
      <c r="U166">
        <v>1.462</v>
      </c>
      <c r="V166">
        <v>1.4999999999999999E-2</v>
      </c>
      <c r="Y166" t="s">
        <v>130</v>
      </c>
      <c r="AA166">
        <v>482.8</v>
      </c>
      <c r="AB166">
        <v>10.4</v>
      </c>
      <c r="AC166" t="s">
        <v>130</v>
      </c>
    </row>
    <row r="167" spans="1:29" ht="15" customHeight="1" x14ac:dyDescent="0.35">
      <c r="A167" s="2" t="s">
        <v>544</v>
      </c>
      <c r="B167" s="1" t="s">
        <v>40</v>
      </c>
      <c r="C167" s="1" t="s">
        <v>109</v>
      </c>
      <c r="D167" s="1" t="s">
        <v>116</v>
      </c>
      <c r="E167" s="10">
        <v>45467</v>
      </c>
      <c r="F167" s="10">
        <v>45320</v>
      </c>
      <c r="G167" s="94">
        <v>45352</v>
      </c>
      <c r="H167">
        <v>0.38800000000000001</v>
      </c>
      <c r="I167">
        <v>0.124</v>
      </c>
      <c r="J167" t="s">
        <v>409</v>
      </c>
      <c r="K167" t="s">
        <v>130</v>
      </c>
      <c r="L167">
        <v>0.151</v>
      </c>
      <c r="M167">
        <v>1.4999999999999999E-2</v>
      </c>
      <c r="N167" t="s">
        <v>409</v>
      </c>
      <c r="O167">
        <v>0.93100000000000005</v>
      </c>
      <c r="P167">
        <v>0.19600000000000001</v>
      </c>
      <c r="Q167" t="s">
        <v>409</v>
      </c>
      <c r="R167" t="s">
        <v>130</v>
      </c>
      <c r="S167" t="s">
        <v>130</v>
      </c>
      <c r="T167" t="s">
        <v>130</v>
      </c>
      <c r="U167" t="s">
        <v>130</v>
      </c>
      <c r="V167" t="s">
        <v>130</v>
      </c>
      <c r="X167">
        <v>8.0000000000000002E-3</v>
      </c>
      <c r="Y167">
        <v>6.2E-2</v>
      </c>
      <c r="Z167" t="s">
        <v>421</v>
      </c>
      <c r="AA167" t="s">
        <v>130</v>
      </c>
      <c r="AB167" t="s">
        <v>130</v>
      </c>
      <c r="AC167" t="s">
        <v>130</v>
      </c>
    </row>
    <row r="168" spans="1:29" ht="15" customHeight="1" x14ac:dyDescent="0.35">
      <c r="A168" s="2" t="s">
        <v>545</v>
      </c>
      <c r="B168" s="1" t="s">
        <v>40</v>
      </c>
      <c r="C168" s="1">
        <v>45771</v>
      </c>
      <c r="D168" s="1" t="s">
        <v>116</v>
      </c>
      <c r="E168" s="10">
        <v>45468</v>
      </c>
      <c r="F168" s="10">
        <v>45619</v>
      </c>
      <c r="G168" s="94">
        <v>45737</v>
      </c>
      <c r="H168">
        <v>1.341</v>
      </c>
      <c r="I168">
        <v>0.13</v>
      </c>
      <c r="J168" t="s">
        <v>130</v>
      </c>
      <c r="K168" t="s">
        <v>130</v>
      </c>
      <c r="L168">
        <v>6.3E-2</v>
      </c>
      <c r="M168">
        <v>1.2999999999999999E-2</v>
      </c>
      <c r="N168" t="s">
        <v>409</v>
      </c>
      <c r="O168">
        <v>0.55200000000000005</v>
      </c>
      <c r="P168">
        <v>0.17899999999999999</v>
      </c>
      <c r="Q168" t="s">
        <v>409</v>
      </c>
      <c r="R168" t="s">
        <v>130</v>
      </c>
      <c r="S168" t="s">
        <v>130</v>
      </c>
      <c r="T168" t="s">
        <v>130</v>
      </c>
      <c r="U168" t="s">
        <v>130</v>
      </c>
      <c r="V168" t="s">
        <v>130</v>
      </c>
      <c r="X168">
        <v>2.9000000000000001E-2</v>
      </c>
      <c r="Y168">
        <v>4.5999999999999999E-2</v>
      </c>
      <c r="Z168" t="s">
        <v>421</v>
      </c>
      <c r="AA168" t="s">
        <v>130</v>
      </c>
      <c r="AB168" t="s">
        <v>130</v>
      </c>
      <c r="AC168" t="s">
        <v>130</v>
      </c>
    </row>
    <row r="169" spans="1:29" ht="15" customHeight="1" x14ac:dyDescent="0.35">
      <c r="A169" s="2" t="s">
        <v>546</v>
      </c>
      <c r="B169" s="1" t="s">
        <v>40</v>
      </c>
      <c r="C169" s="1">
        <v>45771</v>
      </c>
      <c r="D169" s="1" t="s">
        <v>115</v>
      </c>
      <c r="E169" s="10">
        <v>45469</v>
      </c>
      <c r="F169" s="10"/>
      <c r="G169" s="94"/>
      <c r="H169" t="s">
        <v>130</v>
      </c>
      <c r="I169" t="s">
        <v>130</v>
      </c>
      <c r="J169" t="s">
        <v>130</v>
      </c>
      <c r="K169" t="s">
        <v>130</v>
      </c>
      <c r="L169" t="s">
        <v>130</v>
      </c>
      <c r="M169" t="s">
        <v>130</v>
      </c>
      <c r="N169" t="s">
        <v>130</v>
      </c>
      <c r="O169" t="s">
        <v>130</v>
      </c>
      <c r="P169" t="s">
        <v>130</v>
      </c>
      <c r="Q169" t="s">
        <v>130</v>
      </c>
      <c r="R169">
        <v>105.7</v>
      </c>
      <c r="S169">
        <v>3.5</v>
      </c>
      <c r="T169" t="s">
        <v>130</v>
      </c>
      <c r="U169">
        <v>1.732</v>
      </c>
      <c r="V169">
        <v>1.4999999999999999E-2</v>
      </c>
      <c r="Y169" t="s">
        <v>130</v>
      </c>
      <c r="AA169">
        <v>1272</v>
      </c>
      <c r="AB169">
        <v>10.4</v>
      </c>
      <c r="AC169" t="s">
        <v>130</v>
      </c>
    </row>
    <row r="170" spans="1:29" ht="15" customHeight="1" x14ac:dyDescent="0.35">
      <c r="A170" s="2" t="s">
        <v>546</v>
      </c>
      <c r="B170" s="1" t="s">
        <v>40</v>
      </c>
      <c r="C170" s="1">
        <v>45771</v>
      </c>
      <c r="D170" s="1" t="s">
        <v>115</v>
      </c>
      <c r="E170" s="10">
        <v>45470</v>
      </c>
      <c r="F170" s="10">
        <v>45619</v>
      </c>
      <c r="G170" s="94">
        <v>45737</v>
      </c>
      <c r="H170" t="s">
        <v>130</v>
      </c>
      <c r="I170" t="s">
        <v>130</v>
      </c>
      <c r="J170" t="s">
        <v>130</v>
      </c>
      <c r="K170" t="s">
        <v>130</v>
      </c>
      <c r="L170" t="s">
        <v>130</v>
      </c>
      <c r="M170" t="s">
        <v>130</v>
      </c>
      <c r="N170" t="s">
        <v>130</v>
      </c>
      <c r="O170" t="s">
        <v>130</v>
      </c>
      <c r="P170" t="s">
        <v>130</v>
      </c>
      <c r="Q170" t="s">
        <v>130</v>
      </c>
      <c r="R170">
        <v>105.7</v>
      </c>
      <c r="S170">
        <v>3.5</v>
      </c>
      <c r="T170" t="s">
        <v>130</v>
      </c>
      <c r="U170">
        <v>1.732</v>
      </c>
      <c r="V170">
        <v>1.4999999999999999E-2</v>
      </c>
      <c r="Y170" t="s">
        <v>130</v>
      </c>
      <c r="AA170">
        <v>1272</v>
      </c>
      <c r="AB170">
        <v>10.4</v>
      </c>
      <c r="AC170" t="s">
        <v>130</v>
      </c>
    </row>
    <row r="171" spans="1:29" ht="15" customHeight="1" x14ac:dyDescent="0.35">
      <c r="A171" s="2" t="s">
        <v>547</v>
      </c>
      <c r="B171" s="1" t="s">
        <v>40</v>
      </c>
      <c r="C171" s="1">
        <v>45893</v>
      </c>
      <c r="D171" s="1" t="s">
        <v>116</v>
      </c>
      <c r="E171" s="10">
        <v>45471</v>
      </c>
      <c r="F171" s="10"/>
      <c r="G171" s="94"/>
      <c r="H171" t="s">
        <v>467</v>
      </c>
      <c r="I171">
        <v>0.13</v>
      </c>
      <c r="J171" t="s">
        <v>468</v>
      </c>
      <c r="K171" t="s">
        <v>130</v>
      </c>
      <c r="L171">
        <v>4.2000000000000003E-2</v>
      </c>
      <c r="M171">
        <v>1.2999999999999999E-2</v>
      </c>
      <c r="N171" t="s">
        <v>409</v>
      </c>
      <c r="O171">
        <v>0.47199999999999998</v>
      </c>
      <c r="P171">
        <v>0.17899999999999999</v>
      </c>
      <c r="Q171" t="s">
        <v>409</v>
      </c>
      <c r="R171" t="s">
        <v>130</v>
      </c>
      <c r="S171" t="s">
        <v>130</v>
      </c>
      <c r="T171" t="s">
        <v>130</v>
      </c>
      <c r="U171" t="s">
        <v>130</v>
      </c>
      <c r="V171" t="s">
        <v>130</v>
      </c>
      <c r="X171">
        <v>1.4E-2</v>
      </c>
      <c r="Y171">
        <v>4.5999999999999999E-2</v>
      </c>
      <c r="Z171" t="s">
        <v>421</v>
      </c>
      <c r="AA171" t="s">
        <v>130</v>
      </c>
      <c r="AB171" t="s">
        <v>130</v>
      </c>
      <c r="AC171" t="s">
        <v>130</v>
      </c>
    </row>
    <row r="172" spans="1:29" ht="15" customHeight="1" x14ac:dyDescent="0.35">
      <c r="A172" s="2" t="s">
        <v>548</v>
      </c>
      <c r="B172" s="1" t="s">
        <v>40</v>
      </c>
      <c r="C172" s="1">
        <v>45893</v>
      </c>
      <c r="D172" s="1" t="s">
        <v>115</v>
      </c>
      <c r="E172" s="10">
        <v>45472</v>
      </c>
      <c r="F172" s="10"/>
      <c r="G172" s="94"/>
      <c r="H172" t="s">
        <v>130</v>
      </c>
      <c r="I172" t="s">
        <v>130</v>
      </c>
      <c r="J172" t="s">
        <v>130</v>
      </c>
      <c r="K172" t="s">
        <v>130</v>
      </c>
      <c r="L172" t="s">
        <v>130</v>
      </c>
      <c r="M172" t="s">
        <v>130</v>
      </c>
      <c r="N172" t="s">
        <v>130</v>
      </c>
      <c r="O172" t="s">
        <v>130</v>
      </c>
      <c r="P172" t="s">
        <v>130</v>
      </c>
      <c r="Q172" t="s">
        <v>130</v>
      </c>
      <c r="R172">
        <v>51.7</v>
      </c>
      <c r="S172">
        <v>3.5</v>
      </c>
      <c r="T172" t="s">
        <v>130</v>
      </c>
      <c r="U172">
        <v>0.73699999999999999</v>
      </c>
      <c r="V172">
        <v>1.4999999999999999E-2</v>
      </c>
      <c r="Y172" t="s">
        <v>130</v>
      </c>
      <c r="AA172">
        <v>484.4</v>
      </c>
      <c r="AB172">
        <v>10.4</v>
      </c>
      <c r="AC172" t="s">
        <v>130</v>
      </c>
    </row>
    <row r="173" spans="1:29" ht="15" customHeight="1" x14ac:dyDescent="0.35">
      <c r="A173" s="2" t="s">
        <v>549</v>
      </c>
      <c r="B173" s="1" t="s">
        <v>41</v>
      </c>
      <c r="C173" s="1">
        <v>45681</v>
      </c>
      <c r="D173" s="1" t="s">
        <v>115</v>
      </c>
      <c r="E173" s="10">
        <v>45473</v>
      </c>
      <c r="F173" s="10">
        <v>45320</v>
      </c>
      <c r="G173" s="94">
        <v>45352</v>
      </c>
      <c r="H173" t="s">
        <v>130</v>
      </c>
      <c r="I173" t="s">
        <v>130</v>
      </c>
      <c r="J173" t="s">
        <v>130</v>
      </c>
      <c r="K173" t="s">
        <v>130</v>
      </c>
      <c r="L173" t="s">
        <v>130</v>
      </c>
      <c r="M173" t="s">
        <v>130</v>
      </c>
      <c r="N173" t="s">
        <v>130</v>
      </c>
      <c r="O173" t="s">
        <v>130</v>
      </c>
      <c r="P173" t="s">
        <v>130</v>
      </c>
      <c r="Q173" t="s">
        <v>130</v>
      </c>
      <c r="R173">
        <v>43.8</v>
      </c>
      <c r="S173">
        <v>3.5</v>
      </c>
      <c r="T173" t="s">
        <v>130</v>
      </c>
      <c r="U173">
        <v>0.40100000000000002</v>
      </c>
      <c r="V173">
        <v>2.8000000000000001E-2</v>
      </c>
      <c r="Y173" t="s">
        <v>130</v>
      </c>
      <c r="AA173">
        <v>516.1</v>
      </c>
      <c r="AB173">
        <v>10.4</v>
      </c>
      <c r="AC173" t="s">
        <v>130</v>
      </c>
    </row>
    <row r="174" spans="1:29" ht="15" customHeight="1" x14ac:dyDescent="0.35">
      <c r="A174" s="2" t="s">
        <v>550</v>
      </c>
      <c r="B174" s="1" t="s">
        <v>41</v>
      </c>
      <c r="C174" s="1">
        <v>45985</v>
      </c>
      <c r="D174" s="1" t="s">
        <v>116</v>
      </c>
      <c r="E174" s="10">
        <v>45474</v>
      </c>
      <c r="F174" s="10"/>
      <c r="G174" s="94"/>
      <c r="H174">
        <v>0.96199999999999997</v>
      </c>
      <c r="I174">
        <v>0.13</v>
      </c>
      <c r="J174" t="s">
        <v>130</v>
      </c>
      <c r="K174" t="s">
        <v>130</v>
      </c>
      <c r="L174">
        <v>7.0000000000000007E-2</v>
      </c>
      <c r="M174">
        <v>1.2999999999999999E-2</v>
      </c>
      <c r="N174" t="s">
        <v>409</v>
      </c>
      <c r="O174">
        <v>0.14699999999999999</v>
      </c>
      <c r="P174">
        <v>0.17899999999999999</v>
      </c>
      <c r="Q174" t="s">
        <v>421</v>
      </c>
      <c r="R174" t="s">
        <v>130</v>
      </c>
      <c r="S174" t="s">
        <v>130</v>
      </c>
      <c r="T174" t="s">
        <v>130</v>
      </c>
      <c r="U174" t="s">
        <v>130</v>
      </c>
      <c r="V174" t="s">
        <v>130</v>
      </c>
      <c r="X174">
        <v>9.6000000000000002E-2</v>
      </c>
      <c r="Y174">
        <v>4.5999999999999999E-2</v>
      </c>
      <c r="Z174" t="s">
        <v>409</v>
      </c>
      <c r="AA174" t="s">
        <v>130</v>
      </c>
      <c r="AB174" t="s">
        <v>130</v>
      </c>
      <c r="AC174" t="s">
        <v>130</v>
      </c>
    </row>
    <row r="175" spans="1:29" ht="15" customHeight="1" x14ac:dyDescent="0.35">
      <c r="A175" s="2" t="s">
        <v>551</v>
      </c>
      <c r="B175" s="1" t="s">
        <v>41</v>
      </c>
      <c r="C175" s="1">
        <v>45985</v>
      </c>
      <c r="D175" s="1" t="s">
        <v>115</v>
      </c>
      <c r="E175" s="10">
        <v>45475</v>
      </c>
      <c r="F175" s="10"/>
      <c r="G175" s="94"/>
      <c r="H175" t="s">
        <v>130</v>
      </c>
      <c r="I175" t="s">
        <v>130</v>
      </c>
      <c r="J175" t="s">
        <v>130</v>
      </c>
      <c r="K175" t="s">
        <v>130</v>
      </c>
      <c r="L175" t="s">
        <v>130</v>
      </c>
      <c r="M175" t="s">
        <v>130</v>
      </c>
      <c r="N175" t="s">
        <v>130</v>
      </c>
      <c r="O175" t="s">
        <v>130</v>
      </c>
      <c r="P175" t="s">
        <v>130</v>
      </c>
      <c r="Q175" t="s">
        <v>130</v>
      </c>
      <c r="R175">
        <v>49.8</v>
      </c>
      <c r="S175">
        <v>3.5</v>
      </c>
      <c r="T175" t="s">
        <v>130</v>
      </c>
      <c r="U175">
        <v>1.5009999999999999</v>
      </c>
      <c r="V175">
        <v>1.4999999999999999E-2</v>
      </c>
      <c r="Y175" t="s">
        <v>130</v>
      </c>
      <c r="AA175">
        <v>539.5</v>
      </c>
      <c r="AB175">
        <v>10.4</v>
      </c>
      <c r="AC175" t="s">
        <v>130</v>
      </c>
    </row>
    <row r="176" spans="1:29" ht="15" customHeight="1" x14ac:dyDescent="0.35">
      <c r="A176" s="2" t="s">
        <v>552</v>
      </c>
      <c r="B176" s="1" t="s">
        <v>41</v>
      </c>
      <c r="C176" s="1" t="s">
        <v>109</v>
      </c>
      <c r="D176" s="1" t="s">
        <v>116</v>
      </c>
      <c r="E176" s="10">
        <v>45476</v>
      </c>
      <c r="F176" s="10">
        <v>45320</v>
      </c>
      <c r="G176" s="94">
        <v>45352</v>
      </c>
      <c r="H176">
        <v>0.503</v>
      </c>
      <c r="I176">
        <v>0.13</v>
      </c>
      <c r="J176" t="s">
        <v>409</v>
      </c>
      <c r="K176" t="s">
        <v>130</v>
      </c>
      <c r="L176">
        <v>0.17299999999999999</v>
      </c>
      <c r="M176">
        <v>1.2999999999999999E-2</v>
      </c>
      <c r="N176" t="s">
        <v>130</v>
      </c>
      <c r="O176">
        <v>5.3999999999999999E-2</v>
      </c>
      <c r="P176">
        <v>0.35899999999999999</v>
      </c>
      <c r="Q176" t="s">
        <v>421</v>
      </c>
      <c r="R176" t="s">
        <v>130</v>
      </c>
      <c r="S176" t="s">
        <v>130</v>
      </c>
      <c r="T176" t="s">
        <v>130</v>
      </c>
      <c r="U176" t="s">
        <v>130</v>
      </c>
      <c r="V176" t="s">
        <v>130</v>
      </c>
      <c r="X176" t="s">
        <v>467</v>
      </c>
      <c r="Y176">
        <v>4.5999999999999999E-2</v>
      </c>
      <c r="Z176" t="s">
        <v>468</v>
      </c>
      <c r="AA176" t="s">
        <v>130</v>
      </c>
      <c r="AB176" t="s">
        <v>130</v>
      </c>
      <c r="AC176" t="s">
        <v>130</v>
      </c>
    </row>
    <row r="177" spans="1:29" ht="15" customHeight="1" x14ac:dyDescent="0.35">
      <c r="A177" s="2" t="s">
        <v>553</v>
      </c>
      <c r="B177" s="1" t="s">
        <v>41</v>
      </c>
      <c r="C177" s="1">
        <v>45771</v>
      </c>
      <c r="D177" s="1" t="s">
        <v>116</v>
      </c>
      <c r="E177" s="10">
        <v>45477</v>
      </c>
      <c r="F177" s="10">
        <v>45619</v>
      </c>
      <c r="G177" s="94">
        <v>45737</v>
      </c>
      <c r="H177">
        <v>1.752</v>
      </c>
      <c r="I177">
        <v>0.13</v>
      </c>
      <c r="J177" t="s">
        <v>130</v>
      </c>
      <c r="K177" t="s">
        <v>130</v>
      </c>
      <c r="L177">
        <v>0.152</v>
      </c>
      <c r="M177">
        <v>1.2999999999999999E-2</v>
      </c>
      <c r="N177" t="s">
        <v>409</v>
      </c>
      <c r="O177">
        <v>4.0330000000000004</v>
      </c>
      <c r="P177">
        <v>0.17899999999999999</v>
      </c>
      <c r="Q177" t="s">
        <v>130</v>
      </c>
      <c r="R177" t="s">
        <v>130</v>
      </c>
      <c r="S177" t="s">
        <v>130</v>
      </c>
      <c r="T177" t="s">
        <v>130</v>
      </c>
      <c r="U177" t="s">
        <v>130</v>
      </c>
      <c r="V177" t="s">
        <v>130</v>
      </c>
      <c r="X177">
        <v>1.7999999999999999E-2</v>
      </c>
      <c r="Y177">
        <v>4.5999999999999999E-2</v>
      </c>
      <c r="Z177" t="s">
        <v>421</v>
      </c>
      <c r="AA177" t="s">
        <v>130</v>
      </c>
      <c r="AB177" t="s">
        <v>130</v>
      </c>
      <c r="AC177" t="s">
        <v>130</v>
      </c>
    </row>
    <row r="178" spans="1:29" ht="15" customHeight="1" x14ac:dyDescent="0.35">
      <c r="A178" s="2" t="s">
        <v>554</v>
      </c>
      <c r="B178" s="1" t="s">
        <v>41</v>
      </c>
      <c r="C178" s="1">
        <v>45771</v>
      </c>
      <c r="D178" s="1" t="s">
        <v>115</v>
      </c>
      <c r="E178" s="10">
        <v>45478</v>
      </c>
      <c r="F178" s="10"/>
      <c r="G178" s="94"/>
      <c r="H178" t="s">
        <v>130</v>
      </c>
      <c r="I178" t="s">
        <v>130</v>
      </c>
      <c r="J178" t="s">
        <v>130</v>
      </c>
      <c r="K178" t="s">
        <v>130</v>
      </c>
      <c r="L178" t="s">
        <v>130</v>
      </c>
      <c r="M178" t="s">
        <v>130</v>
      </c>
      <c r="N178" t="s">
        <v>130</v>
      </c>
      <c r="O178" t="s">
        <v>130</v>
      </c>
      <c r="P178" t="s">
        <v>130</v>
      </c>
      <c r="Q178" t="s">
        <v>130</v>
      </c>
      <c r="R178">
        <v>30.5</v>
      </c>
      <c r="S178">
        <v>3.5</v>
      </c>
      <c r="T178" t="s">
        <v>130</v>
      </c>
      <c r="U178">
        <v>0.68100000000000005</v>
      </c>
      <c r="V178">
        <v>1.4999999999999999E-2</v>
      </c>
      <c r="Y178" t="s">
        <v>130</v>
      </c>
      <c r="AA178">
        <v>372.8</v>
      </c>
      <c r="AB178">
        <v>10.4</v>
      </c>
      <c r="AC178" t="s">
        <v>130</v>
      </c>
    </row>
    <row r="179" spans="1:29" ht="15" customHeight="1" x14ac:dyDescent="0.35">
      <c r="A179" s="2" t="s">
        <v>554</v>
      </c>
      <c r="B179" s="1" t="s">
        <v>41</v>
      </c>
      <c r="C179" s="1">
        <v>45771</v>
      </c>
      <c r="D179" s="1" t="s">
        <v>115</v>
      </c>
      <c r="E179" s="10">
        <v>45479</v>
      </c>
      <c r="F179" s="10">
        <v>45619</v>
      </c>
      <c r="G179" s="94">
        <v>45737</v>
      </c>
      <c r="H179" t="s">
        <v>130</v>
      </c>
      <c r="I179" t="s">
        <v>130</v>
      </c>
      <c r="J179" t="s">
        <v>130</v>
      </c>
      <c r="K179" t="s">
        <v>130</v>
      </c>
      <c r="L179" t="s">
        <v>130</v>
      </c>
      <c r="M179" t="s">
        <v>130</v>
      </c>
      <c r="N179" t="s">
        <v>130</v>
      </c>
      <c r="O179" t="s">
        <v>130</v>
      </c>
      <c r="P179" t="s">
        <v>130</v>
      </c>
      <c r="Q179" t="s">
        <v>130</v>
      </c>
      <c r="R179">
        <v>30.5</v>
      </c>
      <c r="S179">
        <v>3.5</v>
      </c>
      <c r="T179" t="s">
        <v>130</v>
      </c>
      <c r="U179">
        <v>0.68100000000000005</v>
      </c>
      <c r="V179">
        <v>1.4999999999999999E-2</v>
      </c>
      <c r="Y179" t="s">
        <v>130</v>
      </c>
      <c r="AA179">
        <v>372.8</v>
      </c>
      <c r="AB179">
        <v>10.4</v>
      </c>
      <c r="AC179" t="s">
        <v>130</v>
      </c>
    </row>
    <row r="180" spans="1:29" ht="15" customHeight="1" x14ac:dyDescent="0.35">
      <c r="A180" s="2" t="s">
        <v>555</v>
      </c>
      <c r="B180" s="1" t="s">
        <v>41</v>
      </c>
      <c r="C180" s="1">
        <v>45893</v>
      </c>
      <c r="D180" s="1" t="s">
        <v>115</v>
      </c>
      <c r="E180" s="10">
        <v>45480</v>
      </c>
      <c r="F180" s="10"/>
      <c r="G180" s="94"/>
      <c r="H180" t="s">
        <v>130</v>
      </c>
      <c r="I180" t="s">
        <v>130</v>
      </c>
      <c r="J180" t="s">
        <v>130</v>
      </c>
      <c r="K180" t="s">
        <v>130</v>
      </c>
      <c r="L180" t="s">
        <v>130</v>
      </c>
      <c r="M180" t="s">
        <v>130</v>
      </c>
      <c r="N180" t="s">
        <v>130</v>
      </c>
      <c r="O180" t="s">
        <v>130</v>
      </c>
      <c r="P180" t="s">
        <v>130</v>
      </c>
      <c r="Q180" t="s">
        <v>130</v>
      </c>
      <c r="R180">
        <v>76.400000000000006</v>
      </c>
      <c r="S180">
        <v>3.5</v>
      </c>
      <c r="T180" t="s">
        <v>130</v>
      </c>
      <c r="U180">
        <v>0.65400000000000003</v>
      </c>
      <c r="V180">
        <v>1.4999999999999999E-2</v>
      </c>
      <c r="Y180" t="s">
        <v>130</v>
      </c>
      <c r="AA180">
        <v>714.6</v>
      </c>
      <c r="AB180">
        <v>10.4</v>
      </c>
      <c r="AC180" t="s">
        <v>130</v>
      </c>
    </row>
    <row r="181" spans="1:29" ht="15" customHeight="1" x14ac:dyDescent="0.35">
      <c r="A181" s="2" t="s">
        <v>556</v>
      </c>
      <c r="B181" s="1" t="s">
        <v>50</v>
      </c>
      <c r="C181" s="1">
        <v>45681</v>
      </c>
      <c r="D181" s="1" t="s">
        <v>115</v>
      </c>
      <c r="E181" s="10">
        <v>45481</v>
      </c>
      <c r="F181" s="10">
        <v>45320</v>
      </c>
      <c r="G181" s="94">
        <v>45352</v>
      </c>
      <c r="H181" t="s">
        <v>130</v>
      </c>
      <c r="I181" t="s">
        <v>130</v>
      </c>
      <c r="J181" t="s">
        <v>130</v>
      </c>
      <c r="K181" t="s">
        <v>130</v>
      </c>
      <c r="L181" t="s">
        <v>130</v>
      </c>
      <c r="M181" t="s">
        <v>130</v>
      </c>
      <c r="N181" t="s">
        <v>130</v>
      </c>
      <c r="O181" t="s">
        <v>130</v>
      </c>
      <c r="P181" t="s">
        <v>130</v>
      </c>
      <c r="Q181" t="s">
        <v>130</v>
      </c>
      <c r="R181">
        <v>49.8</v>
      </c>
      <c r="S181">
        <v>3.5</v>
      </c>
      <c r="T181" t="s">
        <v>130</v>
      </c>
      <c r="U181">
        <v>0.97899999999999998</v>
      </c>
      <c r="V181">
        <v>3.1E-2</v>
      </c>
      <c r="Y181" t="s">
        <v>130</v>
      </c>
      <c r="AA181">
        <v>699.9</v>
      </c>
      <c r="AB181">
        <v>10.4</v>
      </c>
      <c r="AC181" t="s">
        <v>130</v>
      </c>
    </row>
    <row r="182" spans="1:29" ht="15" customHeight="1" x14ac:dyDescent="0.35">
      <c r="A182" s="2" t="s">
        <v>557</v>
      </c>
      <c r="B182" s="1" t="s">
        <v>50</v>
      </c>
      <c r="C182" s="1">
        <v>45771</v>
      </c>
      <c r="D182" s="1" t="s">
        <v>116</v>
      </c>
      <c r="E182" s="10">
        <v>45482</v>
      </c>
      <c r="F182" s="10">
        <v>45619</v>
      </c>
      <c r="G182" s="94">
        <v>45737</v>
      </c>
      <c r="H182">
        <v>0.89</v>
      </c>
      <c r="I182">
        <v>0.13</v>
      </c>
      <c r="J182" t="s">
        <v>409</v>
      </c>
      <c r="K182" t="s">
        <v>130</v>
      </c>
      <c r="L182">
        <v>0.24099999999999999</v>
      </c>
      <c r="M182">
        <v>1.2999999999999999E-2</v>
      </c>
      <c r="N182" t="s">
        <v>130</v>
      </c>
      <c r="O182">
        <v>6.2560000000000002</v>
      </c>
      <c r="P182">
        <v>0.17899999999999999</v>
      </c>
      <c r="Q182" t="s">
        <v>130</v>
      </c>
      <c r="R182" t="s">
        <v>130</v>
      </c>
      <c r="S182" t="s">
        <v>130</v>
      </c>
      <c r="T182" t="s">
        <v>130</v>
      </c>
      <c r="U182" t="s">
        <v>130</v>
      </c>
      <c r="V182" t="s">
        <v>130</v>
      </c>
      <c r="X182">
        <v>2.9000000000000001E-2</v>
      </c>
      <c r="Y182">
        <v>4.5999999999999999E-2</v>
      </c>
      <c r="Z182" t="s">
        <v>421</v>
      </c>
      <c r="AA182" t="s">
        <v>130</v>
      </c>
      <c r="AB182" t="s">
        <v>130</v>
      </c>
      <c r="AC182" t="s">
        <v>130</v>
      </c>
    </row>
    <row r="183" spans="1:29" ht="15" customHeight="1" x14ac:dyDescent="0.35">
      <c r="A183" s="2" t="s">
        <v>558</v>
      </c>
      <c r="B183" s="1" t="s">
        <v>50</v>
      </c>
      <c r="C183" s="1">
        <v>45771</v>
      </c>
      <c r="D183" s="1" t="s">
        <v>115</v>
      </c>
      <c r="E183" s="10">
        <v>45483</v>
      </c>
      <c r="F183" s="10">
        <v>45619</v>
      </c>
      <c r="G183" s="94">
        <v>45737</v>
      </c>
      <c r="H183" t="s">
        <v>130</v>
      </c>
      <c r="I183" t="s">
        <v>130</v>
      </c>
      <c r="J183" t="s">
        <v>130</v>
      </c>
      <c r="K183" t="s">
        <v>130</v>
      </c>
      <c r="L183" t="s">
        <v>130</v>
      </c>
      <c r="M183" t="s">
        <v>130</v>
      </c>
      <c r="N183" t="s">
        <v>130</v>
      </c>
      <c r="O183" t="s">
        <v>130</v>
      </c>
      <c r="P183" t="s">
        <v>130</v>
      </c>
      <c r="Q183" t="s">
        <v>130</v>
      </c>
      <c r="R183">
        <v>68.099999999999994</v>
      </c>
      <c r="S183">
        <v>3.5</v>
      </c>
      <c r="T183" t="s">
        <v>130</v>
      </c>
      <c r="U183">
        <v>1.5780000000000001</v>
      </c>
      <c r="V183">
        <v>1.4999999999999999E-2</v>
      </c>
      <c r="Y183" t="s">
        <v>130</v>
      </c>
      <c r="AA183">
        <v>679.7</v>
      </c>
      <c r="AB183">
        <v>10.4</v>
      </c>
      <c r="AC183" t="s">
        <v>130</v>
      </c>
    </row>
    <row r="184" spans="1:29" ht="15" customHeight="1" x14ac:dyDescent="0.35">
      <c r="A184" s="2" t="s">
        <v>558</v>
      </c>
      <c r="B184" s="1" t="s">
        <v>50</v>
      </c>
      <c r="C184" s="1">
        <v>45771</v>
      </c>
      <c r="D184" s="1" t="s">
        <v>115</v>
      </c>
      <c r="E184" s="10">
        <v>45484</v>
      </c>
      <c r="F184" s="10"/>
      <c r="G184" s="94"/>
      <c r="H184" t="s">
        <v>130</v>
      </c>
      <c r="I184" t="s">
        <v>130</v>
      </c>
      <c r="J184" t="s">
        <v>130</v>
      </c>
      <c r="K184" t="s">
        <v>130</v>
      </c>
      <c r="L184" t="s">
        <v>130</v>
      </c>
      <c r="M184" t="s">
        <v>130</v>
      </c>
      <c r="N184" t="s">
        <v>130</v>
      </c>
      <c r="O184" t="s">
        <v>130</v>
      </c>
      <c r="P184" t="s">
        <v>130</v>
      </c>
      <c r="Q184" t="s">
        <v>130</v>
      </c>
      <c r="R184">
        <v>68.099999999999994</v>
      </c>
      <c r="S184">
        <v>3.5</v>
      </c>
      <c r="T184" t="s">
        <v>130</v>
      </c>
      <c r="U184">
        <v>1.5780000000000001</v>
      </c>
      <c r="V184">
        <v>1.4999999999999999E-2</v>
      </c>
      <c r="Y184" t="s">
        <v>130</v>
      </c>
      <c r="AA184">
        <v>679.7</v>
      </c>
      <c r="AB184">
        <v>10.4</v>
      </c>
      <c r="AC184" t="s">
        <v>130</v>
      </c>
    </row>
    <row r="185" spans="1:29" ht="15" customHeight="1" x14ac:dyDescent="0.35">
      <c r="A185" s="2" t="s">
        <v>559</v>
      </c>
      <c r="B185" s="1" t="s">
        <v>50</v>
      </c>
      <c r="C185" s="1">
        <v>45893</v>
      </c>
      <c r="D185" s="1" t="s">
        <v>115</v>
      </c>
      <c r="E185" s="10">
        <v>45485</v>
      </c>
      <c r="F185" s="10"/>
      <c r="G185" s="94"/>
      <c r="H185" t="s">
        <v>130</v>
      </c>
      <c r="I185" t="s">
        <v>130</v>
      </c>
      <c r="J185" t="s">
        <v>130</v>
      </c>
      <c r="K185" t="s">
        <v>130</v>
      </c>
      <c r="L185" t="s">
        <v>130</v>
      </c>
      <c r="M185" t="s">
        <v>130</v>
      </c>
      <c r="N185" t="s">
        <v>130</v>
      </c>
      <c r="O185" t="s">
        <v>130</v>
      </c>
      <c r="P185" t="s">
        <v>130</v>
      </c>
      <c r="Q185" t="s">
        <v>130</v>
      </c>
      <c r="R185">
        <v>81.2</v>
      </c>
      <c r="S185">
        <v>3.5</v>
      </c>
      <c r="T185" t="s">
        <v>130</v>
      </c>
      <c r="U185">
        <v>0.96299999999999997</v>
      </c>
      <c r="V185">
        <v>1.4999999999999999E-2</v>
      </c>
      <c r="Y185" t="s">
        <v>130</v>
      </c>
      <c r="AA185">
        <v>866.7</v>
      </c>
      <c r="AB185">
        <v>10.4</v>
      </c>
      <c r="AC185" t="s">
        <v>130</v>
      </c>
    </row>
    <row r="186" spans="1:29" ht="15" customHeight="1" x14ac:dyDescent="0.35">
      <c r="A186" s="2" t="s">
        <v>560</v>
      </c>
      <c r="B186" s="1" t="s">
        <v>39</v>
      </c>
      <c r="C186" s="1">
        <v>45681</v>
      </c>
      <c r="D186" s="1" t="s">
        <v>115</v>
      </c>
      <c r="E186" s="10">
        <v>45486</v>
      </c>
      <c r="F186" s="10">
        <v>45320</v>
      </c>
      <c r="G186" s="94">
        <v>45352</v>
      </c>
      <c r="H186" t="s">
        <v>130</v>
      </c>
      <c r="I186" t="s">
        <v>130</v>
      </c>
      <c r="J186" t="s">
        <v>130</v>
      </c>
      <c r="K186" t="s">
        <v>130</v>
      </c>
      <c r="L186" t="s">
        <v>130</v>
      </c>
      <c r="M186" t="s">
        <v>130</v>
      </c>
      <c r="N186" t="s">
        <v>130</v>
      </c>
      <c r="O186" t="s">
        <v>130</v>
      </c>
      <c r="P186" t="s">
        <v>130</v>
      </c>
      <c r="Q186" t="s">
        <v>130</v>
      </c>
      <c r="R186">
        <v>83.2</v>
      </c>
      <c r="S186">
        <v>3.5</v>
      </c>
      <c r="T186" t="s">
        <v>130</v>
      </c>
      <c r="U186">
        <v>1.508</v>
      </c>
      <c r="V186">
        <v>3.1E-2</v>
      </c>
      <c r="Y186" t="s">
        <v>130</v>
      </c>
      <c r="AA186">
        <v>1190</v>
      </c>
      <c r="AB186">
        <v>10.4</v>
      </c>
      <c r="AC186" t="s">
        <v>130</v>
      </c>
    </row>
    <row r="187" spans="1:29" ht="15" customHeight="1" x14ac:dyDescent="0.35">
      <c r="A187" s="2" t="s">
        <v>561</v>
      </c>
      <c r="B187" s="1" t="s">
        <v>39</v>
      </c>
      <c r="C187" s="1">
        <v>45771</v>
      </c>
      <c r="D187" s="1" t="s">
        <v>116</v>
      </c>
      <c r="E187" s="10">
        <v>45487</v>
      </c>
      <c r="F187" s="10">
        <v>45619</v>
      </c>
      <c r="G187" s="94">
        <v>45737</v>
      </c>
      <c r="H187">
        <v>1.0720000000000001</v>
      </c>
      <c r="I187">
        <v>0.124</v>
      </c>
      <c r="J187" t="s">
        <v>130</v>
      </c>
      <c r="K187" t="s">
        <v>130</v>
      </c>
      <c r="L187">
        <v>0.13100000000000001</v>
      </c>
      <c r="M187">
        <v>1.4999999999999999E-2</v>
      </c>
      <c r="N187" t="s">
        <v>409</v>
      </c>
      <c r="O187">
        <v>8.6959999999999997</v>
      </c>
      <c r="P187">
        <v>0.19600000000000001</v>
      </c>
      <c r="Q187" t="s">
        <v>130</v>
      </c>
      <c r="R187" t="s">
        <v>130</v>
      </c>
      <c r="S187" t="s">
        <v>130</v>
      </c>
      <c r="T187" t="s">
        <v>130</v>
      </c>
      <c r="U187" t="s">
        <v>130</v>
      </c>
      <c r="V187" t="s">
        <v>130</v>
      </c>
      <c r="X187">
        <v>0.115</v>
      </c>
      <c r="Y187">
        <v>6.2E-2</v>
      </c>
      <c r="Z187" t="s">
        <v>409</v>
      </c>
      <c r="AA187" t="s">
        <v>130</v>
      </c>
      <c r="AB187" t="s">
        <v>130</v>
      </c>
      <c r="AC187" t="s">
        <v>130</v>
      </c>
    </row>
    <row r="188" spans="1:29" ht="15" customHeight="1" x14ac:dyDescent="0.35">
      <c r="A188" s="2" t="s">
        <v>562</v>
      </c>
      <c r="B188" s="1" t="s">
        <v>39</v>
      </c>
      <c r="C188" s="1">
        <v>45771</v>
      </c>
      <c r="D188" s="1" t="s">
        <v>115</v>
      </c>
      <c r="E188" s="10">
        <v>45488</v>
      </c>
      <c r="F188" s="10">
        <v>45619</v>
      </c>
      <c r="G188" s="94">
        <v>45737</v>
      </c>
      <c r="H188" t="s">
        <v>130</v>
      </c>
      <c r="I188" t="s">
        <v>130</v>
      </c>
      <c r="J188" t="s">
        <v>130</v>
      </c>
      <c r="K188" t="s">
        <v>130</v>
      </c>
      <c r="L188" t="s">
        <v>130</v>
      </c>
      <c r="M188" t="s">
        <v>130</v>
      </c>
      <c r="N188" t="s">
        <v>130</v>
      </c>
      <c r="O188" t="s">
        <v>130</v>
      </c>
      <c r="P188" t="s">
        <v>130</v>
      </c>
      <c r="Q188" t="s">
        <v>130</v>
      </c>
      <c r="R188">
        <v>73.3</v>
      </c>
      <c r="S188">
        <v>3.5</v>
      </c>
      <c r="T188" t="s">
        <v>130</v>
      </c>
      <c r="U188">
        <v>0.877</v>
      </c>
      <c r="V188">
        <v>1.6E-2</v>
      </c>
      <c r="Y188" t="s">
        <v>130</v>
      </c>
      <c r="AA188">
        <v>857.5</v>
      </c>
      <c r="AB188">
        <v>10.4</v>
      </c>
      <c r="AC188" t="s">
        <v>130</v>
      </c>
    </row>
    <row r="189" spans="1:29" ht="15" customHeight="1" x14ac:dyDescent="0.35">
      <c r="A189" s="2" t="s">
        <v>562</v>
      </c>
      <c r="B189" s="1" t="s">
        <v>39</v>
      </c>
      <c r="C189" s="1">
        <v>45771</v>
      </c>
      <c r="D189" s="1" t="s">
        <v>115</v>
      </c>
      <c r="E189" s="10">
        <v>45489</v>
      </c>
      <c r="F189" s="10"/>
      <c r="G189" s="94"/>
      <c r="H189" t="s">
        <v>130</v>
      </c>
      <c r="I189" t="s">
        <v>130</v>
      </c>
      <c r="J189" t="s">
        <v>130</v>
      </c>
      <c r="K189" t="s">
        <v>130</v>
      </c>
      <c r="L189" t="s">
        <v>130</v>
      </c>
      <c r="M189" t="s">
        <v>130</v>
      </c>
      <c r="N189" t="s">
        <v>130</v>
      </c>
      <c r="O189" t="s">
        <v>130</v>
      </c>
      <c r="P189" t="s">
        <v>130</v>
      </c>
      <c r="Q189" t="s">
        <v>130</v>
      </c>
      <c r="R189">
        <v>73.3</v>
      </c>
      <c r="S189">
        <v>3.5</v>
      </c>
      <c r="T189" t="s">
        <v>130</v>
      </c>
      <c r="U189">
        <v>0.877</v>
      </c>
      <c r="V189">
        <v>1.6E-2</v>
      </c>
      <c r="Y189" t="s">
        <v>130</v>
      </c>
      <c r="AA189">
        <v>857.5</v>
      </c>
      <c r="AB189">
        <v>10.4</v>
      </c>
      <c r="AC189" t="s">
        <v>130</v>
      </c>
    </row>
    <row r="190" spans="1:29" ht="15" customHeight="1" x14ac:dyDescent="0.35">
      <c r="A190" s="2" t="s">
        <v>563</v>
      </c>
      <c r="B190" s="1" t="s">
        <v>39</v>
      </c>
      <c r="C190" s="1">
        <v>45893</v>
      </c>
      <c r="D190" s="1" t="s">
        <v>116</v>
      </c>
      <c r="E190" s="10">
        <v>45490</v>
      </c>
      <c r="F190" s="10"/>
      <c r="G190" s="94"/>
      <c r="H190" t="s">
        <v>467</v>
      </c>
      <c r="I190">
        <v>0.13</v>
      </c>
      <c r="J190" t="s">
        <v>468</v>
      </c>
      <c r="K190" t="s">
        <v>130</v>
      </c>
      <c r="L190">
        <v>0.08</v>
      </c>
      <c r="M190">
        <v>1.2999999999999999E-2</v>
      </c>
      <c r="N190" t="s">
        <v>409</v>
      </c>
      <c r="O190">
        <v>0.71799999999999997</v>
      </c>
      <c r="P190">
        <v>0.17899999999999999</v>
      </c>
      <c r="Q190" t="s">
        <v>409</v>
      </c>
      <c r="R190" t="s">
        <v>130</v>
      </c>
      <c r="S190" t="s">
        <v>130</v>
      </c>
      <c r="T190" t="s">
        <v>130</v>
      </c>
      <c r="U190" t="s">
        <v>130</v>
      </c>
      <c r="V190" t="s">
        <v>130</v>
      </c>
      <c r="X190">
        <v>1.7000000000000001E-2</v>
      </c>
      <c r="Y190">
        <v>4.5999999999999999E-2</v>
      </c>
      <c r="Z190" t="s">
        <v>421</v>
      </c>
      <c r="AA190" t="s">
        <v>130</v>
      </c>
      <c r="AB190" t="s">
        <v>130</v>
      </c>
      <c r="AC190" t="s">
        <v>130</v>
      </c>
    </row>
    <row r="191" spans="1:29" ht="15" customHeight="1" x14ac:dyDescent="0.35">
      <c r="A191" s="2" t="s">
        <v>564</v>
      </c>
      <c r="B191" s="1" t="s">
        <v>39</v>
      </c>
      <c r="C191" s="1">
        <v>45893</v>
      </c>
      <c r="D191" s="1" t="s">
        <v>115</v>
      </c>
      <c r="E191" s="10">
        <v>45491</v>
      </c>
      <c r="F191" s="10"/>
      <c r="G191" s="94"/>
      <c r="H191" t="s">
        <v>130</v>
      </c>
      <c r="I191" t="s">
        <v>130</v>
      </c>
      <c r="J191" t="s">
        <v>130</v>
      </c>
      <c r="K191" t="s">
        <v>130</v>
      </c>
      <c r="L191" t="s">
        <v>130</v>
      </c>
      <c r="M191" t="s">
        <v>130</v>
      </c>
      <c r="N191" t="s">
        <v>130</v>
      </c>
      <c r="O191" t="s">
        <v>130</v>
      </c>
      <c r="P191" t="s">
        <v>130</v>
      </c>
      <c r="Q191" t="s">
        <v>130</v>
      </c>
      <c r="R191">
        <v>65.5</v>
      </c>
      <c r="S191">
        <v>3.5</v>
      </c>
      <c r="T191" t="s">
        <v>130</v>
      </c>
      <c r="U191">
        <v>1.2430000000000001</v>
      </c>
      <c r="V191">
        <v>1.4999999999999999E-2</v>
      </c>
      <c r="Y191" t="s">
        <v>130</v>
      </c>
      <c r="AA191">
        <v>539.9</v>
      </c>
      <c r="AB191">
        <v>10.4</v>
      </c>
      <c r="AC191" t="s">
        <v>130</v>
      </c>
    </row>
    <row r="192" spans="1:29" ht="15" customHeight="1" x14ac:dyDescent="0.35">
      <c r="A192" s="2" t="s">
        <v>565</v>
      </c>
      <c r="B192" s="1" t="s">
        <v>38</v>
      </c>
      <c r="C192" s="1">
        <v>45681</v>
      </c>
      <c r="D192" s="1" t="s">
        <v>115</v>
      </c>
      <c r="E192" s="10">
        <v>45492</v>
      </c>
      <c r="F192" s="10">
        <v>45320</v>
      </c>
      <c r="G192" s="94">
        <v>45352</v>
      </c>
      <c r="H192" t="s">
        <v>130</v>
      </c>
      <c r="I192" t="s">
        <v>130</v>
      </c>
      <c r="J192" t="s">
        <v>130</v>
      </c>
      <c r="K192" t="s">
        <v>130</v>
      </c>
      <c r="L192" t="s">
        <v>130</v>
      </c>
      <c r="M192" t="s">
        <v>130</v>
      </c>
      <c r="N192" t="s">
        <v>130</v>
      </c>
      <c r="O192" t="s">
        <v>130</v>
      </c>
      <c r="P192" t="s">
        <v>130</v>
      </c>
      <c r="Q192" t="s">
        <v>130</v>
      </c>
      <c r="R192">
        <v>56.4</v>
      </c>
      <c r="S192">
        <v>3.5</v>
      </c>
      <c r="T192" t="s">
        <v>130</v>
      </c>
      <c r="U192">
        <v>0.98599999999999999</v>
      </c>
      <c r="V192">
        <v>3.1E-2</v>
      </c>
      <c r="Y192" t="s">
        <v>130</v>
      </c>
      <c r="AA192">
        <v>999.2</v>
      </c>
      <c r="AB192">
        <v>10.4</v>
      </c>
      <c r="AC192" t="s">
        <v>130</v>
      </c>
    </row>
    <row r="193" spans="1:29" ht="15" customHeight="1" x14ac:dyDescent="0.35">
      <c r="A193" s="2" t="s">
        <v>566</v>
      </c>
      <c r="B193" s="1" t="s">
        <v>38</v>
      </c>
      <c r="C193" s="1">
        <v>45771</v>
      </c>
      <c r="D193" s="1" t="s">
        <v>116</v>
      </c>
      <c r="E193" s="10">
        <v>45493</v>
      </c>
      <c r="F193" s="10">
        <v>45619</v>
      </c>
      <c r="G193" s="94">
        <v>45737</v>
      </c>
      <c r="H193">
        <v>0.74099999999999999</v>
      </c>
      <c r="I193">
        <v>0.124</v>
      </c>
      <c r="J193" t="s">
        <v>409</v>
      </c>
      <c r="K193" t="s">
        <v>130</v>
      </c>
      <c r="L193">
        <v>0.111</v>
      </c>
      <c r="M193">
        <v>1.4999999999999999E-2</v>
      </c>
      <c r="N193" t="s">
        <v>409</v>
      </c>
      <c r="O193">
        <v>1.1080000000000001</v>
      </c>
      <c r="P193">
        <v>0.19600000000000001</v>
      </c>
      <c r="Q193" t="s">
        <v>130</v>
      </c>
      <c r="R193" t="s">
        <v>130</v>
      </c>
      <c r="S193" t="s">
        <v>130</v>
      </c>
      <c r="T193" t="s">
        <v>130</v>
      </c>
      <c r="U193" t="s">
        <v>130</v>
      </c>
      <c r="V193" t="s">
        <v>130</v>
      </c>
      <c r="X193">
        <v>0.19</v>
      </c>
      <c r="Y193">
        <v>6.2E-2</v>
      </c>
      <c r="Z193" t="s">
        <v>409</v>
      </c>
      <c r="AA193" t="s">
        <v>130</v>
      </c>
      <c r="AB193" t="s">
        <v>130</v>
      </c>
      <c r="AC193" t="s">
        <v>130</v>
      </c>
    </row>
    <row r="194" spans="1:29" ht="15" customHeight="1" x14ac:dyDescent="0.35">
      <c r="A194" s="2" t="s">
        <v>567</v>
      </c>
      <c r="B194" s="1" t="s">
        <v>38</v>
      </c>
      <c r="C194" s="1">
        <v>45771</v>
      </c>
      <c r="D194" s="1" t="s">
        <v>115</v>
      </c>
      <c r="E194" s="10">
        <v>45494</v>
      </c>
      <c r="F194" s="10"/>
      <c r="G194" s="94"/>
      <c r="H194" t="s">
        <v>130</v>
      </c>
      <c r="I194" t="s">
        <v>130</v>
      </c>
      <c r="J194" t="s">
        <v>130</v>
      </c>
      <c r="K194" t="s">
        <v>130</v>
      </c>
      <c r="L194" t="s">
        <v>130</v>
      </c>
      <c r="M194" t="s">
        <v>130</v>
      </c>
      <c r="N194" t="s">
        <v>130</v>
      </c>
      <c r="O194" t="s">
        <v>130</v>
      </c>
      <c r="P194" t="s">
        <v>130</v>
      </c>
      <c r="Q194" t="s">
        <v>130</v>
      </c>
      <c r="R194">
        <v>138.6</v>
      </c>
      <c r="S194">
        <v>3.5</v>
      </c>
      <c r="T194" t="s">
        <v>130</v>
      </c>
      <c r="U194">
        <v>5.9189999999999996</v>
      </c>
      <c r="V194">
        <v>0.21199999999999999</v>
      </c>
      <c r="Y194" t="s">
        <v>130</v>
      </c>
      <c r="AA194">
        <v>1228</v>
      </c>
      <c r="AB194">
        <v>10.4</v>
      </c>
      <c r="AC194" t="s">
        <v>130</v>
      </c>
    </row>
    <row r="195" spans="1:29" ht="15" customHeight="1" x14ac:dyDescent="0.35">
      <c r="A195" s="2" t="s">
        <v>567</v>
      </c>
      <c r="B195" s="1" t="s">
        <v>38</v>
      </c>
      <c r="C195" s="1">
        <v>45771</v>
      </c>
      <c r="D195" s="1" t="s">
        <v>115</v>
      </c>
      <c r="E195" s="10">
        <v>45495</v>
      </c>
      <c r="F195" s="10">
        <v>45619</v>
      </c>
      <c r="G195" s="94">
        <v>45737</v>
      </c>
      <c r="H195" t="s">
        <v>130</v>
      </c>
      <c r="I195" t="s">
        <v>130</v>
      </c>
      <c r="J195" t="s">
        <v>130</v>
      </c>
      <c r="K195" t="s">
        <v>130</v>
      </c>
      <c r="L195" t="s">
        <v>130</v>
      </c>
      <c r="M195" t="s">
        <v>130</v>
      </c>
      <c r="N195" t="s">
        <v>130</v>
      </c>
      <c r="O195" t="s">
        <v>130</v>
      </c>
      <c r="P195" t="s">
        <v>130</v>
      </c>
      <c r="Q195" t="s">
        <v>130</v>
      </c>
      <c r="R195">
        <v>138.6</v>
      </c>
      <c r="S195">
        <v>3.5</v>
      </c>
      <c r="T195" t="s">
        <v>130</v>
      </c>
      <c r="U195">
        <v>5.9189999999999996</v>
      </c>
      <c r="V195">
        <v>0.21199999999999999</v>
      </c>
      <c r="Y195" t="s">
        <v>130</v>
      </c>
      <c r="AA195">
        <v>1228</v>
      </c>
      <c r="AB195">
        <v>10.4</v>
      </c>
      <c r="AC195" t="s">
        <v>130</v>
      </c>
    </row>
    <row r="196" spans="1:29" ht="15" customHeight="1" x14ac:dyDescent="0.35">
      <c r="A196" s="2" t="s">
        <v>568</v>
      </c>
      <c r="B196" s="1" t="s">
        <v>38</v>
      </c>
      <c r="C196" s="1">
        <v>45893</v>
      </c>
      <c r="D196" s="1" t="s">
        <v>115</v>
      </c>
      <c r="E196" s="10">
        <v>45496</v>
      </c>
      <c r="F196" s="10"/>
      <c r="G196" s="94"/>
      <c r="H196" t="s">
        <v>130</v>
      </c>
      <c r="I196" t="s">
        <v>130</v>
      </c>
      <c r="J196" t="s">
        <v>130</v>
      </c>
      <c r="K196" t="s">
        <v>130</v>
      </c>
      <c r="L196" t="s">
        <v>130</v>
      </c>
      <c r="M196" t="s">
        <v>130</v>
      </c>
      <c r="N196" t="s">
        <v>130</v>
      </c>
      <c r="O196" t="s">
        <v>130</v>
      </c>
      <c r="P196" t="s">
        <v>130</v>
      </c>
      <c r="Q196" t="s">
        <v>130</v>
      </c>
      <c r="R196">
        <v>80.7</v>
      </c>
      <c r="S196">
        <v>3.5</v>
      </c>
      <c r="T196" t="s">
        <v>130</v>
      </c>
      <c r="U196">
        <v>1.4330000000000001</v>
      </c>
      <c r="V196">
        <v>1.4999999999999999E-2</v>
      </c>
      <c r="Y196" t="s">
        <v>130</v>
      </c>
      <c r="AA196">
        <v>702.2</v>
      </c>
      <c r="AB196">
        <v>10.4</v>
      </c>
      <c r="AC196" t="s">
        <v>130</v>
      </c>
    </row>
    <row r="197" spans="1:29" ht="15" customHeight="1" x14ac:dyDescent="0.35">
      <c r="A197" s="2" t="s">
        <v>569</v>
      </c>
      <c r="B197" s="1" t="s">
        <v>53</v>
      </c>
      <c r="C197" s="1">
        <v>45681</v>
      </c>
      <c r="D197" s="1" t="s">
        <v>115</v>
      </c>
      <c r="E197" s="10">
        <v>45497</v>
      </c>
      <c r="F197" s="10">
        <v>45320</v>
      </c>
      <c r="G197" s="94">
        <v>45352</v>
      </c>
      <c r="H197" t="s">
        <v>130</v>
      </c>
      <c r="I197" t="s">
        <v>130</v>
      </c>
      <c r="J197" t="s">
        <v>130</v>
      </c>
      <c r="K197" t="s">
        <v>130</v>
      </c>
      <c r="L197" t="s">
        <v>130</v>
      </c>
      <c r="M197" t="s">
        <v>130</v>
      </c>
      <c r="N197" t="s">
        <v>130</v>
      </c>
      <c r="O197" t="s">
        <v>130</v>
      </c>
      <c r="P197" t="s">
        <v>130</v>
      </c>
      <c r="Q197" t="s">
        <v>130</v>
      </c>
      <c r="R197">
        <v>46.2</v>
      </c>
      <c r="S197">
        <v>3.5</v>
      </c>
      <c r="T197" t="s">
        <v>130</v>
      </c>
      <c r="U197">
        <v>0.33400000000000002</v>
      </c>
      <c r="V197">
        <v>2.8000000000000001E-2</v>
      </c>
      <c r="Y197" t="s">
        <v>130</v>
      </c>
      <c r="AA197">
        <v>559.79999999999995</v>
      </c>
      <c r="AB197">
        <v>10.4</v>
      </c>
      <c r="AC197" t="s">
        <v>130</v>
      </c>
    </row>
    <row r="198" spans="1:29" ht="15" customHeight="1" x14ac:dyDescent="0.35">
      <c r="A198" s="2" t="s">
        <v>570</v>
      </c>
      <c r="B198" s="1" t="s">
        <v>53</v>
      </c>
      <c r="C198" s="1">
        <v>45985</v>
      </c>
      <c r="D198" s="1" t="s">
        <v>116</v>
      </c>
      <c r="E198" s="10">
        <v>45498</v>
      </c>
      <c r="F198" s="10"/>
      <c r="G198" s="94"/>
      <c r="H198">
        <v>0.53400000000000003</v>
      </c>
      <c r="I198">
        <v>0.13</v>
      </c>
      <c r="J198" t="s">
        <v>409</v>
      </c>
      <c r="K198" t="s">
        <v>130</v>
      </c>
      <c r="L198">
        <v>0.06</v>
      </c>
      <c r="M198">
        <v>1.2999999999999999E-2</v>
      </c>
      <c r="N198" t="s">
        <v>409</v>
      </c>
      <c r="O198">
        <v>0.48</v>
      </c>
      <c r="P198">
        <v>0.17899999999999999</v>
      </c>
      <c r="Q198" t="s">
        <v>409</v>
      </c>
      <c r="R198" t="s">
        <v>130</v>
      </c>
      <c r="S198" t="s">
        <v>130</v>
      </c>
      <c r="T198" t="s">
        <v>130</v>
      </c>
      <c r="U198" t="s">
        <v>130</v>
      </c>
      <c r="V198" t="s">
        <v>130</v>
      </c>
      <c r="X198">
        <v>7.0000000000000001E-3</v>
      </c>
      <c r="Y198">
        <v>4.5999999999999999E-2</v>
      </c>
      <c r="Z198" t="s">
        <v>421</v>
      </c>
      <c r="AA198" t="s">
        <v>130</v>
      </c>
      <c r="AB198" t="s">
        <v>130</v>
      </c>
      <c r="AC198" t="s">
        <v>130</v>
      </c>
    </row>
    <row r="199" spans="1:29" ht="15" customHeight="1" x14ac:dyDescent="0.35">
      <c r="A199" s="2" t="s">
        <v>571</v>
      </c>
      <c r="B199" s="1" t="s">
        <v>53</v>
      </c>
      <c r="C199" s="1">
        <v>45985</v>
      </c>
      <c r="D199" s="1" t="s">
        <v>115</v>
      </c>
      <c r="E199" s="10">
        <v>45499</v>
      </c>
      <c r="F199" s="10"/>
      <c r="G199" s="94"/>
      <c r="H199" t="s">
        <v>130</v>
      </c>
      <c r="I199" t="s">
        <v>130</v>
      </c>
      <c r="J199" t="s">
        <v>130</v>
      </c>
      <c r="K199" t="s">
        <v>130</v>
      </c>
      <c r="L199" t="s">
        <v>130</v>
      </c>
      <c r="M199" t="s">
        <v>130</v>
      </c>
      <c r="N199" t="s">
        <v>130</v>
      </c>
      <c r="O199" t="s">
        <v>130</v>
      </c>
      <c r="P199" t="s">
        <v>130</v>
      </c>
      <c r="Q199" t="s">
        <v>130</v>
      </c>
      <c r="R199">
        <v>54</v>
      </c>
      <c r="S199">
        <v>3.5</v>
      </c>
      <c r="T199" t="s">
        <v>130</v>
      </c>
      <c r="U199">
        <v>1.57</v>
      </c>
      <c r="V199">
        <v>1.4999999999999999E-2</v>
      </c>
      <c r="Y199" t="s">
        <v>130</v>
      </c>
      <c r="AA199">
        <v>547.6</v>
      </c>
      <c r="AB199">
        <v>10.4</v>
      </c>
      <c r="AC199" t="s">
        <v>130</v>
      </c>
    </row>
    <row r="200" spans="1:29" ht="15" customHeight="1" x14ac:dyDescent="0.35">
      <c r="A200" s="2" t="s">
        <v>572</v>
      </c>
      <c r="B200" s="1" t="s">
        <v>53</v>
      </c>
      <c r="C200" s="1" t="s">
        <v>109</v>
      </c>
      <c r="D200" s="1" t="s">
        <v>116</v>
      </c>
      <c r="E200" s="10">
        <v>45500</v>
      </c>
      <c r="F200" s="10">
        <v>45320</v>
      </c>
      <c r="G200" s="94">
        <v>45352</v>
      </c>
      <c r="H200">
        <v>0.29799999999999999</v>
      </c>
      <c r="I200">
        <v>0.13</v>
      </c>
      <c r="J200" t="s">
        <v>409</v>
      </c>
      <c r="K200" t="s">
        <v>130</v>
      </c>
      <c r="L200">
        <v>0.10100000000000001</v>
      </c>
      <c r="M200">
        <v>1.2999999999999999E-2</v>
      </c>
      <c r="N200" t="s">
        <v>409</v>
      </c>
      <c r="O200">
        <v>4.782</v>
      </c>
      <c r="P200">
        <v>0.17899999999999999</v>
      </c>
      <c r="Q200" t="s">
        <v>130</v>
      </c>
      <c r="R200" t="s">
        <v>130</v>
      </c>
      <c r="S200" t="s">
        <v>130</v>
      </c>
      <c r="T200" t="s">
        <v>130</v>
      </c>
      <c r="U200" t="s">
        <v>130</v>
      </c>
      <c r="V200" t="s">
        <v>130</v>
      </c>
      <c r="X200">
        <v>2.7E-2</v>
      </c>
      <c r="Y200">
        <v>4.5999999999999999E-2</v>
      </c>
      <c r="Z200" t="s">
        <v>421</v>
      </c>
      <c r="AA200" t="s">
        <v>130</v>
      </c>
      <c r="AB200" t="s">
        <v>130</v>
      </c>
      <c r="AC200" t="s">
        <v>130</v>
      </c>
    </row>
    <row r="201" spans="1:29" ht="15" customHeight="1" x14ac:dyDescent="0.35">
      <c r="A201" s="2" t="s">
        <v>573</v>
      </c>
      <c r="B201" s="1" t="s">
        <v>53</v>
      </c>
      <c r="C201" s="1">
        <v>45771</v>
      </c>
      <c r="D201" s="1" t="s">
        <v>116</v>
      </c>
      <c r="E201" s="10">
        <v>45501</v>
      </c>
      <c r="F201" s="10">
        <v>45619</v>
      </c>
      <c r="G201" s="94">
        <v>45737</v>
      </c>
      <c r="H201">
        <v>0.64</v>
      </c>
      <c r="I201">
        <v>0.13</v>
      </c>
      <c r="J201" t="s">
        <v>409</v>
      </c>
      <c r="K201" t="s">
        <v>130</v>
      </c>
      <c r="L201">
        <v>5.8999999999999997E-2</v>
      </c>
      <c r="M201">
        <v>1.2999999999999999E-2</v>
      </c>
      <c r="N201" t="s">
        <v>409</v>
      </c>
      <c r="O201">
        <v>0.86499999999999999</v>
      </c>
      <c r="P201">
        <v>0.17899999999999999</v>
      </c>
      <c r="Q201" t="s">
        <v>409</v>
      </c>
      <c r="R201" t="s">
        <v>130</v>
      </c>
      <c r="S201" t="s">
        <v>130</v>
      </c>
      <c r="T201" t="s">
        <v>130</v>
      </c>
      <c r="U201" t="s">
        <v>130</v>
      </c>
      <c r="V201" t="s">
        <v>130</v>
      </c>
      <c r="X201" t="s">
        <v>467</v>
      </c>
      <c r="Y201">
        <v>4.5999999999999999E-2</v>
      </c>
      <c r="Z201" t="s">
        <v>468</v>
      </c>
      <c r="AA201" t="s">
        <v>130</v>
      </c>
      <c r="AB201" t="s">
        <v>130</v>
      </c>
      <c r="AC201" t="s">
        <v>130</v>
      </c>
    </row>
    <row r="202" spans="1:29" ht="15" customHeight="1" x14ac:dyDescent="0.35">
      <c r="A202" s="2" t="s">
        <v>574</v>
      </c>
      <c r="B202" s="1" t="s">
        <v>53</v>
      </c>
      <c r="C202" s="1">
        <v>45771</v>
      </c>
      <c r="D202" s="1" t="s">
        <v>115</v>
      </c>
      <c r="E202" s="10">
        <v>45502</v>
      </c>
      <c r="F202" s="10">
        <v>45619</v>
      </c>
      <c r="G202" s="94">
        <v>45737</v>
      </c>
      <c r="H202" t="s">
        <v>130</v>
      </c>
      <c r="I202" t="s">
        <v>130</v>
      </c>
      <c r="J202" t="s">
        <v>130</v>
      </c>
      <c r="K202" t="s">
        <v>130</v>
      </c>
      <c r="L202" t="s">
        <v>130</v>
      </c>
      <c r="M202" t="s">
        <v>130</v>
      </c>
      <c r="N202" t="s">
        <v>130</v>
      </c>
      <c r="O202" t="s">
        <v>130</v>
      </c>
      <c r="P202" t="s">
        <v>130</v>
      </c>
      <c r="Q202" t="s">
        <v>130</v>
      </c>
      <c r="R202">
        <v>33.299999999999997</v>
      </c>
      <c r="S202">
        <v>3.5</v>
      </c>
      <c r="T202" t="s">
        <v>130</v>
      </c>
      <c r="U202">
        <v>0.32800000000000001</v>
      </c>
      <c r="V202">
        <v>1.4999999999999999E-2</v>
      </c>
      <c r="Y202" t="s">
        <v>130</v>
      </c>
      <c r="AA202">
        <v>411</v>
      </c>
      <c r="AB202">
        <v>10.4</v>
      </c>
      <c r="AC202" t="s">
        <v>130</v>
      </c>
    </row>
    <row r="203" spans="1:29" ht="15" customHeight="1" x14ac:dyDescent="0.35">
      <c r="A203" s="2" t="s">
        <v>574</v>
      </c>
      <c r="B203" s="1" t="s">
        <v>53</v>
      </c>
      <c r="C203" s="1">
        <v>45771</v>
      </c>
      <c r="D203" s="1" t="s">
        <v>115</v>
      </c>
      <c r="E203" s="10">
        <v>45503</v>
      </c>
      <c r="F203" s="10"/>
      <c r="G203" s="94"/>
      <c r="H203" t="s">
        <v>130</v>
      </c>
      <c r="I203" t="s">
        <v>130</v>
      </c>
      <c r="J203" t="s">
        <v>130</v>
      </c>
      <c r="K203" t="s">
        <v>130</v>
      </c>
      <c r="L203" t="s">
        <v>130</v>
      </c>
      <c r="M203" t="s">
        <v>130</v>
      </c>
      <c r="N203" t="s">
        <v>130</v>
      </c>
      <c r="O203" t="s">
        <v>130</v>
      </c>
      <c r="P203" t="s">
        <v>130</v>
      </c>
      <c r="Q203" t="s">
        <v>130</v>
      </c>
      <c r="R203">
        <v>33.299999999999997</v>
      </c>
      <c r="S203">
        <v>3.5</v>
      </c>
      <c r="T203" t="s">
        <v>130</v>
      </c>
      <c r="U203">
        <v>0.32800000000000001</v>
      </c>
      <c r="V203">
        <v>1.4999999999999999E-2</v>
      </c>
      <c r="Y203" t="s">
        <v>130</v>
      </c>
      <c r="AA203">
        <v>411</v>
      </c>
      <c r="AB203">
        <v>10.4</v>
      </c>
      <c r="AC203" t="s">
        <v>130</v>
      </c>
    </row>
    <row r="204" spans="1:29" ht="15" customHeight="1" x14ac:dyDescent="0.35">
      <c r="A204" s="2" t="s">
        <v>575</v>
      </c>
      <c r="B204" s="1" t="s">
        <v>53</v>
      </c>
      <c r="C204" s="1">
        <v>45893</v>
      </c>
      <c r="D204" s="1" t="s">
        <v>115</v>
      </c>
      <c r="E204" s="10">
        <v>45504</v>
      </c>
      <c r="F204" s="10"/>
      <c r="G204" s="94"/>
      <c r="H204" t="s">
        <v>130</v>
      </c>
      <c r="I204" t="s">
        <v>130</v>
      </c>
      <c r="J204" t="s">
        <v>130</v>
      </c>
      <c r="K204" t="s">
        <v>130</v>
      </c>
      <c r="L204" t="s">
        <v>130</v>
      </c>
      <c r="M204" t="s">
        <v>130</v>
      </c>
      <c r="N204" t="s">
        <v>130</v>
      </c>
      <c r="O204" t="s">
        <v>130</v>
      </c>
      <c r="P204" t="s">
        <v>130</v>
      </c>
      <c r="Q204" t="s">
        <v>130</v>
      </c>
      <c r="R204">
        <v>42.6</v>
      </c>
      <c r="S204">
        <v>3.5</v>
      </c>
      <c r="T204" t="s">
        <v>130</v>
      </c>
      <c r="U204">
        <v>0.28799999999999998</v>
      </c>
      <c r="V204">
        <v>1.4999999999999999E-2</v>
      </c>
      <c r="Y204" t="s">
        <v>130</v>
      </c>
      <c r="AA204">
        <v>1679</v>
      </c>
      <c r="AB204">
        <v>10.4</v>
      </c>
      <c r="AC204" t="s">
        <v>130</v>
      </c>
    </row>
    <row r="205" spans="1:29" ht="15" customHeight="1" x14ac:dyDescent="0.35">
      <c r="A205" s="2" t="s">
        <v>576</v>
      </c>
      <c r="B205" s="1" t="s">
        <v>57</v>
      </c>
      <c r="C205" s="1">
        <v>45740</v>
      </c>
      <c r="D205" s="1" t="s">
        <v>116</v>
      </c>
      <c r="E205" s="10">
        <v>45505</v>
      </c>
      <c r="F205" s="10">
        <v>45619</v>
      </c>
      <c r="G205" s="94">
        <v>45737</v>
      </c>
      <c r="H205">
        <v>0.48699999999999999</v>
      </c>
      <c r="I205">
        <v>0.124</v>
      </c>
      <c r="J205" t="s">
        <v>409</v>
      </c>
      <c r="K205" t="s">
        <v>130</v>
      </c>
      <c r="L205">
        <v>5.1999999999999998E-2</v>
      </c>
      <c r="M205">
        <v>1.4999999999999999E-2</v>
      </c>
      <c r="N205" t="s">
        <v>409</v>
      </c>
      <c r="O205">
        <v>6.3520000000000003</v>
      </c>
      <c r="P205">
        <v>0.19600000000000001</v>
      </c>
      <c r="Q205" t="s">
        <v>130</v>
      </c>
      <c r="R205" t="s">
        <v>130</v>
      </c>
      <c r="S205" t="s">
        <v>130</v>
      </c>
      <c r="T205" t="s">
        <v>130</v>
      </c>
      <c r="U205" t="s">
        <v>130</v>
      </c>
      <c r="V205" t="s">
        <v>130</v>
      </c>
      <c r="X205">
        <v>2E-3</v>
      </c>
      <c r="Y205">
        <v>6.2E-2</v>
      </c>
      <c r="Z205" t="s">
        <v>421</v>
      </c>
      <c r="AA205" t="s">
        <v>130</v>
      </c>
      <c r="AB205" t="s">
        <v>130</v>
      </c>
      <c r="AC205" t="s">
        <v>130</v>
      </c>
    </row>
    <row r="206" spans="1:29" ht="15" customHeight="1" x14ac:dyDescent="0.35">
      <c r="A206" s="2" t="s">
        <v>577</v>
      </c>
      <c r="B206" s="1" t="s">
        <v>57</v>
      </c>
      <c r="C206" s="1">
        <v>45740</v>
      </c>
      <c r="D206" s="1" t="s">
        <v>115</v>
      </c>
      <c r="E206" s="10">
        <v>45506</v>
      </c>
      <c r="F206" s="10"/>
      <c r="G206" s="94"/>
      <c r="H206" t="s">
        <v>130</v>
      </c>
      <c r="I206" t="s">
        <v>130</v>
      </c>
      <c r="J206" t="s">
        <v>130</v>
      </c>
      <c r="K206" t="s">
        <v>130</v>
      </c>
      <c r="L206" t="s">
        <v>130</v>
      </c>
      <c r="M206" t="s">
        <v>130</v>
      </c>
      <c r="N206" t="s">
        <v>130</v>
      </c>
      <c r="O206" t="s">
        <v>130</v>
      </c>
      <c r="P206" t="s">
        <v>130</v>
      </c>
      <c r="Q206" t="s">
        <v>130</v>
      </c>
      <c r="R206">
        <v>75</v>
      </c>
      <c r="S206">
        <v>3.5</v>
      </c>
      <c r="T206" t="s">
        <v>130</v>
      </c>
      <c r="U206">
        <v>0.53800000000000003</v>
      </c>
      <c r="V206">
        <v>1.6E-2</v>
      </c>
      <c r="Y206" t="s">
        <v>130</v>
      </c>
      <c r="AA206">
        <v>789.5</v>
      </c>
      <c r="AB206">
        <v>10.4</v>
      </c>
      <c r="AC206" t="s">
        <v>130</v>
      </c>
    </row>
    <row r="207" spans="1:29" ht="15" customHeight="1" x14ac:dyDescent="0.35">
      <c r="A207" s="2" t="s">
        <v>577</v>
      </c>
      <c r="B207" s="1" t="s">
        <v>57</v>
      </c>
      <c r="C207" s="1">
        <v>45740</v>
      </c>
      <c r="D207" s="1" t="s">
        <v>115</v>
      </c>
      <c r="E207" s="10">
        <v>45507</v>
      </c>
      <c r="F207" s="10">
        <v>45619</v>
      </c>
      <c r="G207" s="94">
        <v>45737</v>
      </c>
      <c r="H207" t="s">
        <v>130</v>
      </c>
      <c r="I207" t="s">
        <v>130</v>
      </c>
      <c r="J207" t="s">
        <v>130</v>
      </c>
      <c r="K207" t="s">
        <v>130</v>
      </c>
      <c r="L207" t="s">
        <v>130</v>
      </c>
      <c r="M207" t="s">
        <v>130</v>
      </c>
      <c r="N207" t="s">
        <v>130</v>
      </c>
      <c r="O207" t="s">
        <v>130</v>
      </c>
      <c r="P207" t="s">
        <v>130</v>
      </c>
      <c r="Q207" t="s">
        <v>130</v>
      </c>
      <c r="R207">
        <v>75</v>
      </c>
      <c r="S207">
        <v>3.5</v>
      </c>
      <c r="T207" t="s">
        <v>130</v>
      </c>
      <c r="U207">
        <v>0.53800000000000003</v>
      </c>
      <c r="V207">
        <v>1.6E-2</v>
      </c>
      <c r="Y207" t="s">
        <v>130</v>
      </c>
      <c r="AA207">
        <v>789.5</v>
      </c>
      <c r="AB207">
        <v>10.4</v>
      </c>
      <c r="AC207" t="s">
        <v>130</v>
      </c>
    </row>
    <row r="208" spans="1:29" ht="15" customHeight="1" x14ac:dyDescent="0.35">
      <c r="A208" s="2" t="s">
        <v>578</v>
      </c>
      <c r="B208" s="1" t="s">
        <v>57</v>
      </c>
      <c r="C208" s="1">
        <v>45862</v>
      </c>
      <c r="D208" s="1" t="s">
        <v>116</v>
      </c>
      <c r="E208" s="10">
        <v>45508</v>
      </c>
      <c r="F208" s="10">
        <v>45619</v>
      </c>
      <c r="G208" s="94">
        <v>45737</v>
      </c>
      <c r="H208">
        <v>0.34599999999999997</v>
      </c>
      <c r="I208">
        <v>0.124</v>
      </c>
      <c r="J208" t="s">
        <v>409</v>
      </c>
      <c r="K208" t="s">
        <v>130</v>
      </c>
      <c r="L208">
        <v>5.7000000000000002E-2</v>
      </c>
      <c r="M208">
        <v>1.4999999999999999E-2</v>
      </c>
      <c r="N208" t="s">
        <v>409</v>
      </c>
      <c r="O208">
        <v>0.25700000000000001</v>
      </c>
      <c r="P208">
        <v>0.19600000000000001</v>
      </c>
      <c r="Q208" t="s">
        <v>409</v>
      </c>
      <c r="R208" t="s">
        <v>130</v>
      </c>
      <c r="S208" t="s">
        <v>130</v>
      </c>
      <c r="T208" t="s">
        <v>130</v>
      </c>
      <c r="U208" t="s">
        <v>130</v>
      </c>
      <c r="V208" t="s">
        <v>130</v>
      </c>
      <c r="X208">
        <v>4.0000000000000001E-3</v>
      </c>
      <c r="Y208">
        <v>6.2E-2</v>
      </c>
      <c r="Z208" t="s">
        <v>421</v>
      </c>
      <c r="AA208" t="s">
        <v>130</v>
      </c>
      <c r="AB208" t="s">
        <v>130</v>
      </c>
      <c r="AC208" t="s">
        <v>130</v>
      </c>
    </row>
    <row r="209" spans="1:29" ht="15" customHeight="1" x14ac:dyDescent="0.35">
      <c r="A209" s="2" t="s">
        <v>579</v>
      </c>
      <c r="B209" s="1" t="s">
        <v>57</v>
      </c>
      <c r="C209" s="1">
        <v>45862</v>
      </c>
      <c r="D209" s="1" t="s">
        <v>115</v>
      </c>
      <c r="E209" s="10">
        <v>45509</v>
      </c>
      <c r="F209" s="10"/>
      <c r="G209" s="94"/>
      <c r="H209" t="s">
        <v>130</v>
      </c>
      <c r="I209" t="s">
        <v>130</v>
      </c>
      <c r="J209" t="s">
        <v>130</v>
      </c>
      <c r="K209" t="s">
        <v>130</v>
      </c>
      <c r="L209" t="s">
        <v>130</v>
      </c>
      <c r="M209" t="s">
        <v>130</v>
      </c>
      <c r="N209" t="s">
        <v>130</v>
      </c>
      <c r="O209" t="s">
        <v>130</v>
      </c>
      <c r="P209" t="s">
        <v>130</v>
      </c>
      <c r="Q209" t="s">
        <v>130</v>
      </c>
      <c r="R209">
        <v>50</v>
      </c>
      <c r="S209">
        <v>3.5</v>
      </c>
      <c r="T209" t="s">
        <v>130</v>
      </c>
      <c r="U209">
        <v>0.39200000000000002</v>
      </c>
      <c r="V209">
        <v>1.6E-2</v>
      </c>
      <c r="Y209" t="s">
        <v>130</v>
      </c>
      <c r="AA209">
        <v>764.1</v>
      </c>
      <c r="AB209">
        <v>10.4</v>
      </c>
      <c r="AC209" t="s">
        <v>130</v>
      </c>
    </row>
    <row r="210" spans="1:29" ht="15" customHeight="1" x14ac:dyDescent="0.35">
      <c r="A210" s="2" t="s">
        <v>579</v>
      </c>
      <c r="B210" s="1" t="s">
        <v>57</v>
      </c>
      <c r="C210" s="1">
        <v>45862</v>
      </c>
      <c r="D210" s="1" t="s">
        <v>115</v>
      </c>
      <c r="E210" s="10">
        <v>45510</v>
      </c>
      <c r="F210" s="10">
        <v>45619</v>
      </c>
      <c r="G210" s="94">
        <v>45737</v>
      </c>
      <c r="H210" t="s">
        <v>130</v>
      </c>
      <c r="I210" t="s">
        <v>130</v>
      </c>
      <c r="J210" t="s">
        <v>130</v>
      </c>
      <c r="K210" t="s">
        <v>130</v>
      </c>
      <c r="L210" t="s">
        <v>130</v>
      </c>
      <c r="M210" t="s">
        <v>130</v>
      </c>
      <c r="N210" t="s">
        <v>130</v>
      </c>
      <c r="O210" t="s">
        <v>130</v>
      </c>
      <c r="P210" t="s">
        <v>130</v>
      </c>
      <c r="Q210" t="s">
        <v>130</v>
      </c>
      <c r="R210">
        <v>50</v>
      </c>
      <c r="S210">
        <v>3.5</v>
      </c>
      <c r="T210" t="s">
        <v>130</v>
      </c>
      <c r="U210">
        <v>0.39200000000000002</v>
      </c>
      <c r="V210">
        <v>1.6E-2</v>
      </c>
      <c r="Y210" t="s">
        <v>130</v>
      </c>
      <c r="AA210">
        <v>764.1</v>
      </c>
      <c r="AB210">
        <v>10.4</v>
      </c>
      <c r="AC210" t="s">
        <v>130</v>
      </c>
    </row>
    <row r="211" spans="1:29" ht="15" customHeight="1" x14ac:dyDescent="0.35">
      <c r="A211" s="2" t="s">
        <v>580</v>
      </c>
      <c r="B211" s="1" t="s">
        <v>44</v>
      </c>
      <c r="C211" s="1">
        <v>45681</v>
      </c>
      <c r="D211" s="1" t="s">
        <v>115</v>
      </c>
      <c r="E211" s="10">
        <v>45511</v>
      </c>
      <c r="F211" s="10"/>
      <c r="G211" s="94"/>
      <c r="H211" t="s">
        <v>130</v>
      </c>
      <c r="I211" t="s">
        <v>130</v>
      </c>
      <c r="J211" t="s">
        <v>130</v>
      </c>
      <c r="K211" t="s">
        <v>130</v>
      </c>
      <c r="L211" t="s">
        <v>130</v>
      </c>
      <c r="M211" t="s">
        <v>130</v>
      </c>
      <c r="N211" t="s">
        <v>130</v>
      </c>
      <c r="O211" t="s">
        <v>130</v>
      </c>
      <c r="P211" t="s">
        <v>130</v>
      </c>
      <c r="Q211" t="s">
        <v>130</v>
      </c>
      <c r="R211">
        <v>39.299999999999997</v>
      </c>
      <c r="S211">
        <v>3.5</v>
      </c>
      <c r="T211" t="s">
        <v>130</v>
      </c>
      <c r="U211">
        <v>0.434</v>
      </c>
      <c r="V211">
        <v>1.6E-2</v>
      </c>
      <c r="Y211" t="s">
        <v>130</v>
      </c>
      <c r="AA211">
        <v>636.20000000000005</v>
      </c>
      <c r="AB211">
        <v>10.4</v>
      </c>
      <c r="AC211" t="s">
        <v>130</v>
      </c>
    </row>
    <row r="212" spans="1:29" ht="15" customHeight="1" x14ac:dyDescent="0.35">
      <c r="A212" s="2" t="s">
        <v>581</v>
      </c>
      <c r="B212" s="1" t="s">
        <v>44</v>
      </c>
      <c r="C212" s="1">
        <v>45771</v>
      </c>
      <c r="D212" s="1" t="s">
        <v>116</v>
      </c>
      <c r="E212" s="10">
        <v>45512</v>
      </c>
      <c r="F212" s="10">
        <v>45619</v>
      </c>
      <c r="G212" s="94">
        <v>45737</v>
      </c>
      <c r="H212">
        <v>0.10199999999999999</v>
      </c>
      <c r="I212">
        <v>0.124</v>
      </c>
      <c r="J212" t="s">
        <v>421</v>
      </c>
      <c r="K212" t="s">
        <v>130</v>
      </c>
      <c r="L212">
        <v>6.0000000000000001E-3</v>
      </c>
      <c r="M212">
        <v>1.4999999999999999E-2</v>
      </c>
      <c r="N212" t="s">
        <v>421</v>
      </c>
      <c r="O212">
        <v>0.433</v>
      </c>
      <c r="P212">
        <v>0.19600000000000001</v>
      </c>
      <c r="Q212" t="s">
        <v>409</v>
      </c>
      <c r="R212" t="s">
        <v>130</v>
      </c>
      <c r="S212" t="s">
        <v>130</v>
      </c>
      <c r="T212" t="s">
        <v>130</v>
      </c>
      <c r="U212" t="s">
        <v>130</v>
      </c>
      <c r="V212" t="s">
        <v>130</v>
      </c>
      <c r="X212">
        <v>2.4E-2</v>
      </c>
      <c r="Y212">
        <v>6.2E-2</v>
      </c>
      <c r="Z212" t="s">
        <v>421</v>
      </c>
      <c r="AA212" t="s">
        <v>130</v>
      </c>
      <c r="AB212" t="s">
        <v>130</v>
      </c>
      <c r="AC212" t="s">
        <v>130</v>
      </c>
    </row>
    <row r="213" spans="1:29" ht="15" customHeight="1" x14ac:dyDescent="0.35">
      <c r="A213" s="2" t="s">
        <v>582</v>
      </c>
      <c r="B213" s="1" t="s">
        <v>44</v>
      </c>
      <c r="C213" s="1">
        <v>45771</v>
      </c>
      <c r="D213" s="1" t="s">
        <v>115</v>
      </c>
      <c r="E213" s="10">
        <v>45513</v>
      </c>
      <c r="F213" s="10">
        <v>45619</v>
      </c>
      <c r="G213" s="94">
        <v>45737</v>
      </c>
      <c r="H213" t="s">
        <v>130</v>
      </c>
      <c r="I213" t="s">
        <v>130</v>
      </c>
      <c r="J213" t="s">
        <v>130</v>
      </c>
      <c r="K213" t="s">
        <v>130</v>
      </c>
      <c r="L213" t="s">
        <v>130</v>
      </c>
      <c r="M213" t="s">
        <v>130</v>
      </c>
      <c r="N213" t="s">
        <v>130</v>
      </c>
      <c r="O213" t="s">
        <v>130</v>
      </c>
      <c r="P213" t="s">
        <v>130</v>
      </c>
      <c r="Q213" t="s">
        <v>130</v>
      </c>
      <c r="R213">
        <v>39.5</v>
      </c>
      <c r="S213">
        <v>3.5</v>
      </c>
      <c r="T213" t="s">
        <v>130</v>
      </c>
      <c r="U213">
        <v>0.35699999999999998</v>
      </c>
      <c r="V213">
        <v>1.6E-2</v>
      </c>
      <c r="Y213" t="s">
        <v>130</v>
      </c>
      <c r="AA213">
        <v>626.79999999999995</v>
      </c>
      <c r="AB213">
        <v>10.4</v>
      </c>
      <c r="AC213" t="s">
        <v>130</v>
      </c>
    </row>
    <row r="214" spans="1:29" ht="15" customHeight="1" x14ac:dyDescent="0.35">
      <c r="A214" s="2" t="s">
        <v>582</v>
      </c>
      <c r="B214" s="1" t="s">
        <v>44</v>
      </c>
      <c r="C214" s="1">
        <v>45771</v>
      </c>
      <c r="D214" s="1" t="s">
        <v>115</v>
      </c>
      <c r="E214" s="10">
        <v>45514</v>
      </c>
      <c r="F214" s="10"/>
      <c r="G214" s="94"/>
      <c r="H214" t="s">
        <v>130</v>
      </c>
      <c r="I214" t="s">
        <v>130</v>
      </c>
      <c r="J214" t="s">
        <v>130</v>
      </c>
      <c r="K214" t="s">
        <v>130</v>
      </c>
      <c r="L214" t="s">
        <v>130</v>
      </c>
      <c r="M214" t="s">
        <v>130</v>
      </c>
      <c r="N214" t="s">
        <v>130</v>
      </c>
      <c r="O214" t="s">
        <v>130</v>
      </c>
      <c r="P214" t="s">
        <v>130</v>
      </c>
      <c r="Q214" t="s">
        <v>130</v>
      </c>
      <c r="R214">
        <v>39.5</v>
      </c>
      <c r="S214">
        <v>3.5</v>
      </c>
      <c r="T214" t="s">
        <v>130</v>
      </c>
      <c r="U214">
        <v>0.35699999999999998</v>
      </c>
      <c r="V214">
        <v>1.6E-2</v>
      </c>
      <c r="Y214" t="s">
        <v>130</v>
      </c>
      <c r="AA214">
        <v>626.79999999999995</v>
      </c>
      <c r="AB214">
        <v>10.4</v>
      </c>
      <c r="AC214" t="s">
        <v>130</v>
      </c>
    </row>
    <row r="215" spans="1:29" ht="15" customHeight="1" x14ac:dyDescent="0.35">
      <c r="A215" s="2" t="s">
        <v>583</v>
      </c>
      <c r="B215" s="1" t="s">
        <v>44</v>
      </c>
      <c r="C215" s="1">
        <v>45893</v>
      </c>
      <c r="D215" s="1" t="s">
        <v>116</v>
      </c>
      <c r="E215" s="10">
        <v>45515</v>
      </c>
      <c r="F215" s="10"/>
      <c r="G215" s="94"/>
      <c r="H215">
        <v>0.82199999999999995</v>
      </c>
      <c r="I215">
        <v>0.124</v>
      </c>
      <c r="J215" t="s">
        <v>409</v>
      </c>
      <c r="K215" t="s">
        <v>130</v>
      </c>
      <c r="L215">
        <v>0.16500000000000001</v>
      </c>
      <c r="M215">
        <v>1.4999999999999999E-2</v>
      </c>
      <c r="N215" t="s">
        <v>130</v>
      </c>
      <c r="O215">
        <v>0.45500000000000002</v>
      </c>
      <c r="P215">
        <v>0.19600000000000001</v>
      </c>
      <c r="Q215" t="s">
        <v>409</v>
      </c>
      <c r="R215" t="s">
        <v>130</v>
      </c>
      <c r="S215" t="s">
        <v>130</v>
      </c>
      <c r="T215" t="s">
        <v>130</v>
      </c>
      <c r="U215" t="s">
        <v>130</v>
      </c>
      <c r="V215" t="s">
        <v>130</v>
      </c>
      <c r="X215">
        <v>3.5000000000000003E-2</v>
      </c>
      <c r="Y215">
        <v>6.2E-2</v>
      </c>
      <c r="Z215" t="s">
        <v>421</v>
      </c>
      <c r="AA215" t="s">
        <v>130</v>
      </c>
      <c r="AB215" t="s">
        <v>130</v>
      </c>
      <c r="AC215" t="s">
        <v>130</v>
      </c>
    </row>
    <row r="216" spans="1:29" ht="15" customHeight="1" x14ac:dyDescent="0.35">
      <c r="A216" s="2" t="s">
        <v>584</v>
      </c>
      <c r="B216" s="1" t="s">
        <v>44</v>
      </c>
      <c r="C216" s="1">
        <v>45893</v>
      </c>
      <c r="D216" s="1" t="s">
        <v>115</v>
      </c>
      <c r="E216" s="10">
        <v>45516</v>
      </c>
      <c r="F216" s="10"/>
      <c r="G216" s="94"/>
      <c r="H216" t="s">
        <v>130</v>
      </c>
      <c r="I216" t="s">
        <v>130</v>
      </c>
      <c r="J216" t="s">
        <v>130</v>
      </c>
      <c r="K216" t="s">
        <v>130</v>
      </c>
      <c r="L216" t="s">
        <v>130</v>
      </c>
      <c r="M216" t="s">
        <v>130</v>
      </c>
      <c r="N216" t="s">
        <v>130</v>
      </c>
      <c r="O216" t="s">
        <v>130</v>
      </c>
      <c r="P216" t="s">
        <v>130</v>
      </c>
      <c r="Q216" t="s">
        <v>130</v>
      </c>
      <c r="R216">
        <v>123.8</v>
      </c>
      <c r="S216">
        <v>3.5</v>
      </c>
      <c r="T216" t="s">
        <v>130</v>
      </c>
      <c r="U216">
        <v>1.36</v>
      </c>
      <c r="V216">
        <v>1.6E-2</v>
      </c>
      <c r="Y216" t="s">
        <v>130</v>
      </c>
      <c r="AA216">
        <v>1843</v>
      </c>
      <c r="AB216">
        <v>10.4</v>
      </c>
      <c r="AC216" t="s">
        <v>130</v>
      </c>
    </row>
    <row r="217" spans="1:29" ht="15" customHeight="1" x14ac:dyDescent="0.35">
      <c r="A217" s="2" t="s">
        <v>585</v>
      </c>
      <c r="B217" s="1" t="s">
        <v>45</v>
      </c>
      <c r="C217" s="1">
        <v>45681</v>
      </c>
      <c r="D217" s="1" t="s">
        <v>115</v>
      </c>
      <c r="E217" s="10">
        <v>45517</v>
      </c>
      <c r="F217" s="10"/>
      <c r="G217" s="94"/>
      <c r="H217" t="s">
        <v>130</v>
      </c>
      <c r="I217" t="s">
        <v>130</v>
      </c>
      <c r="J217" t="s">
        <v>130</v>
      </c>
      <c r="K217" t="s">
        <v>130</v>
      </c>
      <c r="L217" t="s">
        <v>130</v>
      </c>
      <c r="M217" t="s">
        <v>130</v>
      </c>
      <c r="N217" t="s">
        <v>130</v>
      </c>
      <c r="O217" t="s">
        <v>130</v>
      </c>
      <c r="P217" t="s">
        <v>130</v>
      </c>
      <c r="Q217" t="s">
        <v>130</v>
      </c>
      <c r="R217">
        <v>54.8</v>
      </c>
      <c r="S217">
        <v>3.5</v>
      </c>
      <c r="T217" t="s">
        <v>130</v>
      </c>
      <c r="U217">
        <v>0.28100000000000003</v>
      </c>
      <c r="V217">
        <v>1.6E-2</v>
      </c>
      <c r="Y217" t="s">
        <v>130</v>
      </c>
      <c r="AA217">
        <v>575.20000000000005</v>
      </c>
      <c r="AB217">
        <v>10.4</v>
      </c>
      <c r="AC217" t="s">
        <v>130</v>
      </c>
    </row>
    <row r="218" spans="1:29" ht="15" customHeight="1" x14ac:dyDescent="0.35">
      <c r="A218" s="2" t="s">
        <v>586</v>
      </c>
      <c r="B218" s="1" t="s">
        <v>45</v>
      </c>
      <c r="C218" s="1">
        <v>45985</v>
      </c>
      <c r="D218" s="1" t="s">
        <v>115</v>
      </c>
      <c r="E218" s="10">
        <v>45518</v>
      </c>
      <c r="F218" s="10"/>
      <c r="G218" s="94"/>
      <c r="H218" t="s">
        <v>130</v>
      </c>
      <c r="I218" t="s">
        <v>130</v>
      </c>
      <c r="J218" t="s">
        <v>130</v>
      </c>
      <c r="K218" t="s">
        <v>130</v>
      </c>
      <c r="L218" t="s">
        <v>130</v>
      </c>
      <c r="M218" t="s">
        <v>130</v>
      </c>
      <c r="N218" t="s">
        <v>130</v>
      </c>
      <c r="O218" t="s">
        <v>130</v>
      </c>
      <c r="P218" t="s">
        <v>130</v>
      </c>
      <c r="Q218" t="s">
        <v>130</v>
      </c>
      <c r="R218">
        <v>50.5</v>
      </c>
      <c r="S218">
        <v>3.5</v>
      </c>
      <c r="T218" t="s">
        <v>130</v>
      </c>
      <c r="U218">
        <v>0.23599999999999999</v>
      </c>
      <c r="V218">
        <v>1.6E-2</v>
      </c>
      <c r="Y218" t="s">
        <v>130</v>
      </c>
      <c r="AA218">
        <v>565.6</v>
      </c>
      <c r="AB218">
        <v>10.4</v>
      </c>
      <c r="AC218" t="s">
        <v>130</v>
      </c>
    </row>
    <row r="219" spans="1:29" ht="15" customHeight="1" x14ac:dyDescent="0.35">
      <c r="A219" s="2" t="s">
        <v>587</v>
      </c>
      <c r="B219" s="1" t="s">
        <v>45</v>
      </c>
      <c r="C219" s="1" t="s">
        <v>109</v>
      </c>
      <c r="D219" s="1" t="s">
        <v>116</v>
      </c>
      <c r="E219" s="10">
        <v>45519</v>
      </c>
      <c r="F219" s="10">
        <v>45320</v>
      </c>
      <c r="G219" s="94">
        <v>45352</v>
      </c>
      <c r="H219">
        <v>0.375</v>
      </c>
      <c r="I219">
        <v>0.124</v>
      </c>
      <c r="J219" t="s">
        <v>409</v>
      </c>
      <c r="K219" t="s">
        <v>130</v>
      </c>
      <c r="L219">
        <v>6.3E-2</v>
      </c>
      <c r="M219">
        <v>1.4999999999999999E-2</v>
      </c>
      <c r="N219" t="s">
        <v>409</v>
      </c>
      <c r="O219">
        <v>6.1710000000000003</v>
      </c>
      <c r="P219">
        <v>0.19600000000000001</v>
      </c>
      <c r="Q219" t="s">
        <v>130</v>
      </c>
      <c r="R219" t="s">
        <v>130</v>
      </c>
      <c r="S219" t="s">
        <v>130</v>
      </c>
      <c r="T219" t="s">
        <v>130</v>
      </c>
      <c r="U219" t="s">
        <v>130</v>
      </c>
      <c r="V219" t="s">
        <v>130</v>
      </c>
      <c r="X219">
        <v>1E-3</v>
      </c>
      <c r="Y219">
        <v>6.2E-2</v>
      </c>
      <c r="Z219" t="s">
        <v>421</v>
      </c>
      <c r="AA219" t="s">
        <v>130</v>
      </c>
      <c r="AB219" t="s">
        <v>130</v>
      </c>
      <c r="AC219" t="s">
        <v>130</v>
      </c>
    </row>
    <row r="220" spans="1:29" ht="15" customHeight="1" x14ac:dyDescent="0.35">
      <c r="A220" s="2" t="s">
        <v>588</v>
      </c>
      <c r="B220" s="1" t="s">
        <v>45</v>
      </c>
      <c r="C220" s="1">
        <v>45771</v>
      </c>
      <c r="D220" s="1" t="s">
        <v>115</v>
      </c>
      <c r="E220" s="10">
        <v>45520</v>
      </c>
      <c r="F220" s="10">
        <v>45619</v>
      </c>
      <c r="G220" s="94">
        <v>45737</v>
      </c>
      <c r="H220" t="s">
        <v>130</v>
      </c>
      <c r="I220" t="s">
        <v>130</v>
      </c>
      <c r="J220" t="s">
        <v>130</v>
      </c>
      <c r="K220" t="s">
        <v>130</v>
      </c>
      <c r="L220" t="s">
        <v>130</v>
      </c>
      <c r="M220" t="s">
        <v>130</v>
      </c>
      <c r="N220" t="s">
        <v>130</v>
      </c>
      <c r="O220" t="s">
        <v>130</v>
      </c>
      <c r="P220" t="s">
        <v>130</v>
      </c>
      <c r="Q220" t="s">
        <v>130</v>
      </c>
      <c r="R220">
        <v>67.900000000000006</v>
      </c>
      <c r="S220">
        <v>3.5</v>
      </c>
      <c r="T220" t="s">
        <v>130</v>
      </c>
      <c r="U220">
        <v>0.42499999999999999</v>
      </c>
      <c r="V220">
        <v>1.6E-2</v>
      </c>
      <c r="Y220" t="s">
        <v>130</v>
      </c>
      <c r="AA220">
        <v>612.5</v>
      </c>
      <c r="AB220">
        <v>10.4</v>
      </c>
      <c r="AC220" t="s">
        <v>130</v>
      </c>
    </row>
    <row r="221" spans="1:29" ht="15" customHeight="1" x14ac:dyDescent="0.35">
      <c r="A221" s="2" t="s">
        <v>588</v>
      </c>
      <c r="B221" s="1" t="s">
        <v>45</v>
      </c>
      <c r="C221" s="1">
        <v>45771</v>
      </c>
      <c r="D221" s="1" t="s">
        <v>115</v>
      </c>
      <c r="E221" s="10">
        <v>45521</v>
      </c>
      <c r="F221" s="10"/>
      <c r="G221" s="94"/>
      <c r="H221" t="s">
        <v>130</v>
      </c>
      <c r="I221" t="s">
        <v>130</v>
      </c>
      <c r="J221" t="s">
        <v>130</v>
      </c>
      <c r="K221" t="s">
        <v>130</v>
      </c>
      <c r="L221" t="s">
        <v>130</v>
      </c>
      <c r="M221" t="s">
        <v>130</v>
      </c>
      <c r="N221" t="s">
        <v>130</v>
      </c>
      <c r="O221" t="s">
        <v>130</v>
      </c>
      <c r="P221" t="s">
        <v>130</v>
      </c>
      <c r="Q221" t="s">
        <v>130</v>
      </c>
      <c r="R221">
        <v>67.900000000000006</v>
      </c>
      <c r="S221">
        <v>3.5</v>
      </c>
      <c r="T221" t="s">
        <v>130</v>
      </c>
      <c r="U221">
        <v>0.42499999999999999</v>
      </c>
      <c r="V221">
        <v>1.6E-2</v>
      </c>
      <c r="Y221" t="s">
        <v>130</v>
      </c>
      <c r="AA221">
        <v>612.5</v>
      </c>
      <c r="AB221">
        <v>10.4</v>
      </c>
      <c r="AC221" t="s">
        <v>130</v>
      </c>
    </row>
    <row r="222" spans="1:29" ht="15" customHeight="1" x14ac:dyDescent="0.35">
      <c r="A222" s="2" t="s">
        <v>589</v>
      </c>
      <c r="B222" s="1" t="s">
        <v>45</v>
      </c>
      <c r="C222" s="1">
        <v>45893</v>
      </c>
      <c r="D222" s="1" t="s">
        <v>116</v>
      </c>
      <c r="E222" s="10">
        <v>45522</v>
      </c>
      <c r="F222" s="10"/>
      <c r="G222" s="94"/>
      <c r="H222">
        <v>1.5609999999999999</v>
      </c>
      <c r="I222">
        <v>0.124</v>
      </c>
      <c r="J222" t="s">
        <v>130</v>
      </c>
      <c r="K222">
        <v>1.365</v>
      </c>
      <c r="L222">
        <v>0.19600000000000001</v>
      </c>
      <c r="M222">
        <v>1.4999999999999999E-2</v>
      </c>
      <c r="N222" t="s">
        <v>130</v>
      </c>
      <c r="O222">
        <v>1.276</v>
      </c>
      <c r="P222">
        <v>0.19600000000000001</v>
      </c>
      <c r="Q222" t="s">
        <v>130</v>
      </c>
      <c r="R222" t="s">
        <v>130</v>
      </c>
      <c r="S222" t="s">
        <v>130</v>
      </c>
      <c r="T222" t="s">
        <v>130</v>
      </c>
      <c r="U222" t="s">
        <v>130</v>
      </c>
      <c r="V222" t="s">
        <v>130</v>
      </c>
      <c r="X222">
        <v>3.4000000000000002E-2</v>
      </c>
      <c r="Y222">
        <v>6.2E-2</v>
      </c>
      <c r="Z222" t="s">
        <v>421</v>
      </c>
      <c r="AA222" t="s">
        <v>130</v>
      </c>
      <c r="AB222" t="s">
        <v>130</v>
      </c>
      <c r="AC222" t="s">
        <v>130</v>
      </c>
    </row>
    <row r="223" spans="1:29" ht="15" customHeight="1" x14ac:dyDescent="0.35">
      <c r="A223" s="2" t="s">
        <v>590</v>
      </c>
      <c r="B223" s="1" t="s">
        <v>45</v>
      </c>
      <c r="C223" s="1">
        <v>45893</v>
      </c>
      <c r="D223" s="1" t="s">
        <v>115</v>
      </c>
      <c r="E223" s="10">
        <v>45523</v>
      </c>
      <c r="F223" s="10"/>
      <c r="G223" s="94"/>
      <c r="H223" t="s">
        <v>130</v>
      </c>
      <c r="I223" t="s">
        <v>130</v>
      </c>
      <c r="J223" t="s">
        <v>130</v>
      </c>
      <c r="K223" t="s">
        <v>130</v>
      </c>
      <c r="L223" t="s">
        <v>130</v>
      </c>
      <c r="M223" t="s">
        <v>130</v>
      </c>
      <c r="N223" t="s">
        <v>130</v>
      </c>
      <c r="O223" t="s">
        <v>130</v>
      </c>
      <c r="P223" t="s">
        <v>130</v>
      </c>
      <c r="Q223" t="s">
        <v>130</v>
      </c>
      <c r="R223">
        <v>134</v>
      </c>
      <c r="S223">
        <v>3.5</v>
      </c>
      <c r="T223" t="s">
        <v>130</v>
      </c>
      <c r="U223">
        <v>1.94</v>
      </c>
      <c r="V223">
        <v>1.6E-2</v>
      </c>
      <c r="Y223" t="s">
        <v>130</v>
      </c>
      <c r="AA223">
        <v>1695</v>
      </c>
      <c r="AB223">
        <v>10.4</v>
      </c>
      <c r="AC223" t="s">
        <v>130</v>
      </c>
    </row>
    <row r="224" spans="1:29" ht="15" customHeight="1" x14ac:dyDescent="0.35">
      <c r="A224" s="2" t="s">
        <v>591</v>
      </c>
      <c r="B224" s="1" t="s">
        <v>46</v>
      </c>
      <c r="C224" s="1">
        <v>45681</v>
      </c>
      <c r="D224" s="1" t="s">
        <v>115</v>
      </c>
      <c r="E224" s="10">
        <v>45524</v>
      </c>
      <c r="F224" s="10"/>
      <c r="G224" s="94"/>
      <c r="H224" t="s">
        <v>130</v>
      </c>
      <c r="I224" t="s">
        <v>130</v>
      </c>
      <c r="J224" t="s">
        <v>130</v>
      </c>
      <c r="K224" t="s">
        <v>130</v>
      </c>
      <c r="L224" t="s">
        <v>130</v>
      </c>
      <c r="M224" t="s">
        <v>130</v>
      </c>
      <c r="N224" t="s">
        <v>130</v>
      </c>
      <c r="O224" t="s">
        <v>130</v>
      </c>
      <c r="P224" t="s">
        <v>130</v>
      </c>
      <c r="Q224" t="s">
        <v>130</v>
      </c>
      <c r="R224">
        <v>52.9</v>
      </c>
      <c r="S224">
        <v>3.5</v>
      </c>
      <c r="T224" t="s">
        <v>130</v>
      </c>
      <c r="U224">
        <v>0.27500000000000002</v>
      </c>
      <c r="V224">
        <v>1.6E-2</v>
      </c>
      <c r="Y224" t="s">
        <v>130</v>
      </c>
      <c r="AA224">
        <v>609.79999999999995</v>
      </c>
      <c r="AB224">
        <v>10.4</v>
      </c>
      <c r="AC224" t="s">
        <v>130</v>
      </c>
    </row>
    <row r="225" spans="1:29" ht="15" customHeight="1" x14ac:dyDescent="0.35">
      <c r="A225" s="2" t="s">
        <v>592</v>
      </c>
      <c r="B225" s="1" t="s">
        <v>46</v>
      </c>
      <c r="C225" s="1">
        <v>45985</v>
      </c>
      <c r="D225" s="1" t="s">
        <v>115</v>
      </c>
      <c r="E225" s="10">
        <v>45525</v>
      </c>
      <c r="F225" s="10"/>
      <c r="G225" s="94"/>
      <c r="H225" t="s">
        <v>130</v>
      </c>
      <c r="I225" t="s">
        <v>130</v>
      </c>
      <c r="J225" t="s">
        <v>130</v>
      </c>
      <c r="K225" t="s">
        <v>130</v>
      </c>
      <c r="L225" t="s">
        <v>130</v>
      </c>
      <c r="M225" t="s">
        <v>130</v>
      </c>
      <c r="N225" t="s">
        <v>130</v>
      </c>
      <c r="O225" t="s">
        <v>130</v>
      </c>
      <c r="P225" t="s">
        <v>130</v>
      </c>
      <c r="Q225" t="s">
        <v>130</v>
      </c>
      <c r="R225">
        <v>46</v>
      </c>
      <c r="S225">
        <v>3.5</v>
      </c>
      <c r="T225" t="s">
        <v>130</v>
      </c>
      <c r="U225">
        <v>0.27700000000000002</v>
      </c>
      <c r="V225">
        <v>1.6E-2</v>
      </c>
      <c r="Y225" t="s">
        <v>130</v>
      </c>
      <c r="AA225">
        <v>550.5</v>
      </c>
      <c r="AB225">
        <v>10.4</v>
      </c>
      <c r="AC225" t="s">
        <v>130</v>
      </c>
    </row>
    <row r="226" spans="1:29" ht="15" customHeight="1" x14ac:dyDescent="0.35">
      <c r="A226" s="2" t="s">
        <v>593</v>
      </c>
      <c r="B226" s="1" t="s">
        <v>46</v>
      </c>
      <c r="C226" s="1" t="s">
        <v>109</v>
      </c>
      <c r="D226" s="1" t="s">
        <v>116</v>
      </c>
      <c r="E226" s="10">
        <v>45526</v>
      </c>
      <c r="F226" s="10">
        <v>45320</v>
      </c>
      <c r="G226" s="94">
        <v>45352</v>
      </c>
      <c r="H226">
        <v>0.17899999999999999</v>
      </c>
      <c r="I226">
        <v>0.124</v>
      </c>
      <c r="J226" t="s">
        <v>409</v>
      </c>
      <c r="K226" t="s">
        <v>130</v>
      </c>
      <c r="L226">
        <v>0.08</v>
      </c>
      <c r="M226">
        <v>1.4999999999999999E-2</v>
      </c>
      <c r="N226" t="s">
        <v>409</v>
      </c>
      <c r="O226">
        <v>0.622</v>
      </c>
      <c r="P226">
        <v>0.19600000000000001</v>
      </c>
      <c r="Q226" t="s">
        <v>409</v>
      </c>
      <c r="R226" t="s">
        <v>130</v>
      </c>
      <c r="S226" t="s">
        <v>130</v>
      </c>
      <c r="T226" t="s">
        <v>130</v>
      </c>
      <c r="U226" t="s">
        <v>130</v>
      </c>
      <c r="V226" t="s">
        <v>130</v>
      </c>
      <c r="X226" t="s">
        <v>467</v>
      </c>
      <c r="Y226">
        <v>6.2E-2</v>
      </c>
      <c r="Z226" t="s">
        <v>468</v>
      </c>
      <c r="AA226" t="s">
        <v>130</v>
      </c>
      <c r="AB226" t="s">
        <v>130</v>
      </c>
      <c r="AC226" t="s">
        <v>130</v>
      </c>
    </row>
    <row r="227" spans="1:29" ht="15" customHeight="1" x14ac:dyDescent="0.35">
      <c r="A227" s="2" t="s">
        <v>594</v>
      </c>
      <c r="B227" s="1" t="s">
        <v>46</v>
      </c>
      <c r="C227" s="1">
        <v>45771</v>
      </c>
      <c r="D227" s="1" t="s">
        <v>116</v>
      </c>
      <c r="E227" s="10">
        <v>45527</v>
      </c>
      <c r="F227" s="10">
        <v>45619</v>
      </c>
      <c r="G227" s="94">
        <v>45737</v>
      </c>
      <c r="H227">
        <v>0.23300000000000001</v>
      </c>
      <c r="I227">
        <v>0.124</v>
      </c>
      <c r="J227" t="s">
        <v>409</v>
      </c>
      <c r="K227" t="s">
        <v>130</v>
      </c>
      <c r="L227">
        <v>3.7999999999999999E-2</v>
      </c>
      <c r="M227">
        <v>1.4999999999999999E-2</v>
      </c>
      <c r="N227" t="s">
        <v>409</v>
      </c>
      <c r="O227">
        <v>1.103</v>
      </c>
      <c r="P227">
        <v>0.19600000000000001</v>
      </c>
      <c r="Q227" t="s">
        <v>130</v>
      </c>
      <c r="R227" t="s">
        <v>130</v>
      </c>
      <c r="S227" t="s">
        <v>130</v>
      </c>
      <c r="T227" t="s">
        <v>130</v>
      </c>
      <c r="U227" t="s">
        <v>130</v>
      </c>
      <c r="V227" t="s">
        <v>130</v>
      </c>
      <c r="X227">
        <v>1.2E-2</v>
      </c>
      <c r="Y227">
        <v>6.2E-2</v>
      </c>
      <c r="Z227" t="s">
        <v>421</v>
      </c>
      <c r="AA227" t="s">
        <v>130</v>
      </c>
      <c r="AB227" t="s">
        <v>130</v>
      </c>
      <c r="AC227" t="s">
        <v>130</v>
      </c>
    </row>
    <row r="228" spans="1:29" ht="15" customHeight="1" x14ac:dyDescent="0.35">
      <c r="A228" s="2" t="s">
        <v>595</v>
      </c>
      <c r="B228" s="1" t="s">
        <v>46</v>
      </c>
      <c r="C228" s="1">
        <v>45771</v>
      </c>
      <c r="D228" s="1" t="s">
        <v>115</v>
      </c>
      <c r="E228" s="10">
        <v>45528</v>
      </c>
      <c r="F228" s="10"/>
      <c r="G228" s="94"/>
      <c r="H228" t="s">
        <v>130</v>
      </c>
      <c r="I228" t="s">
        <v>130</v>
      </c>
      <c r="J228" t="s">
        <v>130</v>
      </c>
      <c r="K228" t="s">
        <v>130</v>
      </c>
      <c r="L228" t="s">
        <v>130</v>
      </c>
      <c r="M228" t="s">
        <v>130</v>
      </c>
      <c r="N228" t="s">
        <v>130</v>
      </c>
      <c r="O228" t="s">
        <v>130</v>
      </c>
      <c r="P228" t="s">
        <v>130</v>
      </c>
      <c r="Q228" t="s">
        <v>130</v>
      </c>
      <c r="R228">
        <v>75.2</v>
      </c>
      <c r="S228">
        <v>3.5</v>
      </c>
      <c r="T228" t="s">
        <v>130</v>
      </c>
      <c r="U228">
        <v>0.35</v>
      </c>
      <c r="V228">
        <v>1.6E-2</v>
      </c>
      <c r="Y228" t="s">
        <v>130</v>
      </c>
      <c r="AA228">
        <v>676.4</v>
      </c>
      <c r="AB228">
        <v>10.4</v>
      </c>
      <c r="AC228" t="s">
        <v>130</v>
      </c>
    </row>
    <row r="229" spans="1:29" ht="15" customHeight="1" x14ac:dyDescent="0.35">
      <c r="A229" s="2" t="s">
        <v>595</v>
      </c>
      <c r="B229" s="1" t="s">
        <v>46</v>
      </c>
      <c r="C229" s="1">
        <v>45771</v>
      </c>
      <c r="D229" s="1" t="s">
        <v>115</v>
      </c>
      <c r="E229" s="10">
        <v>45529</v>
      </c>
      <c r="F229" s="10">
        <v>45619</v>
      </c>
      <c r="G229" s="94">
        <v>45737</v>
      </c>
      <c r="H229" t="s">
        <v>130</v>
      </c>
      <c r="I229" t="s">
        <v>130</v>
      </c>
      <c r="J229" t="s">
        <v>130</v>
      </c>
      <c r="K229" t="s">
        <v>130</v>
      </c>
      <c r="L229" t="s">
        <v>130</v>
      </c>
      <c r="M229" t="s">
        <v>130</v>
      </c>
      <c r="N229" t="s">
        <v>130</v>
      </c>
      <c r="O229" t="s">
        <v>130</v>
      </c>
      <c r="P229" t="s">
        <v>130</v>
      </c>
      <c r="Q229" t="s">
        <v>130</v>
      </c>
      <c r="R229">
        <v>75.2</v>
      </c>
      <c r="S229">
        <v>3.5</v>
      </c>
      <c r="T229" t="s">
        <v>130</v>
      </c>
      <c r="U229">
        <v>0.35</v>
      </c>
      <c r="V229">
        <v>1.6E-2</v>
      </c>
      <c r="Y229" t="s">
        <v>130</v>
      </c>
      <c r="AA229">
        <v>676.4</v>
      </c>
      <c r="AB229">
        <v>10.4</v>
      </c>
      <c r="AC229" t="s">
        <v>130</v>
      </c>
    </row>
    <row r="230" spans="1:29" ht="15" customHeight="1" x14ac:dyDescent="0.35">
      <c r="A230" s="2" t="s">
        <v>596</v>
      </c>
      <c r="B230" s="1" t="s">
        <v>46</v>
      </c>
      <c r="C230" s="1">
        <v>45893</v>
      </c>
      <c r="D230" s="1" t="s">
        <v>116</v>
      </c>
      <c r="E230" s="10">
        <v>45530</v>
      </c>
      <c r="F230" s="10"/>
      <c r="G230" s="94"/>
      <c r="H230">
        <v>0.66600000000000004</v>
      </c>
      <c r="I230">
        <v>0.124</v>
      </c>
      <c r="J230" t="s">
        <v>409</v>
      </c>
      <c r="K230" t="s">
        <v>130</v>
      </c>
      <c r="L230">
        <v>6.9000000000000006E-2</v>
      </c>
      <c r="M230">
        <v>1.4999999999999999E-2</v>
      </c>
      <c r="N230" t="s">
        <v>409</v>
      </c>
      <c r="O230">
        <v>0.222</v>
      </c>
      <c r="P230">
        <v>0.19600000000000001</v>
      </c>
      <c r="Q230" t="s">
        <v>409</v>
      </c>
      <c r="R230" t="s">
        <v>130</v>
      </c>
      <c r="S230" t="s">
        <v>130</v>
      </c>
      <c r="T230" t="s">
        <v>130</v>
      </c>
      <c r="U230" t="s">
        <v>130</v>
      </c>
      <c r="V230" t="s">
        <v>130</v>
      </c>
      <c r="X230">
        <v>1.9E-2</v>
      </c>
      <c r="Y230">
        <v>6.2E-2</v>
      </c>
      <c r="Z230" t="s">
        <v>421</v>
      </c>
      <c r="AA230" t="s">
        <v>130</v>
      </c>
      <c r="AB230" t="s">
        <v>130</v>
      </c>
      <c r="AC230" t="s">
        <v>130</v>
      </c>
    </row>
    <row r="231" spans="1:29" ht="15" customHeight="1" x14ac:dyDescent="0.35">
      <c r="A231" s="2" t="s">
        <v>597</v>
      </c>
      <c r="B231" s="1" t="s">
        <v>46</v>
      </c>
      <c r="C231" s="1">
        <v>45893</v>
      </c>
      <c r="D231" s="1" t="s">
        <v>115</v>
      </c>
      <c r="E231" s="10">
        <v>45531</v>
      </c>
      <c r="F231" s="10"/>
      <c r="G231" s="94"/>
      <c r="H231" t="s">
        <v>130</v>
      </c>
      <c r="I231" t="s">
        <v>130</v>
      </c>
      <c r="J231" t="s">
        <v>130</v>
      </c>
      <c r="K231" t="s">
        <v>130</v>
      </c>
      <c r="L231" t="s">
        <v>130</v>
      </c>
      <c r="M231" t="s">
        <v>130</v>
      </c>
      <c r="N231" t="s">
        <v>130</v>
      </c>
      <c r="O231" t="s">
        <v>130</v>
      </c>
      <c r="P231" t="s">
        <v>130</v>
      </c>
      <c r="Q231" t="s">
        <v>130</v>
      </c>
      <c r="R231">
        <v>88.3</v>
      </c>
      <c r="S231">
        <v>3.5</v>
      </c>
      <c r="T231" t="s">
        <v>130</v>
      </c>
      <c r="U231">
        <v>1.5840000000000001</v>
      </c>
      <c r="V231">
        <v>1.6E-2</v>
      </c>
      <c r="Y231" t="s">
        <v>130</v>
      </c>
      <c r="AA231">
        <v>871.7</v>
      </c>
      <c r="AB231">
        <v>10.4</v>
      </c>
      <c r="AC231" t="s">
        <v>130</v>
      </c>
    </row>
    <row r="232" spans="1:29" ht="15" customHeight="1" x14ac:dyDescent="0.35">
      <c r="A232" s="2" t="s">
        <v>598</v>
      </c>
      <c r="B232" s="1" t="s">
        <v>51</v>
      </c>
      <c r="C232" s="1">
        <v>45681</v>
      </c>
      <c r="D232" s="1" t="s">
        <v>115</v>
      </c>
      <c r="E232" s="10">
        <v>45532</v>
      </c>
      <c r="F232" s="10">
        <v>45320</v>
      </c>
      <c r="G232" s="94">
        <v>45352</v>
      </c>
      <c r="H232" t="s">
        <v>130</v>
      </c>
      <c r="I232" t="s">
        <v>130</v>
      </c>
      <c r="J232" t="s">
        <v>130</v>
      </c>
      <c r="K232" t="s">
        <v>130</v>
      </c>
      <c r="L232" t="s">
        <v>130</v>
      </c>
      <c r="M232" t="s">
        <v>130</v>
      </c>
      <c r="N232" t="s">
        <v>130</v>
      </c>
      <c r="O232" t="s">
        <v>130</v>
      </c>
      <c r="P232" t="s">
        <v>130</v>
      </c>
      <c r="Q232" t="s">
        <v>130</v>
      </c>
      <c r="R232">
        <v>58.6</v>
      </c>
      <c r="S232">
        <v>3.5</v>
      </c>
      <c r="T232" t="s">
        <v>130</v>
      </c>
      <c r="U232">
        <v>0.81799999999999995</v>
      </c>
      <c r="V232">
        <v>2.8000000000000001E-2</v>
      </c>
      <c r="Y232" t="s">
        <v>130</v>
      </c>
      <c r="AA232">
        <v>621.6</v>
      </c>
      <c r="AB232">
        <v>10.4</v>
      </c>
      <c r="AC232" t="s">
        <v>130</v>
      </c>
    </row>
    <row r="233" spans="1:29" ht="15" customHeight="1" x14ac:dyDescent="0.35">
      <c r="A233" s="2" t="s">
        <v>599</v>
      </c>
      <c r="B233" s="1" t="s">
        <v>51</v>
      </c>
      <c r="C233" s="1" t="s">
        <v>109</v>
      </c>
      <c r="D233" s="1" t="s">
        <v>116</v>
      </c>
      <c r="E233" s="10">
        <v>45533</v>
      </c>
      <c r="F233" s="10">
        <v>45320</v>
      </c>
      <c r="G233" s="94">
        <v>45352</v>
      </c>
      <c r="H233">
        <v>0.67100000000000004</v>
      </c>
      <c r="I233">
        <v>0.13</v>
      </c>
      <c r="J233" t="s">
        <v>409</v>
      </c>
      <c r="K233" t="s">
        <v>130</v>
      </c>
      <c r="L233">
        <v>0.13</v>
      </c>
      <c r="M233">
        <v>1.2999999999999999E-2</v>
      </c>
      <c r="N233" t="s">
        <v>409</v>
      </c>
      <c r="O233">
        <v>4.3999999999999997E-2</v>
      </c>
      <c r="P233">
        <v>0.35899999999999999</v>
      </c>
      <c r="Q233" t="s">
        <v>421</v>
      </c>
      <c r="R233" t="s">
        <v>130</v>
      </c>
      <c r="S233" t="s">
        <v>130</v>
      </c>
      <c r="T233" t="s">
        <v>130</v>
      </c>
      <c r="U233" t="s">
        <v>130</v>
      </c>
      <c r="V233" t="s">
        <v>130</v>
      </c>
      <c r="X233">
        <v>1.6E-2</v>
      </c>
      <c r="Y233">
        <v>4.5999999999999999E-2</v>
      </c>
      <c r="Z233" t="s">
        <v>421</v>
      </c>
      <c r="AA233" t="s">
        <v>130</v>
      </c>
      <c r="AB233" t="s">
        <v>130</v>
      </c>
      <c r="AC233" t="s">
        <v>130</v>
      </c>
    </row>
    <row r="234" spans="1:29" ht="15" customHeight="1" x14ac:dyDescent="0.35">
      <c r="A234" s="2" t="s">
        <v>600</v>
      </c>
      <c r="B234" s="1" t="s">
        <v>51</v>
      </c>
      <c r="C234" s="1">
        <v>45771</v>
      </c>
      <c r="D234" s="1" t="s">
        <v>116</v>
      </c>
      <c r="E234" s="10">
        <v>45534</v>
      </c>
      <c r="F234" s="10">
        <v>45619</v>
      </c>
      <c r="G234" s="94">
        <v>45737</v>
      </c>
      <c r="H234">
        <v>6.0999999999999999E-2</v>
      </c>
      <c r="I234">
        <v>0.13</v>
      </c>
      <c r="J234" t="s">
        <v>421</v>
      </c>
      <c r="K234" t="s">
        <v>130</v>
      </c>
      <c r="L234">
        <v>1.4E-2</v>
      </c>
      <c r="M234">
        <v>1.2999999999999999E-2</v>
      </c>
      <c r="N234" t="s">
        <v>409</v>
      </c>
      <c r="O234">
        <v>0.35399999999999998</v>
      </c>
      <c r="P234">
        <v>0.17899999999999999</v>
      </c>
      <c r="Q234" t="s">
        <v>409</v>
      </c>
      <c r="R234" t="s">
        <v>130</v>
      </c>
      <c r="S234" t="s">
        <v>130</v>
      </c>
      <c r="T234" t="s">
        <v>130</v>
      </c>
      <c r="U234" t="s">
        <v>130</v>
      </c>
      <c r="V234" t="s">
        <v>130</v>
      </c>
      <c r="X234" t="s">
        <v>467</v>
      </c>
      <c r="Y234">
        <v>4.5999999999999999E-2</v>
      </c>
      <c r="Z234" t="s">
        <v>468</v>
      </c>
      <c r="AA234" t="s">
        <v>130</v>
      </c>
      <c r="AB234" t="s">
        <v>130</v>
      </c>
      <c r="AC234" t="s">
        <v>130</v>
      </c>
    </row>
    <row r="235" spans="1:29" ht="15" customHeight="1" x14ac:dyDescent="0.35">
      <c r="A235" s="2" t="s">
        <v>601</v>
      </c>
      <c r="B235" s="1" t="s">
        <v>51</v>
      </c>
      <c r="C235" s="1">
        <v>45771</v>
      </c>
      <c r="D235" s="1" t="s">
        <v>115</v>
      </c>
      <c r="E235" s="10">
        <v>45535</v>
      </c>
      <c r="F235" s="10"/>
      <c r="G235" s="94"/>
      <c r="H235" t="s">
        <v>130</v>
      </c>
      <c r="I235" t="s">
        <v>130</v>
      </c>
      <c r="J235" t="s">
        <v>130</v>
      </c>
      <c r="K235" t="s">
        <v>130</v>
      </c>
      <c r="L235" t="s">
        <v>130</v>
      </c>
      <c r="M235" t="s">
        <v>130</v>
      </c>
      <c r="N235" t="s">
        <v>130</v>
      </c>
      <c r="O235" t="s">
        <v>130</v>
      </c>
      <c r="P235" t="s">
        <v>130</v>
      </c>
      <c r="Q235" t="s">
        <v>130</v>
      </c>
      <c r="R235">
        <v>57.9</v>
      </c>
      <c r="S235">
        <v>3.5</v>
      </c>
      <c r="T235" t="s">
        <v>130</v>
      </c>
      <c r="U235">
        <v>0.45800000000000002</v>
      </c>
      <c r="V235">
        <v>1.4999999999999999E-2</v>
      </c>
      <c r="Y235" t="s">
        <v>130</v>
      </c>
      <c r="AA235">
        <v>799.7</v>
      </c>
      <c r="AB235">
        <v>10.4</v>
      </c>
      <c r="AC235" t="s">
        <v>130</v>
      </c>
    </row>
    <row r="236" spans="1:29" ht="15" customHeight="1" x14ac:dyDescent="0.35">
      <c r="A236" s="2" t="s">
        <v>601</v>
      </c>
      <c r="B236" s="1" t="s">
        <v>51</v>
      </c>
      <c r="C236" s="1">
        <v>45771</v>
      </c>
      <c r="D236" s="1" t="s">
        <v>115</v>
      </c>
      <c r="E236" s="10">
        <v>45536</v>
      </c>
      <c r="F236" s="10">
        <v>45619</v>
      </c>
      <c r="G236" s="94">
        <v>45737</v>
      </c>
      <c r="H236" t="s">
        <v>130</v>
      </c>
      <c r="I236" t="s">
        <v>130</v>
      </c>
      <c r="J236" t="s">
        <v>130</v>
      </c>
      <c r="K236" t="s">
        <v>130</v>
      </c>
      <c r="L236" t="s">
        <v>130</v>
      </c>
      <c r="M236" t="s">
        <v>130</v>
      </c>
      <c r="N236" t="s">
        <v>130</v>
      </c>
      <c r="O236" t="s">
        <v>130</v>
      </c>
      <c r="P236" t="s">
        <v>130</v>
      </c>
      <c r="Q236" t="s">
        <v>130</v>
      </c>
      <c r="R236">
        <v>57.9</v>
      </c>
      <c r="S236">
        <v>3.5</v>
      </c>
      <c r="T236" t="s">
        <v>130</v>
      </c>
      <c r="U236">
        <v>0.45800000000000002</v>
      </c>
      <c r="V236">
        <v>1.4999999999999999E-2</v>
      </c>
      <c r="Y236" t="s">
        <v>130</v>
      </c>
      <c r="AA236">
        <v>799.7</v>
      </c>
      <c r="AB236">
        <v>10.4</v>
      </c>
      <c r="AC236" t="s">
        <v>130</v>
      </c>
    </row>
    <row r="237" spans="1:29" ht="15" customHeight="1" x14ac:dyDescent="0.35">
      <c r="A237" s="2" t="s">
        <v>602</v>
      </c>
      <c r="B237" s="1" t="s">
        <v>51</v>
      </c>
      <c r="C237" s="1">
        <v>45893</v>
      </c>
      <c r="D237" s="1" t="s">
        <v>116</v>
      </c>
      <c r="E237" s="10">
        <v>45537</v>
      </c>
      <c r="F237" s="10"/>
      <c r="G237" s="94"/>
      <c r="H237">
        <v>0.20699999999999999</v>
      </c>
      <c r="I237">
        <v>0.13</v>
      </c>
      <c r="J237" t="s">
        <v>409</v>
      </c>
      <c r="K237" t="s">
        <v>130</v>
      </c>
      <c r="L237">
        <v>0.14299999999999999</v>
      </c>
      <c r="M237">
        <v>1.2999999999999999E-2</v>
      </c>
      <c r="N237" t="s">
        <v>409</v>
      </c>
      <c r="O237">
        <v>0.92900000000000005</v>
      </c>
      <c r="P237">
        <v>0.17899999999999999</v>
      </c>
      <c r="Q237" t="s">
        <v>409</v>
      </c>
      <c r="R237" t="s">
        <v>130</v>
      </c>
      <c r="S237" t="s">
        <v>130</v>
      </c>
      <c r="T237" t="s">
        <v>130</v>
      </c>
      <c r="U237" t="s">
        <v>130</v>
      </c>
      <c r="V237" t="s">
        <v>130</v>
      </c>
      <c r="X237">
        <v>1.0999999999999999E-2</v>
      </c>
      <c r="Y237">
        <v>4.5999999999999999E-2</v>
      </c>
      <c r="Z237" t="s">
        <v>421</v>
      </c>
      <c r="AA237" t="s">
        <v>130</v>
      </c>
      <c r="AB237" t="s">
        <v>130</v>
      </c>
      <c r="AC237" t="s">
        <v>130</v>
      </c>
    </row>
    <row r="238" spans="1:29" ht="15" customHeight="1" x14ac:dyDescent="0.35">
      <c r="A238" s="2" t="s">
        <v>603</v>
      </c>
      <c r="B238" s="1" t="s">
        <v>51</v>
      </c>
      <c r="C238" s="1">
        <v>45893</v>
      </c>
      <c r="D238" s="1" t="s">
        <v>115</v>
      </c>
      <c r="E238" s="10">
        <v>45538</v>
      </c>
      <c r="F238" s="10"/>
      <c r="G238" s="94"/>
      <c r="H238" t="s">
        <v>130</v>
      </c>
      <c r="I238" t="s">
        <v>130</v>
      </c>
      <c r="J238" t="s">
        <v>130</v>
      </c>
      <c r="K238" t="s">
        <v>130</v>
      </c>
      <c r="L238" t="s">
        <v>130</v>
      </c>
      <c r="M238" t="s">
        <v>130</v>
      </c>
      <c r="N238" t="s">
        <v>130</v>
      </c>
      <c r="O238" t="s">
        <v>130</v>
      </c>
      <c r="P238" t="s">
        <v>130</v>
      </c>
      <c r="Q238" t="s">
        <v>130</v>
      </c>
      <c r="R238">
        <v>79</v>
      </c>
      <c r="S238">
        <v>3.5</v>
      </c>
      <c r="T238" t="s">
        <v>130</v>
      </c>
      <c r="U238">
        <v>0.53800000000000003</v>
      </c>
      <c r="V238">
        <v>1.4999999999999999E-2</v>
      </c>
      <c r="Y238" t="s">
        <v>130</v>
      </c>
      <c r="AA238">
        <v>883.3</v>
      </c>
      <c r="AB238">
        <v>10.4</v>
      </c>
      <c r="AC238" t="s">
        <v>130</v>
      </c>
    </row>
    <row r="239" spans="1:29" ht="15" customHeight="1" x14ac:dyDescent="0.35">
      <c r="A239" s="2" t="s">
        <v>604</v>
      </c>
      <c r="B239" s="1" t="s">
        <v>52</v>
      </c>
      <c r="C239" s="1">
        <v>45681</v>
      </c>
      <c r="D239" s="1" t="s">
        <v>115</v>
      </c>
      <c r="E239" s="10">
        <v>45539</v>
      </c>
      <c r="F239" s="10">
        <v>45320</v>
      </c>
      <c r="G239" s="94">
        <v>45352</v>
      </c>
      <c r="H239" t="s">
        <v>130</v>
      </c>
      <c r="I239" t="s">
        <v>130</v>
      </c>
      <c r="J239" t="s">
        <v>130</v>
      </c>
      <c r="K239" t="s">
        <v>130</v>
      </c>
      <c r="L239" t="s">
        <v>130</v>
      </c>
      <c r="M239" t="s">
        <v>130</v>
      </c>
      <c r="N239" t="s">
        <v>130</v>
      </c>
      <c r="O239" t="s">
        <v>130</v>
      </c>
      <c r="P239" t="s">
        <v>130</v>
      </c>
      <c r="Q239" t="s">
        <v>130</v>
      </c>
      <c r="R239">
        <v>62.6</v>
      </c>
      <c r="S239">
        <v>3.5</v>
      </c>
      <c r="T239" t="s">
        <v>130</v>
      </c>
      <c r="U239">
        <v>0.42599999999999999</v>
      </c>
      <c r="V239">
        <v>2.8000000000000001E-2</v>
      </c>
      <c r="Y239" t="s">
        <v>130</v>
      </c>
      <c r="AA239">
        <v>784.9</v>
      </c>
      <c r="AB239">
        <v>10.4</v>
      </c>
      <c r="AC239" t="s">
        <v>130</v>
      </c>
    </row>
    <row r="240" spans="1:29" ht="15" customHeight="1" x14ac:dyDescent="0.35">
      <c r="A240" s="2" t="s">
        <v>605</v>
      </c>
      <c r="B240" s="1" t="s">
        <v>52</v>
      </c>
      <c r="C240" s="1">
        <v>45771</v>
      </c>
      <c r="D240" s="1" t="s">
        <v>116</v>
      </c>
      <c r="E240" s="10">
        <v>45540</v>
      </c>
      <c r="F240" s="10">
        <v>45619</v>
      </c>
      <c r="G240" s="94">
        <v>45737</v>
      </c>
      <c r="H240">
        <v>0.214</v>
      </c>
      <c r="I240">
        <v>0.13</v>
      </c>
      <c r="J240" t="s">
        <v>409</v>
      </c>
      <c r="K240" t="s">
        <v>130</v>
      </c>
      <c r="L240">
        <v>4.9000000000000002E-2</v>
      </c>
      <c r="M240">
        <v>1.2999999999999999E-2</v>
      </c>
      <c r="N240" t="s">
        <v>409</v>
      </c>
      <c r="O240">
        <v>1.02</v>
      </c>
      <c r="P240">
        <v>0.17899999999999999</v>
      </c>
      <c r="Q240" t="s">
        <v>130</v>
      </c>
      <c r="R240" t="s">
        <v>130</v>
      </c>
      <c r="S240" t="s">
        <v>130</v>
      </c>
      <c r="T240" t="s">
        <v>130</v>
      </c>
      <c r="U240" t="s">
        <v>130</v>
      </c>
      <c r="V240" t="s">
        <v>130</v>
      </c>
      <c r="X240">
        <v>8.0000000000000002E-3</v>
      </c>
      <c r="Y240">
        <v>4.5999999999999999E-2</v>
      </c>
      <c r="Z240" t="s">
        <v>421</v>
      </c>
      <c r="AA240" t="s">
        <v>130</v>
      </c>
      <c r="AB240" t="s">
        <v>130</v>
      </c>
      <c r="AC240" t="s">
        <v>130</v>
      </c>
    </row>
    <row r="241" spans="1:29" ht="15" customHeight="1" x14ac:dyDescent="0.35">
      <c r="A241" s="2" t="s">
        <v>606</v>
      </c>
      <c r="B241" s="1" t="s">
        <v>52</v>
      </c>
      <c r="C241" s="1">
        <v>45771</v>
      </c>
      <c r="D241" s="1" t="s">
        <v>115</v>
      </c>
      <c r="E241" s="10">
        <v>45541</v>
      </c>
      <c r="F241" s="10"/>
      <c r="G241" s="94"/>
      <c r="H241" t="s">
        <v>130</v>
      </c>
      <c r="I241" t="s">
        <v>130</v>
      </c>
      <c r="J241" t="s">
        <v>130</v>
      </c>
      <c r="K241" t="s">
        <v>130</v>
      </c>
      <c r="L241" t="s">
        <v>130</v>
      </c>
      <c r="M241" t="s">
        <v>130</v>
      </c>
      <c r="N241" t="s">
        <v>130</v>
      </c>
      <c r="O241" t="s">
        <v>130</v>
      </c>
      <c r="P241" t="s">
        <v>130</v>
      </c>
      <c r="Q241" t="s">
        <v>130</v>
      </c>
      <c r="R241">
        <v>45.7</v>
      </c>
      <c r="S241">
        <v>3.5</v>
      </c>
      <c r="T241" t="s">
        <v>130</v>
      </c>
      <c r="U241">
        <v>0.36899999999999999</v>
      </c>
      <c r="V241">
        <v>1.4999999999999999E-2</v>
      </c>
      <c r="Y241" t="s">
        <v>130</v>
      </c>
      <c r="AA241">
        <v>520.6</v>
      </c>
      <c r="AB241">
        <v>10.4</v>
      </c>
      <c r="AC241" t="s">
        <v>130</v>
      </c>
    </row>
    <row r="242" spans="1:29" ht="15" customHeight="1" x14ac:dyDescent="0.35">
      <c r="A242" s="2" t="s">
        <v>606</v>
      </c>
      <c r="B242" s="1" t="s">
        <v>52</v>
      </c>
      <c r="C242" s="1">
        <v>45771</v>
      </c>
      <c r="D242" s="1" t="s">
        <v>115</v>
      </c>
      <c r="E242" s="10">
        <v>45542</v>
      </c>
      <c r="F242" s="10">
        <v>45619</v>
      </c>
      <c r="G242" s="94">
        <v>45737</v>
      </c>
      <c r="H242" t="s">
        <v>130</v>
      </c>
      <c r="I242" t="s">
        <v>130</v>
      </c>
      <c r="J242" t="s">
        <v>130</v>
      </c>
      <c r="K242" t="s">
        <v>130</v>
      </c>
      <c r="L242" t="s">
        <v>130</v>
      </c>
      <c r="M242" t="s">
        <v>130</v>
      </c>
      <c r="N242" t="s">
        <v>130</v>
      </c>
      <c r="O242" t="s">
        <v>130</v>
      </c>
      <c r="P242" t="s">
        <v>130</v>
      </c>
      <c r="Q242" t="s">
        <v>130</v>
      </c>
      <c r="R242">
        <v>45.7</v>
      </c>
      <c r="S242">
        <v>3.5</v>
      </c>
      <c r="T242" t="s">
        <v>130</v>
      </c>
      <c r="U242">
        <v>0.36899999999999999</v>
      </c>
      <c r="V242">
        <v>1.4999999999999999E-2</v>
      </c>
      <c r="Y242" t="s">
        <v>130</v>
      </c>
      <c r="AA242">
        <v>520.6</v>
      </c>
      <c r="AB242">
        <v>10.4</v>
      </c>
      <c r="AC242" t="s">
        <v>130</v>
      </c>
    </row>
    <row r="243" spans="1:29" ht="15" customHeight="1" x14ac:dyDescent="0.35">
      <c r="A243" s="2" t="s">
        <v>607</v>
      </c>
      <c r="B243" s="1" t="s">
        <v>52</v>
      </c>
      <c r="C243" s="1">
        <v>45893</v>
      </c>
      <c r="D243" s="1" t="s">
        <v>116</v>
      </c>
      <c r="E243" s="10">
        <v>45543</v>
      </c>
      <c r="F243" s="10"/>
      <c r="G243" s="94"/>
      <c r="H243">
        <v>0.56999999999999995</v>
      </c>
      <c r="I243">
        <v>0.13</v>
      </c>
      <c r="J243" t="s">
        <v>409</v>
      </c>
      <c r="K243" t="s">
        <v>130</v>
      </c>
      <c r="L243">
        <v>0.127</v>
      </c>
      <c r="M243">
        <v>1.2999999999999999E-2</v>
      </c>
      <c r="N243" t="s">
        <v>409</v>
      </c>
      <c r="O243">
        <v>2.2200000000000002</v>
      </c>
      <c r="P243">
        <v>0.17899999999999999</v>
      </c>
      <c r="Q243" t="s">
        <v>130</v>
      </c>
      <c r="R243" t="s">
        <v>130</v>
      </c>
      <c r="S243" t="s">
        <v>130</v>
      </c>
      <c r="T243" t="s">
        <v>130</v>
      </c>
      <c r="U243" t="s">
        <v>130</v>
      </c>
      <c r="V243" t="s">
        <v>130</v>
      </c>
      <c r="X243">
        <v>1.7999999999999999E-2</v>
      </c>
      <c r="Y243">
        <v>4.5999999999999999E-2</v>
      </c>
      <c r="Z243" t="s">
        <v>421</v>
      </c>
      <c r="AA243" t="s">
        <v>130</v>
      </c>
      <c r="AB243" t="s">
        <v>130</v>
      </c>
      <c r="AC243" t="s">
        <v>130</v>
      </c>
    </row>
    <row r="244" spans="1:29" ht="15" customHeight="1" x14ac:dyDescent="0.35">
      <c r="A244" s="2" t="s">
        <v>608</v>
      </c>
      <c r="B244" s="1" t="s">
        <v>52</v>
      </c>
      <c r="C244" s="1">
        <v>45893</v>
      </c>
      <c r="D244" s="1" t="s">
        <v>115</v>
      </c>
      <c r="E244" s="10">
        <v>45544</v>
      </c>
      <c r="F244" s="10"/>
      <c r="G244" s="94"/>
      <c r="H244" t="s">
        <v>130</v>
      </c>
      <c r="I244" t="s">
        <v>130</v>
      </c>
      <c r="J244" t="s">
        <v>130</v>
      </c>
      <c r="K244" t="s">
        <v>130</v>
      </c>
      <c r="L244" t="s">
        <v>130</v>
      </c>
      <c r="M244" t="s">
        <v>130</v>
      </c>
      <c r="N244" t="s">
        <v>130</v>
      </c>
      <c r="O244" t="s">
        <v>130</v>
      </c>
      <c r="P244" t="s">
        <v>130</v>
      </c>
      <c r="Q244" t="s">
        <v>130</v>
      </c>
      <c r="R244">
        <v>51.2</v>
      </c>
      <c r="S244">
        <v>3.5</v>
      </c>
      <c r="T244" t="s">
        <v>130</v>
      </c>
      <c r="U244">
        <v>0.96899999999999997</v>
      </c>
      <c r="V244">
        <v>1.4999999999999999E-2</v>
      </c>
      <c r="Y244" t="s">
        <v>130</v>
      </c>
      <c r="AA244">
        <v>663.8</v>
      </c>
      <c r="AB244">
        <v>10.4</v>
      </c>
      <c r="AC244" t="s">
        <v>130</v>
      </c>
    </row>
    <row r="245" spans="1:29" ht="15" customHeight="1" x14ac:dyDescent="0.35">
      <c r="A245" s="96" t="s">
        <v>523</v>
      </c>
      <c r="B245" s="1" t="s">
        <v>43</v>
      </c>
      <c r="C245" s="1">
        <v>45681</v>
      </c>
      <c r="E245" s="97">
        <v>45297</v>
      </c>
      <c r="F245" s="10"/>
      <c r="H245" s="102" t="s">
        <v>130</v>
      </c>
      <c r="I245" s="103" t="s">
        <v>130</v>
      </c>
      <c r="J245" s="104" t="s">
        <v>130</v>
      </c>
      <c r="K245" s="105" t="s">
        <v>130</v>
      </c>
      <c r="L245" s="102" t="s">
        <v>130</v>
      </c>
      <c r="M245" s="103" t="s">
        <v>130</v>
      </c>
      <c r="N245" s="104" t="s">
        <v>130</v>
      </c>
      <c r="O245" s="102" t="s">
        <v>130</v>
      </c>
      <c r="P245" s="103" t="s">
        <v>130</v>
      </c>
      <c r="Q245" s="104" t="s">
        <v>130</v>
      </c>
      <c r="R245" s="106">
        <v>37.857142857142861</v>
      </c>
      <c r="S245" s="107">
        <v>3.4591925552163576</v>
      </c>
      <c r="T245" s="100" t="s">
        <v>130</v>
      </c>
      <c r="U245" s="98">
        <v>0.61799999999999999</v>
      </c>
      <c r="V245" s="99">
        <v>2.7749990667804949E-2</v>
      </c>
      <c r="W245" s="100" t="s">
        <v>637</v>
      </c>
      <c r="X245" s="102"/>
      <c r="Y245" s="103"/>
      <c r="Z245" s="104"/>
      <c r="AA245" s="106">
        <v>501.1</v>
      </c>
      <c r="AB245" s="108">
        <v>10.4</v>
      </c>
      <c r="AC245" s="100" t="s">
        <v>637</v>
      </c>
    </row>
    <row r="246" spans="1:29" ht="15" customHeight="1" x14ac:dyDescent="0.35">
      <c r="A246" s="96" t="s">
        <v>471</v>
      </c>
      <c r="B246" s="1" t="s">
        <v>42</v>
      </c>
      <c r="C246" s="1">
        <v>45681</v>
      </c>
      <c r="E246" s="97">
        <v>45297</v>
      </c>
      <c r="F246" s="10"/>
      <c r="H246" s="102" t="s">
        <v>130</v>
      </c>
      <c r="I246" s="103" t="s">
        <v>130</v>
      </c>
      <c r="J246" s="104" t="s">
        <v>130</v>
      </c>
      <c r="K246" s="105" t="s">
        <v>130</v>
      </c>
      <c r="L246" s="102" t="s">
        <v>130</v>
      </c>
      <c r="M246" s="103" t="s">
        <v>130</v>
      </c>
      <c r="N246" s="104" t="s">
        <v>130</v>
      </c>
      <c r="O246" s="102" t="s">
        <v>130</v>
      </c>
      <c r="P246" s="103" t="s">
        <v>130</v>
      </c>
      <c r="Q246" s="104" t="s">
        <v>130</v>
      </c>
      <c r="R246" s="106">
        <v>40.476190476190482</v>
      </c>
      <c r="S246" s="107">
        <v>3.4591925552163576</v>
      </c>
      <c r="T246" s="100" t="s">
        <v>130</v>
      </c>
      <c r="U246" s="98">
        <v>0.77</v>
      </c>
      <c r="V246" s="99">
        <v>2.7749990667804949E-2</v>
      </c>
      <c r="W246" s="100" t="s">
        <v>637</v>
      </c>
      <c r="X246" s="102"/>
      <c r="Y246" s="103"/>
      <c r="Z246" s="104"/>
      <c r="AA246" s="106">
        <v>701.7</v>
      </c>
      <c r="AB246" s="108">
        <v>10.4</v>
      </c>
      <c r="AC246" s="100" t="s">
        <v>637</v>
      </c>
    </row>
    <row r="247" spans="1:29" ht="15" customHeight="1" x14ac:dyDescent="0.35">
      <c r="A247" s="96" t="s">
        <v>536</v>
      </c>
      <c r="B247" s="1" t="s">
        <v>48</v>
      </c>
      <c r="C247" s="1">
        <v>45681</v>
      </c>
      <c r="E247" s="97">
        <v>45297</v>
      </c>
      <c r="F247" s="10"/>
      <c r="H247" s="102" t="s">
        <v>130</v>
      </c>
      <c r="I247" s="103" t="s">
        <v>130</v>
      </c>
      <c r="J247" s="104" t="s">
        <v>130</v>
      </c>
      <c r="K247" s="105" t="s">
        <v>130</v>
      </c>
      <c r="L247" s="102" t="s">
        <v>130</v>
      </c>
      <c r="M247" s="103" t="s">
        <v>130</v>
      </c>
      <c r="N247" s="104" t="s">
        <v>130</v>
      </c>
      <c r="O247" s="102" t="s">
        <v>130</v>
      </c>
      <c r="P247" s="103" t="s">
        <v>130</v>
      </c>
      <c r="Q247" s="104" t="s">
        <v>130</v>
      </c>
      <c r="R247" s="106">
        <v>39.523809523809526</v>
      </c>
      <c r="S247" s="107">
        <v>3.4591925552163576</v>
      </c>
      <c r="T247" s="100" t="s">
        <v>130</v>
      </c>
      <c r="U247" s="98">
        <v>0.69</v>
      </c>
      <c r="V247" s="99">
        <v>2.7749990667804949E-2</v>
      </c>
      <c r="W247" s="100" t="s">
        <v>637</v>
      </c>
      <c r="X247" s="102"/>
      <c r="Y247" s="103"/>
      <c r="Z247" s="104"/>
      <c r="AA247" s="106">
        <v>483.5</v>
      </c>
      <c r="AB247" s="108">
        <v>10.4</v>
      </c>
      <c r="AC247" s="100" t="s">
        <v>637</v>
      </c>
    </row>
    <row r="248" spans="1:29" ht="15" customHeight="1" x14ac:dyDescent="0.35">
      <c r="A248" s="96" t="s">
        <v>431</v>
      </c>
      <c r="B248" s="1" t="s">
        <v>55</v>
      </c>
      <c r="C248" s="1">
        <v>45681</v>
      </c>
      <c r="E248" s="97">
        <v>45297</v>
      </c>
      <c r="F248" s="10"/>
      <c r="H248" s="102" t="s">
        <v>130</v>
      </c>
      <c r="I248" s="103" t="s">
        <v>130</v>
      </c>
      <c r="J248" s="104" t="s">
        <v>130</v>
      </c>
      <c r="K248" s="105" t="s">
        <v>130</v>
      </c>
      <c r="L248" s="102" t="s">
        <v>130</v>
      </c>
      <c r="M248" s="103" t="s">
        <v>130</v>
      </c>
      <c r="N248" s="104" t="s">
        <v>130</v>
      </c>
      <c r="O248" s="102" t="s">
        <v>130</v>
      </c>
      <c r="P248" s="103" t="s">
        <v>130</v>
      </c>
      <c r="Q248" s="104" t="s">
        <v>130</v>
      </c>
      <c r="R248" s="106">
        <v>20.952380952380956</v>
      </c>
      <c r="S248" s="107">
        <v>3.4591925552163576</v>
      </c>
      <c r="T248" s="100" t="s">
        <v>130</v>
      </c>
      <c r="U248" s="98">
        <v>0.50700000000000001</v>
      </c>
      <c r="V248" s="99">
        <v>2.7749990667804949E-2</v>
      </c>
      <c r="W248" s="100" t="s">
        <v>637</v>
      </c>
      <c r="X248" s="102"/>
      <c r="Y248" s="103"/>
      <c r="Z248" s="104"/>
      <c r="AA248" s="106">
        <v>325.7</v>
      </c>
      <c r="AB248" s="108">
        <v>10.4</v>
      </c>
      <c r="AC248" s="100" t="s">
        <v>637</v>
      </c>
    </row>
    <row r="249" spans="1:29" ht="15" customHeight="1" x14ac:dyDescent="0.35">
      <c r="A249" s="96" t="s">
        <v>477</v>
      </c>
      <c r="B249" s="1" t="s">
        <v>54</v>
      </c>
      <c r="C249" s="1">
        <v>45681</v>
      </c>
      <c r="E249" s="97">
        <v>45297</v>
      </c>
      <c r="F249" s="10"/>
      <c r="H249" s="102" t="s">
        <v>130</v>
      </c>
      <c r="I249" s="103" t="s">
        <v>130</v>
      </c>
      <c r="J249" s="104" t="s">
        <v>130</v>
      </c>
      <c r="K249" s="105" t="s">
        <v>130</v>
      </c>
      <c r="L249" s="102" t="s">
        <v>130</v>
      </c>
      <c r="M249" s="103" t="s">
        <v>130</v>
      </c>
      <c r="N249" s="104" t="s">
        <v>130</v>
      </c>
      <c r="O249" s="102" t="s">
        <v>130</v>
      </c>
      <c r="P249" s="103" t="s">
        <v>130</v>
      </c>
      <c r="Q249" s="104" t="s">
        <v>130</v>
      </c>
      <c r="R249" s="106">
        <v>20.238095238095241</v>
      </c>
      <c r="S249" s="107">
        <v>3.4591925552163576</v>
      </c>
      <c r="T249" s="100" t="s">
        <v>130</v>
      </c>
      <c r="U249" s="98">
        <v>0.34599999999999997</v>
      </c>
      <c r="V249" s="99">
        <v>2.7749990667804949E-2</v>
      </c>
      <c r="W249" s="100" t="s">
        <v>637</v>
      </c>
      <c r="X249" s="102"/>
      <c r="Y249" s="103"/>
      <c r="Z249" s="104"/>
      <c r="AA249" s="106">
        <v>286.8</v>
      </c>
      <c r="AB249" s="108">
        <v>10.4</v>
      </c>
      <c r="AC249" s="100" t="s">
        <v>637</v>
      </c>
    </row>
    <row r="250" spans="1:29" ht="15" customHeight="1" x14ac:dyDescent="0.35">
      <c r="A250" s="96" t="s">
        <v>569</v>
      </c>
      <c r="B250" s="1" t="s">
        <v>638</v>
      </c>
      <c r="C250" s="1">
        <v>45681</v>
      </c>
      <c r="E250" s="97">
        <v>45297</v>
      </c>
      <c r="F250" s="10"/>
      <c r="H250" s="102" t="s">
        <v>130</v>
      </c>
      <c r="I250" s="103" t="s">
        <v>130</v>
      </c>
      <c r="J250" s="104" t="s">
        <v>130</v>
      </c>
      <c r="K250" s="105" t="s">
        <v>130</v>
      </c>
      <c r="L250" s="102" t="s">
        <v>130</v>
      </c>
      <c r="M250" s="103" t="s">
        <v>130</v>
      </c>
      <c r="N250" s="104" t="s">
        <v>130</v>
      </c>
      <c r="O250" s="102" t="s">
        <v>130</v>
      </c>
      <c r="P250" s="103" t="s">
        <v>130</v>
      </c>
      <c r="Q250" s="104" t="s">
        <v>130</v>
      </c>
      <c r="R250" s="106">
        <v>46.190476190476183</v>
      </c>
      <c r="S250" s="107">
        <v>3.4591925552163576</v>
      </c>
      <c r="T250" s="100" t="s">
        <v>130</v>
      </c>
      <c r="U250" s="98">
        <v>0.33400000000000002</v>
      </c>
      <c r="V250" s="99">
        <v>2.7749990667804949E-2</v>
      </c>
      <c r="W250" s="100" t="s">
        <v>637</v>
      </c>
      <c r="X250" s="102"/>
      <c r="Y250" s="103"/>
      <c r="Z250" s="104"/>
      <c r="AA250" s="106">
        <v>559.79999999999995</v>
      </c>
      <c r="AB250" s="108">
        <v>10.4</v>
      </c>
      <c r="AC250" s="100" t="s">
        <v>637</v>
      </c>
    </row>
    <row r="251" spans="1:29" ht="15" customHeight="1" x14ac:dyDescent="0.35">
      <c r="A251" s="96" t="s">
        <v>503</v>
      </c>
      <c r="B251" s="1" t="s">
        <v>37</v>
      </c>
      <c r="C251" s="1">
        <v>45681</v>
      </c>
      <c r="E251" s="97">
        <v>45298</v>
      </c>
      <c r="F251" s="10"/>
      <c r="H251" s="102" t="s">
        <v>130</v>
      </c>
      <c r="I251" s="103" t="s">
        <v>130</v>
      </c>
      <c r="J251" s="104" t="s">
        <v>130</v>
      </c>
      <c r="K251" s="105" t="s">
        <v>130</v>
      </c>
      <c r="L251" s="102" t="s">
        <v>130</v>
      </c>
      <c r="M251" s="103" t="s">
        <v>130</v>
      </c>
      <c r="N251" s="104" t="s">
        <v>130</v>
      </c>
      <c r="O251" s="102" t="s">
        <v>130</v>
      </c>
      <c r="P251" s="103" t="s">
        <v>130</v>
      </c>
      <c r="Q251" s="104" t="s">
        <v>130</v>
      </c>
      <c r="R251" s="106">
        <v>66.666666666666671</v>
      </c>
      <c r="S251" s="107">
        <v>3.4591925552163576</v>
      </c>
      <c r="T251" s="100" t="s">
        <v>130</v>
      </c>
      <c r="U251" s="98">
        <v>0.64500000000000002</v>
      </c>
      <c r="V251" s="99">
        <v>3.0848075583916043E-2</v>
      </c>
      <c r="W251" s="100" t="s">
        <v>637</v>
      </c>
      <c r="X251" s="102"/>
      <c r="Y251" s="103"/>
      <c r="Z251" s="104"/>
      <c r="AA251" s="109">
        <v>1107</v>
      </c>
      <c r="AB251" s="108">
        <v>10.4</v>
      </c>
      <c r="AC251" s="100" t="s">
        <v>637</v>
      </c>
    </row>
    <row r="252" spans="1:29" ht="15" customHeight="1" x14ac:dyDescent="0.35">
      <c r="A252" s="96" t="s">
        <v>493</v>
      </c>
      <c r="B252" s="1" t="s">
        <v>35</v>
      </c>
      <c r="C252" s="1">
        <v>45681</v>
      </c>
      <c r="E252" s="97">
        <v>45298</v>
      </c>
      <c r="F252" s="10"/>
      <c r="H252" s="102" t="s">
        <v>130</v>
      </c>
      <c r="I252" s="103" t="s">
        <v>130</v>
      </c>
      <c r="J252" s="104" t="s">
        <v>130</v>
      </c>
      <c r="K252" s="105" t="s">
        <v>130</v>
      </c>
      <c r="L252" s="102" t="s">
        <v>130</v>
      </c>
      <c r="M252" s="103" t="s">
        <v>130</v>
      </c>
      <c r="N252" s="104" t="s">
        <v>130</v>
      </c>
      <c r="O252" s="102" t="s">
        <v>130</v>
      </c>
      <c r="P252" s="103" t="s">
        <v>130</v>
      </c>
      <c r="Q252" s="104" t="s">
        <v>130</v>
      </c>
      <c r="R252" s="106">
        <v>62.857142857142854</v>
      </c>
      <c r="S252" s="107">
        <v>3.4591925552163576</v>
      </c>
      <c r="T252" s="100" t="s">
        <v>130</v>
      </c>
      <c r="U252" s="98">
        <v>0.63600000000000001</v>
      </c>
      <c r="V252" s="99">
        <v>3.0848075583916043E-2</v>
      </c>
      <c r="W252" s="100" t="s">
        <v>637</v>
      </c>
      <c r="X252" s="102"/>
      <c r="Y252" s="103"/>
      <c r="Z252" s="104"/>
      <c r="AA252" s="106">
        <v>900</v>
      </c>
      <c r="AB252" s="108">
        <v>10.4</v>
      </c>
      <c r="AC252" s="100" t="s">
        <v>637</v>
      </c>
    </row>
    <row r="253" spans="1:29" ht="15" customHeight="1" x14ac:dyDescent="0.35">
      <c r="A253" s="96" t="s">
        <v>498</v>
      </c>
      <c r="B253" s="1" t="s">
        <v>36</v>
      </c>
      <c r="C253" s="1">
        <v>45681</v>
      </c>
      <c r="E253" s="97">
        <v>45298</v>
      </c>
      <c r="F253" s="10"/>
      <c r="H253" s="102" t="s">
        <v>130</v>
      </c>
      <c r="I253" s="103" t="s">
        <v>130</v>
      </c>
      <c r="J253" s="104" t="s">
        <v>130</v>
      </c>
      <c r="K253" s="105" t="s">
        <v>130</v>
      </c>
      <c r="L253" s="102" t="s">
        <v>130</v>
      </c>
      <c r="M253" s="103" t="s">
        <v>130</v>
      </c>
      <c r="N253" s="104" t="s">
        <v>130</v>
      </c>
      <c r="O253" s="102" t="s">
        <v>130</v>
      </c>
      <c r="P253" s="103" t="s">
        <v>130</v>
      </c>
      <c r="Q253" s="104" t="s">
        <v>130</v>
      </c>
      <c r="R253" s="106">
        <v>60.476190476190474</v>
      </c>
      <c r="S253" s="107">
        <v>3.4591925552163576</v>
      </c>
      <c r="T253" s="100" t="s">
        <v>130</v>
      </c>
      <c r="U253" s="98">
        <v>0.77400000000000002</v>
      </c>
      <c r="V253" s="99">
        <v>3.0848075583916043E-2</v>
      </c>
      <c r="W253" s="100" t="s">
        <v>637</v>
      </c>
      <c r="X253" s="102"/>
      <c r="Y253" s="103"/>
      <c r="Z253" s="104"/>
      <c r="AA253" s="106">
        <v>860</v>
      </c>
      <c r="AB253" s="108">
        <v>10.4</v>
      </c>
      <c r="AC253" s="100" t="s">
        <v>637</v>
      </c>
    </row>
    <row r="254" spans="1:29" ht="15" customHeight="1" x14ac:dyDescent="0.35">
      <c r="A254" s="96" t="s">
        <v>485</v>
      </c>
      <c r="B254" s="1" t="s">
        <v>34</v>
      </c>
      <c r="C254" s="1">
        <v>45681</v>
      </c>
      <c r="E254" s="97">
        <v>45298</v>
      </c>
      <c r="F254" s="10"/>
      <c r="H254" s="102" t="s">
        <v>130</v>
      </c>
      <c r="I254" s="103" t="s">
        <v>130</v>
      </c>
      <c r="J254" s="104" t="s">
        <v>130</v>
      </c>
      <c r="K254" s="105" t="s">
        <v>130</v>
      </c>
      <c r="L254" s="102" t="s">
        <v>130</v>
      </c>
      <c r="M254" s="103" t="s">
        <v>130</v>
      </c>
      <c r="N254" s="104" t="s">
        <v>130</v>
      </c>
      <c r="O254" s="102" t="s">
        <v>130</v>
      </c>
      <c r="P254" s="103" t="s">
        <v>130</v>
      </c>
      <c r="Q254" s="104" t="s">
        <v>130</v>
      </c>
      <c r="R254" s="106">
        <v>65.238095238095241</v>
      </c>
      <c r="S254" s="107">
        <v>3.4591925552163576</v>
      </c>
      <c r="T254" s="100" t="s">
        <v>130</v>
      </c>
      <c r="U254" s="98">
        <v>0.97499999999999998</v>
      </c>
      <c r="V254" s="99">
        <v>3.0848075583916043E-2</v>
      </c>
      <c r="W254" s="100" t="s">
        <v>637</v>
      </c>
      <c r="X254" s="102"/>
      <c r="Y254" s="103"/>
      <c r="Z254" s="104"/>
      <c r="AA254" s="106">
        <v>901.7</v>
      </c>
      <c r="AB254" s="108">
        <v>10.4</v>
      </c>
      <c r="AC254" s="100" t="s">
        <v>637</v>
      </c>
    </row>
    <row r="255" spans="1:29" ht="15" customHeight="1" x14ac:dyDescent="0.35">
      <c r="A255" s="96" t="s">
        <v>565</v>
      </c>
      <c r="B255" s="1" t="s">
        <v>38</v>
      </c>
      <c r="C255" s="1">
        <v>45681</v>
      </c>
      <c r="E255" s="97">
        <v>45298</v>
      </c>
      <c r="F255" s="10"/>
      <c r="H255" s="102" t="s">
        <v>130</v>
      </c>
      <c r="I255" s="103" t="s">
        <v>130</v>
      </c>
      <c r="J255" s="104" t="s">
        <v>130</v>
      </c>
      <c r="K255" s="105" t="s">
        <v>130</v>
      </c>
      <c r="L255" s="102" t="s">
        <v>130</v>
      </c>
      <c r="M255" s="103" t="s">
        <v>130</v>
      </c>
      <c r="N255" s="104" t="s">
        <v>130</v>
      </c>
      <c r="O255" s="102" t="s">
        <v>130</v>
      </c>
      <c r="P255" s="103" t="s">
        <v>130</v>
      </c>
      <c r="Q255" s="104" t="s">
        <v>130</v>
      </c>
      <c r="R255" s="106">
        <v>56.428571428571431</v>
      </c>
      <c r="S255" s="107">
        <v>3.4591925552163576</v>
      </c>
      <c r="T255" s="100" t="s">
        <v>130</v>
      </c>
      <c r="U255" s="98">
        <v>0.98599999999999999</v>
      </c>
      <c r="V255" s="99">
        <v>3.0848075583916043E-2</v>
      </c>
      <c r="W255" s="100" t="s">
        <v>637</v>
      </c>
      <c r="X255" s="102"/>
      <c r="Y255" s="103"/>
      <c r="Z255" s="104"/>
      <c r="AA255" s="106">
        <v>999.2</v>
      </c>
      <c r="AB255" s="108">
        <v>10.4</v>
      </c>
      <c r="AC255" s="100" t="s">
        <v>637</v>
      </c>
    </row>
    <row r="256" spans="1:29" ht="15" customHeight="1" x14ac:dyDescent="0.35">
      <c r="A256" s="96" t="s">
        <v>542</v>
      </c>
      <c r="B256" s="1" t="s">
        <v>40</v>
      </c>
      <c r="C256" s="1">
        <v>45681</v>
      </c>
      <c r="E256" s="97">
        <v>45298</v>
      </c>
      <c r="F256" s="10"/>
      <c r="H256" s="102" t="s">
        <v>130</v>
      </c>
      <c r="I256" s="103" t="s">
        <v>130</v>
      </c>
      <c r="J256" s="104" t="s">
        <v>130</v>
      </c>
      <c r="K256" s="105" t="s">
        <v>130</v>
      </c>
      <c r="L256" s="102" t="s">
        <v>130</v>
      </c>
      <c r="M256" s="103" t="s">
        <v>130</v>
      </c>
      <c r="N256" s="104" t="s">
        <v>130</v>
      </c>
      <c r="O256" s="102" t="s">
        <v>130</v>
      </c>
      <c r="P256" s="103" t="s">
        <v>130</v>
      </c>
      <c r="Q256" s="104" t="s">
        <v>130</v>
      </c>
      <c r="R256" s="106">
        <v>61.428571428571423</v>
      </c>
      <c r="S256" s="107">
        <v>3.4591925552163576</v>
      </c>
      <c r="T256" s="100" t="s">
        <v>130</v>
      </c>
      <c r="U256" s="98">
        <v>0.79800000000000004</v>
      </c>
      <c r="V256" s="99">
        <v>3.0848075583916043E-2</v>
      </c>
      <c r="W256" s="100" t="s">
        <v>637</v>
      </c>
      <c r="X256" s="102"/>
      <c r="Y256" s="103"/>
      <c r="Z256" s="104"/>
      <c r="AA256" s="106">
        <v>834.2</v>
      </c>
      <c r="AB256" s="108">
        <v>10.4</v>
      </c>
      <c r="AC256" s="100" t="s">
        <v>637</v>
      </c>
    </row>
    <row r="257" spans="1:29" ht="15" customHeight="1" x14ac:dyDescent="0.35">
      <c r="A257" s="96" t="s">
        <v>556</v>
      </c>
      <c r="B257" s="1" t="s">
        <v>50</v>
      </c>
      <c r="C257" s="1">
        <v>45681</v>
      </c>
      <c r="E257" s="97">
        <v>45298</v>
      </c>
      <c r="F257" s="10"/>
      <c r="H257" s="102" t="s">
        <v>130</v>
      </c>
      <c r="I257" s="103" t="s">
        <v>130</v>
      </c>
      <c r="J257" s="104" t="s">
        <v>130</v>
      </c>
      <c r="K257" s="105" t="s">
        <v>130</v>
      </c>
      <c r="L257" s="102" t="s">
        <v>130</v>
      </c>
      <c r="M257" s="103" t="s">
        <v>130</v>
      </c>
      <c r="N257" s="104" t="s">
        <v>130</v>
      </c>
      <c r="O257" s="102" t="s">
        <v>130</v>
      </c>
      <c r="P257" s="103" t="s">
        <v>130</v>
      </c>
      <c r="Q257" s="104" t="s">
        <v>130</v>
      </c>
      <c r="R257" s="106">
        <v>49.761904761904766</v>
      </c>
      <c r="S257" s="107">
        <v>3.4591925552163576</v>
      </c>
      <c r="T257" s="100" t="s">
        <v>130</v>
      </c>
      <c r="U257" s="98">
        <v>0.97899999999999998</v>
      </c>
      <c r="V257" s="99">
        <v>3.0848075583916043E-2</v>
      </c>
      <c r="W257" s="100" t="s">
        <v>637</v>
      </c>
      <c r="X257" s="102"/>
      <c r="Y257" s="103"/>
      <c r="Z257" s="104"/>
      <c r="AA257" s="106">
        <v>699.9</v>
      </c>
      <c r="AB257" s="108">
        <v>10.4</v>
      </c>
      <c r="AC257" s="100" t="s">
        <v>637</v>
      </c>
    </row>
    <row r="258" spans="1:29" ht="15" customHeight="1" x14ac:dyDescent="0.35">
      <c r="A258" s="96" t="s">
        <v>549</v>
      </c>
      <c r="B258" s="1" t="s">
        <v>41</v>
      </c>
      <c r="C258" s="1">
        <v>45681</v>
      </c>
      <c r="E258" s="97">
        <v>45298</v>
      </c>
      <c r="F258" s="10"/>
      <c r="H258" s="102" t="s">
        <v>130</v>
      </c>
      <c r="I258" s="103" t="s">
        <v>130</v>
      </c>
      <c r="J258" s="104" t="s">
        <v>130</v>
      </c>
      <c r="K258" s="105" t="s">
        <v>130</v>
      </c>
      <c r="L258" s="102" t="s">
        <v>130</v>
      </c>
      <c r="M258" s="103" t="s">
        <v>130</v>
      </c>
      <c r="N258" s="104" t="s">
        <v>130</v>
      </c>
      <c r="O258" s="102" t="s">
        <v>130</v>
      </c>
      <c r="P258" s="103" t="s">
        <v>130</v>
      </c>
      <c r="Q258" s="104" t="s">
        <v>130</v>
      </c>
      <c r="R258" s="106">
        <v>43.809523809523803</v>
      </c>
      <c r="S258" s="107">
        <v>3.4591925552163576</v>
      </c>
      <c r="T258" s="100" t="s">
        <v>130</v>
      </c>
      <c r="U258" s="98">
        <v>0.40100000000000002</v>
      </c>
      <c r="V258" s="99">
        <v>2.7749990667804949E-2</v>
      </c>
      <c r="W258" s="100" t="s">
        <v>637</v>
      </c>
      <c r="X258" s="102"/>
      <c r="Y258" s="103"/>
      <c r="Z258" s="104"/>
      <c r="AA258" s="106">
        <v>516.1</v>
      </c>
      <c r="AB258" s="108">
        <v>10.4</v>
      </c>
      <c r="AC258" s="100" t="s">
        <v>637</v>
      </c>
    </row>
    <row r="259" spans="1:29" ht="15" customHeight="1" x14ac:dyDescent="0.35">
      <c r="A259" s="96" t="s">
        <v>604</v>
      </c>
      <c r="B259" s="1" t="s">
        <v>52</v>
      </c>
      <c r="C259" s="1">
        <v>45681</v>
      </c>
      <c r="E259" s="97">
        <v>45298</v>
      </c>
      <c r="F259" s="10"/>
      <c r="H259" s="102" t="s">
        <v>130</v>
      </c>
      <c r="I259" s="103" t="s">
        <v>130</v>
      </c>
      <c r="J259" s="104" t="s">
        <v>130</v>
      </c>
      <c r="K259" s="105" t="s">
        <v>130</v>
      </c>
      <c r="L259" s="102" t="s">
        <v>130</v>
      </c>
      <c r="M259" s="103" t="s">
        <v>130</v>
      </c>
      <c r="N259" s="104" t="s">
        <v>130</v>
      </c>
      <c r="O259" s="102" t="s">
        <v>130</v>
      </c>
      <c r="P259" s="103" t="s">
        <v>130</v>
      </c>
      <c r="Q259" s="104" t="s">
        <v>130</v>
      </c>
      <c r="R259" s="106">
        <v>62.619047619047613</v>
      </c>
      <c r="S259" s="107">
        <v>3.4591925552163576</v>
      </c>
      <c r="T259" s="100" t="s">
        <v>130</v>
      </c>
      <c r="U259" s="98">
        <v>0.42599999999999999</v>
      </c>
      <c r="V259" s="99">
        <v>2.7749990667804949E-2</v>
      </c>
      <c r="W259" s="100" t="s">
        <v>637</v>
      </c>
      <c r="X259" s="102"/>
      <c r="Y259" s="103"/>
      <c r="Z259" s="104"/>
      <c r="AA259" s="106">
        <v>784.9</v>
      </c>
      <c r="AB259" s="108">
        <v>10.4</v>
      </c>
      <c r="AC259" s="100" t="s">
        <v>637</v>
      </c>
    </row>
    <row r="260" spans="1:29" ht="15" customHeight="1" x14ac:dyDescent="0.35">
      <c r="A260" s="96" t="s">
        <v>598</v>
      </c>
      <c r="B260" s="1" t="s">
        <v>51</v>
      </c>
      <c r="C260" s="1">
        <v>45681</v>
      </c>
      <c r="E260" s="97">
        <v>45298</v>
      </c>
      <c r="F260" s="10"/>
      <c r="H260" s="102" t="s">
        <v>130</v>
      </c>
      <c r="I260" s="103" t="s">
        <v>130</v>
      </c>
      <c r="J260" s="104" t="s">
        <v>130</v>
      </c>
      <c r="K260" s="105" t="s">
        <v>130</v>
      </c>
      <c r="L260" s="102" t="s">
        <v>130</v>
      </c>
      <c r="M260" s="103" t="s">
        <v>130</v>
      </c>
      <c r="N260" s="104" t="s">
        <v>130</v>
      </c>
      <c r="O260" s="102" t="s">
        <v>130</v>
      </c>
      <c r="P260" s="103" t="s">
        <v>130</v>
      </c>
      <c r="Q260" s="104" t="s">
        <v>130</v>
      </c>
      <c r="R260" s="106">
        <v>58.571428571428577</v>
      </c>
      <c r="S260" s="107">
        <v>3.4591925552163576</v>
      </c>
      <c r="T260" s="100" t="s">
        <v>130</v>
      </c>
      <c r="U260" s="98">
        <v>0.81799999999999995</v>
      </c>
      <c r="V260" s="99">
        <v>2.7749990667804949E-2</v>
      </c>
      <c r="W260" s="100" t="s">
        <v>637</v>
      </c>
      <c r="X260" s="102"/>
      <c r="Y260" s="103"/>
      <c r="Z260" s="104"/>
      <c r="AA260" s="106">
        <v>621.6</v>
      </c>
      <c r="AB260" s="108">
        <v>10.4</v>
      </c>
      <c r="AC260" s="100" t="s">
        <v>637</v>
      </c>
    </row>
    <row r="261" spans="1:29" ht="15" customHeight="1" x14ac:dyDescent="0.35">
      <c r="A261" s="96" t="s">
        <v>439</v>
      </c>
      <c r="B261" s="1" t="s">
        <v>29</v>
      </c>
      <c r="C261" s="1">
        <v>45681</v>
      </c>
      <c r="E261" s="97">
        <v>45302</v>
      </c>
      <c r="F261" s="10"/>
      <c r="H261" s="102" t="s">
        <v>130</v>
      </c>
      <c r="I261" s="103" t="s">
        <v>130</v>
      </c>
      <c r="J261" s="104" t="s">
        <v>130</v>
      </c>
      <c r="K261" s="105" t="s">
        <v>130</v>
      </c>
      <c r="L261" s="102" t="s">
        <v>130</v>
      </c>
      <c r="M261" s="103" t="s">
        <v>130</v>
      </c>
      <c r="N261" s="104" t="s">
        <v>130</v>
      </c>
      <c r="O261" s="102" t="s">
        <v>130</v>
      </c>
      <c r="P261" s="103" t="s">
        <v>130</v>
      </c>
      <c r="Q261" s="104" t="s">
        <v>130</v>
      </c>
      <c r="R261" s="106">
        <v>126.66666666666667</v>
      </c>
      <c r="S261" s="107">
        <v>3.4591925552163576</v>
      </c>
      <c r="T261" s="100" t="s">
        <v>130</v>
      </c>
      <c r="U261" s="98">
        <v>1.9670000000000001</v>
      </c>
      <c r="V261" s="99">
        <v>9.9343516731067033E-2</v>
      </c>
      <c r="W261" s="100" t="s">
        <v>637</v>
      </c>
      <c r="X261" s="102"/>
      <c r="Y261" s="103"/>
      <c r="Z261" s="104"/>
      <c r="AA261" s="109">
        <v>2178</v>
      </c>
      <c r="AB261" s="108">
        <v>10.4</v>
      </c>
      <c r="AC261" s="100" t="s">
        <v>637</v>
      </c>
    </row>
    <row r="262" spans="1:29" ht="15" customHeight="1" x14ac:dyDescent="0.35">
      <c r="A262" s="96" t="s">
        <v>451</v>
      </c>
      <c r="B262" s="1" t="s">
        <v>30</v>
      </c>
      <c r="C262" s="1">
        <v>45681</v>
      </c>
      <c r="E262" s="97">
        <v>45302</v>
      </c>
      <c r="F262" s="10"/>
      <c r="H262" s="102" t="s">
        <v>130</v>
      </c>
      <c r="I262" s="103" t="s">
        <v>130</v>
      </c>
      <c r="J262" s="104" t="s">
        <v>130</v>
      </c>
      <c r="K262" s="105" t="s">
        <v>130</v>
      </c>
      <c r="L262" s="102" t="s">
        <v>130</v>
      </c>
      <c r="M262" s="103" t="s">
        <v>130</v>
      </c>
      <c r="N262" s="104" t="s">
        <v>130</v>
      </c>
      <c r="O262" s="102" t="s">
        <v>130</v>
      </c>
      <c r="P262" s="103" t="s">
        <v>130</v>
      </c>
      <c r="Q262" s="104" t="s">
        <v>130</v>
      </c>
      <c r="R262" s="106">
        <v>140.95238095238096</v>
      </c>
      <c r="S262" s="107">
        <v>3.4591925552163576</v>
      </c>
      <c r="T262" s="100" t="s">
        <v>130</v>
      </c>
      <c r="U262" s="98">
        <v>2.3959999999999999</v>
      </c>
      <c r="V262" s="99">
        <v>9.9343516731067033E-2</v>
      </c>
      <c r="W262" s="100" t="s">
        <v>637</v>
      </c>
      <c r="X262" s="102"/>
      <c r="Y262" s="103"/>
      <c r="Z262" s="104"/>
      <c r="AA262" s="109">
        <v>2177</v>
      </c>
      <c r="AB262" s="108">
        <v>10.4</v>
      </c>
      <c r="AC262" s="100" t="s">
        <v>637</v>
      </c>
    </row>
    <row r="263" spans="1:29" ht="15" customHeight="1" x14ac:dyDescent="0.35">
      <c r="A263" s="96" t="s">
        <v>446</v>
      </c>
      <c r="B263" s="1" t="s">
        <v>31</v>
      </c>
      <c r="C263" s="1">
        <v>45681</v>
      </c>
      <c r="E263" s="97">
        <v>45302</v>
      </c>
      <c r="F263" s="10"/>
      <c r="H263" s="102" t="s">
        <v>130</v>
      </c>
      <c r="I263" s="103" t="s">
        <v>130</v>
      </c>
      <c r="J263" s="104" t="s">
        <v>130</v>
      </c>
      <c r="K263" s="105" t="s">
        <v>130</v>
      </c>
      <c r="L263" s="102" t="s">
        <v>130</v>
      </c>
      <c r="M263" s="103" t="s">
        <v>130</v>
      </c>
      <c r="N263" s="104" t="s">
        <v>130</v>
      </c>
      <c r="O263" s="102" t="s">
        <v>130</v>
      </c>
      <c r="P263" s="103" t="s">
        <v>130</v>
      </c>
      <c r="Q263" s="104" t="s">
        <v>130</v>
      </c>
      <c r="R263" s="106">
        <v>131.9047619047619</v>
      </c>
      <c r="S263" s="107">
        <v>3.4591925552163576</v>
      </c>
      <c r="T263" s="100" t="s">
        <v>130</v>
      </c>
      <c r="U263" s="98">
        <v>1.964</v>
      </c>
      <c r="V263" s="99">
        <v>9.9343516731067033E-2</v>
      </c>
      <c r="W263" s="100" t="s">
        <v>637</v>
      </c>
      <c r="X263" s="102"/>
      <c r="Y263" s="103"/>
      <c r="Z263" s="104"/>
      <c r="AA263" s="109">
        <v>2398</v>
      </c>
      <c r="AB263" s="108">
        <v>20.8</v>
      </c>
      <c r="AC263" s="100" t="s">
        <v>637</v>
      </c>
    </row>
    <row r="264" spans="1:29" ht="15" customHeight="1" x14ac:dyDescent="0.35">
      <c r="A264" s="96" t="s">
        <v>456</v>
      </c>
      <c r="B264" s="1" t="s">
        <v>32</v>
      </c>
      <c r="C264" s="1">
        <v>45681</v>
      </c>
      <c r="E264" s="97">
        <v>45302</v>
      </c>
      <c r="F264" s="10"/>
      <c r="H264" s="102" t="s">
        <v>130</v>
      </c>
      <c r="I264" s="103" t="s">
        <v>130</v>
      </c>
      <c r="J264" s="104" t="s">
        <v>130</v>
      </c>
      <c r="K264" s="105" t="s">
        <v>130</v>
      </c>
      <c r="L264" s="102" t="s">
        <v>130</v>
      </c>
      <c r="M264" s="103" t="s">
        <v>130</v>
      </c>
      <c r="N264" s="104" t="s">
        <v>130</v>
      </c>
      <c r="O264" s="102" t="s">
        <v>130</v>
      </c>
      <c r="P264" s="103" t="s">
        <v>130</v>
      </c>
      <c r="Q264" s="104" t="s">
        <v>130</v>
      </c>
      <c r="R264" s="106">
        <v>153.33333333333331</v>
      </c>
      <c r="S264" s="107">
        <v>3.4591925552163576</v>
      </c>
      <c r="T264" s="100" t="s">
        <v>130</v>
      </c>
      <c r="U264" s="98">
        <v>3.4369999999999998</v>
      </c>
      <c r="V264" s="99">
        <v>9.9343516731067033E-2</v>
      </c>
      <c r="W264" s="100" t="s">
        <v>637</v>
      </c>
      <c r="X264" s="102"/>
      <c r="Y264" s="103"/>
      <c r="Z264" s="104"/>
      <c r="AA264" s="109">
        <v>1922</v>
      </c>
      <c r="AB264" s="108">
        <v>10.4</v>
      </c>
      <c r="AC264" s="100" t="s">
        <v>637</v>
      </c>
    </row>
    <row r="265" spans="1:29" ht="15" customHeight="1" x14ac:dyDescent="0.35">
      <c r="A265" s="96" t="s">
        <v>462</v>
      </c>
      <c r="B265" s="1" t="s">
        <v>33</v>
      </c>
      <c r="C265" s="1">
        <v>45681</v>
      </c>
      <c r="E265" s="97">
        <v>45302</v>
      </c>
      <c r="F265" s="10"/>
      <c r="H265" s="102" t="s">
        <v>130</v>
      </c>
      <c r="I265" s="103" t="s">
        <v>130</v>
      </c>
      <c r="J265" s="104" t="s">
        <v>130</v>
      </c>
      <c r="K265" s="105" t="s">
        <v>130</v>
      </c>
      <c r="L265" s="102" t="s">
        <v>130</v>
      </c>
      <c r="M265" s="103" t="s">
        <v>130</v>
      </c>
      <c r="N265" s="104" t="s">
        <v>130</v>
      </c>
      <c r="O265" s="102" t="s">
        <v>130</v>
      </c>
      <c r="P265" s="103" t="s">
        <v>130</v>
      </c>
      <c r="Q265" s="104" t="s">
        <v>130</v>
      </c>
      <c r="R265" s="106">
        <v>98.095238095238088</v>
      </c>
      <c r="S265" s="107">
        <v>3.4591925552163576</v>
      </c>
      <c r="T265" s="100" t="s">
        <v>130</v>
      </c>
      <c r="U265" s="98">
        <v>1.889</v>
      </c>
      <c r="V265" s="99">
        <v>2.7749990667804949E-2</v>
      </c>
      <c r="W265" s="100" t="s">
        <v>637</v>
      </c>
      <c r="X265" s="102"/>
      <c r="Y265" s="103"/>
      <c r="Z265" s="104"/>
      <c r="AA265" s="109">
        <v>1556</v>
      </c>
      <c r="AB265" s="108">
        <v>10.4</v>
      </c>
      <c r="AC265" s="100" t="s">
        <v>637</v>
      </c>
    </row>
    <row r="266" spans="1:29" ht="15" customHeight="1" x14ac:dyDescent="0.35">
      <c r="A266" s="96" t="s">
        <v>427</v>
      </c>
      <c r="B266" s="1" t="s">
        <v>27</v>
      </c>
      <c r="C266" s="1">
        <v>45681</v>
      </c>
      <c r="E266" s="97">
        <v>45302</v>
      </c>
      <c r="F266" s="10"/>
      <c r="H266" s="102" t="s">
        <v>130</v>
      </c>
      <c r="I266" s="103" t="s">
        <v>130</v>
      </c>
      <c r="J266" s="104" t="s">
        <v>130</v>
      </c>
      <c r="K266" s="105" t="s">
        <v>130</v>
      </c>
      <c r="L266" s="102" t="s">
        <v>130</v>
      </c>
      <c r="M266" s="103" t="s">
        <v>130</v>
      </c>
      <c r="N266" s="104" t="s">
        <v>130</v>
      </c>
      <c r="O266" s="102" t="s">
        <v>130</v>
      </c>
      <c r="P266" s="103" t="s">
        <v>130</v>
      </c>
      <c r="Q266" s="104" t="s">
        <v>130</v>
      </c>
      <c r="R266" s="106">
        <v>129.76190476190476</v>
      </c>
      <c r="S266" s="107">
        <v>3.4591925552163576</v>
      </c>
      <c r="T266" s="100" t="s">
        <v>130</v>
      </c>
      <c r="U266" s="98">
        <v>2.2669999999999999</v>
      </c>
      <c r="V266" s="99">
        <v>9.9343516731067033E-2</v>
      </c>
      <c r="W266" s="100" t="s">
        <v>637</v>
      </c>
      <c r="X266" s="102"/>
      <c r="Y266" s="103"/>
      <c r="Z266" s="104"/>
      <c r="AA266" s="109">
        <v>2022</v>
      </c>
      <c r="AB266" s="108">
        <v>10.4</v>
      </c>
      <c r="AC266" s="100" t="s">
        <v>637</v>
      </c>
    </row>
    <row r="267" spans="1:29" ht="15" customHeight="1" x14ac:dyDescent="0.35">
      <c r="A267" s="96" t="s">
        <v>476</v>
      </c>
      <c r="B267" s="1" t="s">
        <v>28</v>
      </c>
      <c r="C267" s="1">
        <v>45681</v>
      </c>
      <c r="E267" s="97">
        <v>45302</v>
      </c>
      <c r="F267" s="10"/>
      <c r="H267" s="102" t="s">
        <v>130</v>
      </c>
      <c r="I267" s="103" t="s">
        <v>130</v>
      </c>
      <c r="J267" s="104" t="s">
        <v>130</v>
      </c>
      <c r="K267" s="105" t="s">
        <v>130</v>
      </c>
      <c r="L267" s="102" t="s">
        <v>130</v>
      </c>
      <c r="M267" s="103" t="s">
        <v>130</v>
      </c>
      <c r="N267" s="104" t="s">
        <v>130</v>
      </c>
      <c r="O267" s="102" t="s">
        <v>130</v>
      </c>
      <c r="P267" s="103" t="s">
        <v>130</v>
      </c>
      <c r="Q267" s="104" t="s">
        <v>130</v>
      </c>
      <c r="R267" s="106">
        <v>109.04761904761904</v>
      </c>
      <c r="S267" s="107">
        <v>3.4591925552163576</v>
      </c>
      <c r="T267" s="100" t="s">
        <v>130</v>
      </c>
      <c r="U267" s="98">
        <v>4.0659999999999998</v>
      </c>
      <c r="V267" s="99">
        <v>9.9343516731067033E-2</v>
      </c>
      <c r="W267" s="100" t="s">
        <v>637</v>
      </c>
      <c r="X267" s="102"/>
      <c r="Y267" s="103"/>
      <c r="Z267" s="104"/>
      <c r="AA267" s="109">
        <v>1193</v>
      </c>
      <c r="AB267" s="108">
        <v>10.4</v>
      </c>
      <c r="AC267" s="100" t="s">
        <v>637</v>
      </c>
    </row>
    <row r="268" spans="1:29" ht="15" customHeight="1" x14ac:dyDescent="0.35">
      <c r="A268" s="96" t="s">
        <v>423</v>
      </c>
      <c r="B268" s="1" t="s">
        <v>26</v>
      </c>
      <c r="C268" s="1">
        <v>45681</v>
      </c>
      <c r="E268" s="97">
        <v>45302</v>
      </c>
      <c r="F268" s="10"/>
      <c r="H268" s="102" t="s">
        <v>130</v>
      </c>
      <c r="I268" s="103" t="s">
        <v>130</v>
      </c>
      <c r="J268" s="104" t="s">
        <v>130</v>
      </c>
      <c r="K268" s="105" t="s">
        <v>130</v>
      </c>
      <c r="L268" s="102" t="s">
        <v>130</v>
      </c>
      <c r="M268" s="103" t="s">
        <v>130</v>
      </c>
      <c r="N268" s="104" t="s">
        <v>130</v>
      </c>
      <c r="O268" s="102" t="s">
        <v>130</v>
      </c>
      <c r="P268" s="103" t="s">
        <v>130</v>
      </c>
      <c r="Q268" s="104" t="s">
        <v>130</v>
      </c>
      <c r="R268" s="106">
        <v>99.999999999999972</v>
      </c>
      <c r="S268" s="107">
        <v>3.4591925552163576</v>
      </c>
      <c r="T268" s="100" t="s">
        <v>130</v>
      </c>
      <c r="U268" s="98">
        <v>1.964</v>
      </c>
      <c r="V268" s="99">
        <v>3.0848075583916043E-2</v>
      </c>
      <c r="W268" s="100" t="s">
        <v>637</v>
      </c>
      <c r="X268" s="102"/>
      <c r="Y268" s="103"/>
      <c r="Z268" s="104"/>
      <c r="AA268" s="109">
        <v>1729</v>
      </c>
      <c r="AB268" s="108">
        <v>10.4</v>
      </c>
      <c r="AC268" s="100" t="s">
        <v>637</v>
      </c>
    </row>
    <row r="269" spans="1:29" ht="15" customHeight="1" x14ac:dyDescent="0.35">
      <c r="A269" s="96" t="s">
        <v>417</v>
      </c>
      <c r="B269" s="1" t="s">
        <v>25</v>
      </c>
      <c r="C269" s="1">
        <v>45681</v>
      </c>
      <c r="E269" s="97">
        <v>45302</v>
      </c>
      <c r="F269" s="10"/>
      <c r="H269" s="102" t="s">
        <v>130</v>
      </c>
      <c r="I269" s="103" t="s">
        <v>130</v>
      </c>
      <c r="J269" s="104" t="s">
        <v>130</v>
      </c>
      <c r="K269" s="105" t="s">
        <v>130</v>
      </c>
      <c r="L269" s="102" t="s">
        <v>130</v>
      </c>
      <c r="M269" s="103" t="s">
        <v>130</v>
      </c>
      <c r="N269" s="104" t="s">
        <v>130</v>
      </c>
      <c r="O269" s="102" t="s">
        <v>130</v>
      </c>
      <c r="P269" s="103" t="s">
        <v>130</v>
      </c>
      <c r="Q269" s="104" t="s">
        <v>130</v>
      </c>
      <c r="R269" s="106">
        <v>108.57142857142856</v>
      </c>
      <c r="S269" s="107">
        <v>3.4591925552163576</v>
      </c>
      <c r="T269" s="100" t="s">
        <v>130</v>
      </c>
      <c r="U269" s="98">
        <v>1.9159999999999999</v>
      </c>
      <c r="V269" s="99">
        <v>3.0848075583916043E-2</v>
      </c>
      <c r="W269" s="100" t="s">
        <v>637</v>
      </c>
      <c r="X269" s="102"/>
      <c r="Y269" s="103"/>
      <c r="Z269" s="104"/>
      <c r="AA269" s="109">
        <v>1916</v>
      </c>
      <c r="AB269" s="108">
        <v>10.4</v>
      </c>
      <c r="AC269" s="100" t="s">
        <v>637</v>
      </c>
    </row>
    <row r="270" spans="1:29" ht="15" customHeight="1" x14ac:dyDescent="0.35">
      <c r="A270" s="96" t="s">
        <v>413</v>
      </c>
      <c r="B270" s="1" t="s">
        <v>24</v>
      </c>
      <c r="C270" s="1">
        <v>45681</v>
      </c>
      <c r="E270" s="97">
        <v>45302</v>
      </c>
      <c r="F270" s="10"/>
      <c r="H270" s="102" t="s">
        <v>130</v>
      </c>
      <c r="I270" s="103" t="s">
        <v>130</v>
      </c>
      <c r="J270" s="104" t="s">
        <v>130</v>
      </c>
      <c r="K270" s="105" t="s">
        <v>130</v>
      </c>
      <c r="L270" s="102" t="s">
        <v>130</v>
      </c>
      <c r="M270" s="103" t="s">
        <v>130</v>
      </c>
      <c r="N270" s="104" t="s">
        <v>130</v>
      </c>
      <c r="O270" s="102" t="s">
        <v>130</v>
      </c>
      <c r="P270" s="103" t="s">
        <v>130</v>
      </c>
      <c r="Q270" s="104" t="s">
        <v>130</v>
      </c>
      <c r="R270" s="106">
        <v>117.61904761904761</v>
      </c>
      <c r="S270" s="107">
        <v>3.4591925552163576</v>
      </c>
      <c r="T270" s="100" t="s">
        <v>130</v>
      </c>
      <c r="U270" s="98">
        <v>1.774</v>
      </c>
      <c r="V270" s="99">
        <v>3.0848075583916043E-2</v>
      </c>
      <c r="W270" s="100" t="s">
        <v>637</v>
      </c>
      <c r="X270" s="102"/>
      <c r="Y270" s="103"/>
      <c r="Z270" s="104"/>
      <c r="AA270" s="109">
        <v>1788</v>
      </c>
      <c r="AB270" s="108">
        <v>10.4</v>
      </c>
      <c r="AC270" s="100" t="s">
        <v>637</v>
      </c>
    </row>
    <row r="271" spans="1:29" ht="15" customHeight="1" x14ac:dyDescent="0.35">
      <c r="A271" s="96" t="s">
        <v>406</v>
      </c>
      <c r="B271" s="1" t="s">
        <v>23</v>
      </c>
      <c r="C271" s="1">
        <v>45681</v>
      </c>
      <c r="E271" s="97">
        <v>45302</v>
      </c>
      <c r="F271" s="10"/>
      <c r="H271" s="102" t="s">
        <v>130</v>
      </c>
      <c r="I271" s="103" t="s">
        <v>130</v>
      </c>
      <c r="J271" s="104" t="s">
        <v>130</v>
      </c>
      <c r="K271" s="105" t="s">
        <v>130</v>
      </c>
      <c r="L271" s="102" t="s">
        <v>130</v>
      </c>
      <c r="M271" s="103" t="s">
        <v>130</v>
      </c>
      <c r="N271" s="104" t="s">
        <v>130</v>
      </c>
      <c r="O271" s="102" t="s">
        <v>130</v>
      </c>
      <c r="P271" s="103" t="s">
        <v>130</v>
      </c>
      <c r="Q271" s="104" t="s">
        <v>130</v>
      </c>
      <c r="R271" s="106">
        <v>166.66666666666669</v>
      </c>
      <c r="S271" s="107">
        <v>3.4591925552163576</v>
      </c>
      <c r="T271" s="100" t="s">
        <v>130</v>
      </c>
      <c r="U271" s="98">
        <v>2</v>
      </c>
      <c r="V271" s="99">
        <v>3.0848075583916043E-2</v>
      </c>
      <c r="W271" s="100" t="s">
        <v>637</v>
      </c>
      <c r="X271" s="102"/>
      <c r="Y271" s="103"/>
      <c r="Z271" s="104"/>
      <c r="AA271" s="109">
        <v>1193</v>
      </c>
      <c r="AB271" s="108">
        <v>10.4</v>
      </c>
      <c r="AC271" s="100" t="s">
        <v>637</v>
      </c>
    </row>
    <row r="272" spans="1:29" ht="15" customHeight="1" x14ac:dyDescent="0.35">
      <c r="A272" s="96" t="s">
        <v>560</v>
      </c>
      <c r="B272" s="1" t="s">
        <v>39</v>
      </c>
      <c r="C272" s="1">
        <v>45681</v>
      </c>
      <c r="E272" s="97">
        <v>45298</v>
      </c>
      <c r="F272" s="10"/>
      <c r="H272" s="102" t="s">
        <v>130</v>
      </c>
      <c r="I272" s="103" t="s">
        <v>130</v>
      </c>
      <c r="J272" s="104" t="s">
        <v>130</v>
      </c>
      <c r="K272" s="105" t="s">
        <v>130</v>
      </c>
      <c r="L272" s="102" t="s">
        <v>130</v>
      </c>
      <c r="M272" s="103" t="s">
        <v>130</v>
      </c>
      <c r="N272" s="104" t="s">
        <v>130</v>
      </c>
      <c r="O272" s="102" t="s">
        <v>130</v>
      </c>
      <c r="P272" s="103" t="s">
        <v>130</v>
      </c>
      <c r="Q272" s="104" t="s">
        <v>130</v>
      </c>
      <c r="R272" s="106">
        <v>83.214285714285708</v>
      </c>
      <c r="S272" s="107">
        <v>3.4591925552163576</v>
      </c>
      <c r="T272" s="100" t="s">
        <v>130</v>
      </c>
      <c r="U272" s="98">
        <v>1.508</v>
      </c>
      <c r="V272" s="99">
        <v>3.0848075583916043E-2</v>
      </c>
      <c r="W272" s="100" t="s">
        <v>637</v>
      </c>
      <c r="X272" s="102"/>
      <c r="Y272" s="103"/>
      <c r="Z272" s="104"/>
      <c r="AA272" s="109">
        <v>1190</v>
      </c>
      <c r="AB272" s="108">
        <v>10.4</v>
      </c>
      <c r="AC272" s="100" t="s">
        <v>637</v>
      </c>
    </row>
    <row r="273" spans="1:29" ht="15" customHeight="1" x14ac:dyDescent="0.35">
      <c r="A273" s="96" t="s">
        <v>609</v>
      </c>
      <c r="B273" s="1" t="s">
        <v>43</v>
      </c>
      <c r="C273" s="1">
        <v>45681</v>
      </c>
      <c r="E273" s="97">
        <v>45297</v>
      </c>
      <c r="F273" s="10"/>
      <c r="H273" s="98">
        <v>0.41799999999999998</v>
      </c>
      <c r="I273" s="99">
        <v>0.12997332098075642</v>
      </c>
      <c r="J273" s="100" t="s">
        <v>409</v>
      </c>
      <c r="K273" s="101" t="s">
        <v>130</v>
      </c>
      <c r="L273" s="98">
        <v>2.4E-2</v>
      </c>
      <c r="M273" s="99">
        <v>1.2978895462142594E-2</v>
      </c>
      <c r="N273" s="100" t="s">
        <v>409</v>
      </c>
      <c r="O273" s="98">
        <v>0.443</v>
      </c>
      <c r="P273" s="99">
        <v>0.17943008158362678</v>
      </c>
      <c r="Q273" s="100" t="s">
        <v>409</v>
      </c>
      <c r="R273" s="110" t="s">
        <v>130</v>
      </c>
      <c r="S273" s="111" t="s">
        <v>130</v>
      </c>
      <c r="T273" s="104" t="s">
        <v>130</v>
      </c>
      <c r="U273" s="102" t="s">
        <v>130</v>
      </c>
      <c r="V273" s="103" t="s">
        <v>130</v>
      </c>
      <c r="W273" s="104"/>
      <c r="X273" s="98" t="s">
        <v>467</v>
      </c>
      <c r="Y273" s="99">
        <v>4.5628866304919032E-2</v>
      </c>
      <c r="Z273" s="100" t="s">
        <v>468</v>
      </c>
      <c r="AA273" s="102"/>
      <c r="AB273" s="102"/>
      <c r="AC273" s="104"/>
    </row>
    <row r="274" spans="1:29" ht="15" customHeight="1" x14ac:dyDescent="0.35">
      <c r="A274" s="96" t="s">
        <v>610</v>
      </c>
      <c r="B274" s="1" t="s">
        <v>42</v>
      </c>
      <c r="C274" s="1">
        <v>45681</v>
      </c>
      <c r="E274" s="97">
        <v>45297</v>
      </c>
      <c r="F274" s="10"/>
      <c r="H274" s="98">
        <v>0.17499999999999999</v>
      </c>
      <c r="I274" s="99">
        <v>0.12997332098075642</v>
      </c>
      <c r="J274" s="100" t="s">
        <v>409</v>
      </c>
      <c r="K274" s="101" t="s">
        <v>130</v>
      </c>
      <c r="L274" s="98">
        <v>0.153</v>
      </c>
      <c r="M274" s="99">
        <v>1.2978895462142594E-2</v>
      </c>
      <c r="N274" s="100" t="s">
        <v>409</v>
      </c>
      <c r="O274" s="98">
        <v>0.124</v>
      </c>
      <c r="P274" s="99">
        <v>0.17943008158362678</v>
      </c>
      <c r="Q274" s="100" t="s">
        <v>421</v>
      </c>
      <c r="R274" s="110" t="s">
        <v>130</v>
      </c>
      <c r="S274" s="111" t="s">
        <v>130</v>
      </c>
      <c r="T274" s="104" t="s">
        <v>130</v>
      </c>
      <c r="U274" s="102" t="s">
        <v>130</v>
      </c>
      <c r="V274" s="103" t="s">
        <v>130</v>
      </c>
      <c r="W274" s="104"/>
      <c r="X274" s="98">
        <v>0.20200000000000001</v>
      </c>
      <c r="Y274" s="99">
        <v>4.5628866304919032E-2</v>
      </c>
      <c r="Z274" s="100" t="s">
        <v>409</v>
      </c>
      <c r="AA274" s="102"/>
      <c r="AB274" s="102"/>
      <c r="AC274" s="104"/>
    </row>
    <row r="275" spans="1:29" ht="15" customHeight="1" x14ac:dyDescent="0.35">
      <c r="A275" s="96" t="s">
        <v>611</v>
      </c>
      <c r="B275" s="1" t="s">
        <v>48</v>
      </c>
      <c r="C275" s="1">
        <v>45681</v>
      </c>
      <c r="E275" s="97">
        <v>45297</v>
      </c>
      <c r="F275" s="10"/>
      <c r="H275" s="98">
        <v>0.30599999999999999</v>
      </c>
      <c r="I275" s="99">
        <v>0.12997332098075642</v>
      </c>
      <c r="J275" s="100" t="s">
        <v>409</v>
      </c>
      <c r="K275" s="101" t="s">
        <v>130</v>
      </c>
      <c r="L275" s="98">
        <v>4.2999999999999997E-2</v>
      </c>
      <c r="M275" s="99">
        <v>1.2978895462142594E-2</v>
      </c>
      <c r="N275" s="100" t="s">
        <v>409</v>
      </c>
      <c r="O275" s="98">
        <v>1.165</v>
      </c>
      <c r="P275" s="99">
        <v>0.17943008158362678</v>
      </c>
      <c r="Q275" s="100" t="s">
        <v>130</v>
      </c>
      <c r="R275" s="110" t="s">
        <v>130</v>
      </c>
      <c r="S275" s="111" t="s">
        <v>130</v>
      </c>
      <c r="T275" s="104" t="s">
        <v>130</v>
      </c>
      <c r="U275" s="102" t="s">
        <v>130</v>
      </c>
      <c r="V275" s="103" t="s">
        <v>130</v>
      </c>
      <c r="W275" s="104"/>
      <c r="X275" s="98">
        <v>3.2000000000000001E-2</v>
      </c>
      <c r="Y275" s="99">
        <v>4.5628866304919032E-2</v>
      </c>
      <c r="Z275" s="100" t="s">
        <v>421</v>
      </c>
      <c r="AA275" s="102"/>
      <c r="AB275" s="102"/>
      <c r="AC275" s="104"/>
    </row>
    <row r="276" spans="1:29" ht="15" customHeight="1" x14ac:dyDescent="0.35">
      <c r="A276" s="96" t="s">
        <v>612</v>
      </c>
      <c r="B276" s="1" t="s">
        <v>55</v>
      </c>
      <c r="C276" s="1">
        <v>45681</v>
      </c>
      <c r="E276" s="97">
        <v>45297</v>
      </c>
      <c r="F276" s="10"/>
      <c r="H276" s="98">
        <v>0.55400000000000005</v>
      </c>
      <c r="I276" s="99">
        <v>0.12997332098075642</v>
      </c>
      <c r="J276" s="100" t="s">
        <v>409</v>
      </c>
      <c r="K276" s="101" t="s">
        <v>130</v>
      </c>
      <c r="L276" s="98">
        <v>7.4999999999999997E-2</v>
      </c>
      <c r="M276" s="99">
        <v>1.2978895462142594E-2</v>
      </c>
      <c r="N276" s="100" t="s">
        <v>409</v>
      </c>
      <c r="O276" s="98">
        <v>0.53700000000000003</v>
      </c>
      <c r="P276" s="99">
        <v>0.17943008158362678</v>
      </c>
      <c r="Q276" s="100" t="s">
        <v>409</v>
      </c>
      <c r="R276" s="110" t="s">
        <v>130</v>
      </c>
      <c r="S276" s="111" t="s">
        <v>130</v>
      </c>
      <c r="T276" s="104" t="s">
        <v>130</v>
      </c>
      <c r="U276" s="102" t="s">
        <v>130</v>
      </c>
      <c r="V276" s="103" t="s">
        <v>130</v>
      </c>
      <c r="W276" s="104"/>
      <c r="X276" s="98">
        <v>6.2E-2</v>
      </c>
      <c r="Y276" s="99">
        <v>4.5628866304919032E-2</v>
      </c>
      <c r="Z276" s="100" t="s">
        <v>409</v>
      </c>
      <c r="AA276" s="102"/>
      <c r="AB276" s="102"/>
      <c r="AC276" s="104"/>
    </row>
    <row r="277" spans="1:29" ht="15" customHeight="1" x14ac:dyDescent="0.35">
      <c r="A277" s="96" t="s">
        <v>613</v>
      </c>
      <c r="B277" s="1" t="s">
        <v>54</v>
      </c>
      <c r="C277" s="1">
        <v>45681</v>
      </c>
      <c r="E277" s="97">
        <v>45297</v>
      </c>
      <c r="F277" s="10"/>
      <c r="H277" s="98">
        <v>0.50900000000000001</v>
      </c>
      <c r="I277" s="99">
        <v>0.12997332098075642</v>
      </c>
      <c r="J277" s="100" t="s">
        <v>409</v>
      </c>
      <c r="K277" s="101" t="s">
        <v>130</v>
      </c>
      <c r="L277" s="98">
        <v>1.6E-2</v>
      </c>
      <c r="M277" s="99">
        <v>1.2978895462142594E-2</v>
      </c>
      <c r="N277" s="100" t="s">
        <v>409</v>
      </c>
      <c r="O277" s="98">
        <v>0.625</v>
      </c>
      <c r="P277" s="99">
        <v>0.17943008158362678</v>
      </c>
      <c r="Q277" s="100" t="s">
        <v>409</v>
      </c>
      <c r="R277" s="110" t="s">
        <v>130</v>
      </c>
      <c r="S277" s="111" t="s">
        <v>130</v>
      </c>
      <c r="T277" s="104" t="s">
        <v>130</v>
      </c>
      <c r="U277" s="102" t="s">
        <v>130</v>
      </c>
      <c r="V277" s="103" t="s">
        <v>130</v>
      </c>
      <c r="W277" s="104"/>
      <c r="X277" s="98">
        <v>1.9E-2</v>
      </c>
      <c r="Y277" s="99">
        <v>4.5628866304919032E-2</v>
      </c>
      <c r="Z277" s="100" t="s">
        <v>421</v>
      </c>
      <c r="AA277" s="102"/>
      <c r="AB277" s="102"/>
      <c r="AC277" s="104"/>
    </row>
    <row r="278" spans="1:29" ht="15" customHeight="1" x14ac:dyDescent="0.35">
      <c r="A278" s="96" t="s">
        <v>614</v>
      </c>
      <c r="B278" s="1" t="s">
        <v>638</v>
      </c>
      <c r="C278" s="1">
        <v>45681</v>
      </c>
      <c r="E278" s="97">
        <v>45297</v>
      </c>
      <c r="F278" s="10"/>
      <c r="H278" s="98">
        <v>0.89600000000000002</v>
      </c>
      <c r="I278" s="99">
        <v>0.12997332098075642</v>
      </c>
      <c r="J278" s="100" t="s">
        <v>409</v>
      </c>
      <c r="K278" s="101" t="s">
        <v>130</v>
      </c>
      <c r="L278" s="98">
        <v>0.187</v>
      </c>
      <c r="M278" s="99">
        <v>1.2978895462142594E-2</v>
      </c>
      <c r="N278" s="100" t="s">
        <v>130</v>
      </c>
      <c r="O278" s="98">
        <v>3.2429999999999999</v>
      </c>
      <c r="P278" s="99">
        <v>0.17943008158362678</v>
      </c>
      <c r="Q278" s="100" t="s">
        <v>130</v>
      </c>
      <c r="R278" s="110" t="s">
        <v>130</v>
      </c>
      <c r="S278" s="111" t="s">
        <v>130</v>
      </c>
      <c r="T278" s="104" t="s">
        <v>130</v>
      </c>
      <c r="U278" s="102" t="s">
        <v>130</v>
      </c>
      <c r="V278" s="103" t="s">
        <v>130</v>
      </c>
      <c r="W278" s="104"/>
      <c r="X278" s="98">
        <v>2.8000000000000001E-2</v>
      </c>
      <c r="Y278" s="99">
        <v>4.5628866304919032E-2</v>
      </c>
      <c r="Z278" s="100" t="s">
        <v>421</v>
      </c>
      <c r="AA278" s="102"/>
      <c r="AB278" s="102"/>
      <c r="AC278" s="104"/>
    </row>
    <row r="279" spans="1:29" ht="15" customHeight="1" x14ac:dyDescent="0.35">
      <c r="A279" s="96" t="s">
        <v>615</v>
      </c>
      <c r="B279" s="1" t="s">
        <v>37</v>
      </c>
      <c r="C279" s="1">
        <v>45681</v>
      </c>
      <c r="E279" s="97">
        <v>45298</v>
      </c>
      <c r="F279" s="10"/>
      <c r="H279" s="98">
        <v>0.32600000000000001</v>
      </c>
      <c r="I279" s="99">
        <v>0.12385965320310173</v>
      </c>
      <c r="J279" s="100" t="s">
        <v>409</v>
      </c>
      <c r="K279" s="101" t="s">
        <v>130</v>
      </c>
      <c r="L279" s="98">
        <v>0.129</v>
      </c>
      <c r="M279" s="99">
        <v>1.53740448573825E-2</v>
      </c>
      <c r="N279" s="100" t="s">
        <v>409</v>
      </c>
      <c r="O279" s="98">
        <v>0.02</v>
      </c>
      <c r="P279" s="99">
        <v>0.19617021365867265</v>
      </c>
      <c r="Q279" s="100" t="s">
        <v>421</v>
      </c>
      <c r="R279" s="110" t="s">
        <v>130</v>
      </c>
      <c r="S279" s="111" t="s">
        <v>130</v>
      </c>
      <c r="T279" s="104" t="s">
        <v>130</v>
      </c>
      <c r="U279" s="102" t="s">
        <v>130</v>
      </c>
      <c r="V279" s="103" t="s">
        <v>130</v>
      </c>
      <c r="W279" s="104"/>
      <c r="X279" s="98">
        <v>1.7999999999999999E-2</v>
      </c>
      <c r="Y279" s="99">
        <v>6.1864149872924573E-2</v>
      </c>
      <c r="Z279" s="100" t="s">
        <v>421</v>
      </c>
      <c r="AA279" s="102"/>
      <c r="AB279" s="102"/>
      <c r="AC279" s="104"/>
    </row>
    <row r="280" spans="1:29" ht="15" customHeight="1" x14ac:dyDescent="0.35">
      <c r="A280" s="96" t="s">
        <v>616</v>
      </c>
      <c r="B280" s="1" t="s">
        <v>35</v>
      </c>
      <c r="C280" s="1">
        <v>45681</v>
      </c>
      <c r="E280" s="97">
        <v>45298</v>
      </c>
      <c r="F280" s="10"/>
      <c r="H280" s="98">
        <v>0.67700000000000005</v>
      </c>
      <c r="I280" s="99">
        <v>0.12385965320310173</v>
      </c>
      <c r="J280" s="100" t="s">
        <v>409</v>
      </c>
      <c r="K280" s="101" t="s">
        <v>130</v>
      </c>
      <c r="L280" s="98">
        <v>0.214</v>
      </c>
      <c r="M280" s="99">
        <v>1.53740448573825E-2</v>
      </c>
      <c r="N280" s="100" t="s">
        <v>130</v>
      </c>
      <c r="O280" s="98">
        <v>0.97699999999999998</v>
      </c>
      <c r="P280" s="99">
        <v>0.19617021365867265</v>
      </c>
      <c r="Q280" s="100" t="s">
        <v>409</v>
      </c>
      <c r="R280" s="110" t="s">
        <v>130</v>
      </c>
      <c r="S280" s="111" t="s">
        <v>130</v>
      </c>
      <c r="T280" s="104" t="s">
        <v>130</v>
      </c>
      <c r="U280" s="102" t="s">
        <v>130</v>
      </c>
      <c r="V280" s="103" t="s">
        <v>130</v>
      </c>
      <c r="W280" s="104"/>
      <c r="X280" s="98">
        <v>6.3E-2</v>
      </c>
      <c r="Y280" s="99">
        <v>6.1864149872924573E-2</v>
      </c>
      <c r="Z280" s="100" t="s">
        <v>409</v>
      </c>
      <c r="AA280" s="102"/>
      <c r="AB280" s="102"/>
      <c r="AC280" s="104"/>
    </row>
    <row r="281" spans="1:29" ht="15" customHeight="1" x14ac:dyDescent="0.35">
      <c r="A281" s="96" t="s">
        <v>617</v>
      </c>
      <c r="B281" s="1" t="s">
        <v>36</v>
      </c>
      <c r="C281" s="1">
        <v>45681</v>
      </c>
      <c r="E281" s="97">
        <v>45298</v>
      </c>
      <c r="F281" s="10"/>
      <c r="H281" s="98">
        <v>0.91300000000000003</v>
      </c>
      <c r="I281" s="99">
        <v>0.12385965320310173</v>
      </c>
      <c r="J281" s="100" t="s">
        <v>409</v>
      </c>
      <c r="K281" s="101" t="s">
        <v>130</v>
      </c>
      <c r="L281" s="98">
        <v>0.223</v>
      </c>
      <c r="M281" s="99">
        <v>1.53740448573825E-2</v>
      </c>
      <c r="N281" s="100" t="s">
        <v>130</v>
      </c>
      <c r="O281" s="98">
        <v>1.5680000000000001</v>
      </c>
      <c r="P281" s="99">
        <v>0.19617021365867265</v>
      </c>
      <c r="Q281" s="100" t="s">
        <v>130</v>
      </c>
      <c r="R281" s="110" t="s">
        <v>130</v>
      </c>
      <c r="S281" s="111" t="s">
        <v>130</v>
      </c>
      <c r="T281" s="104" t="s">
        <v>130</v>
      </c>
      <c r="U281" s="102" t="s">
        <v>130</v>
      </c>
      <c r="V281" s="103" t="s">
        <v>130</v>
      </c>
      <c r="W281" s="104"/>
      <c r="X281" s="98">
        <v>0.02</v>
      </c>
      <c r="Y281" s="99">
        <v>6.1864149872924573E-2</v>
      </c>
      <c r="Z281" s="100" t="s">
        <v>421</v>
      </c>
      <c r="AA281" s="102"/>
      <c r="AB281" s="102"/>
      <c r="AC281" s="104"/>
    </row>
    <row r="282" spans="1:29" ht="15" customHeight="1" x14ac:dyDescent="0.35">
      <c r="A282" s="96" t="s">
        <v>618</v>
      </c>
      <c r="B282" s="1" t="s">
        <v>34</v>
      </c>
      <c r="C282" s="1">
        <v>45681</v>
      </c>
      <c r="E282" s="97">
        <v>45298</v>
      </c>
      <c r="F282" s="10"/>
      <c r="H282" s="98">
        <v>0.26400000000000001</v>
      </c>
      <c r="I282" s="99">
        <v>0.12385965320310173</v>
      </c>
      <c r="J282" s="100" t="s">
        <v>409</v>
      </c>
      <c r="K282" s="101" t="s">
        <v>130</v>
      </c>
      <c r="L282" s="98">
        <v>0.114</v>
      </c>
      <c r="M282" s="99">
        <v>1.53740448573825E-2</v>
      </c>
      <c r="N282" s="100" t="s">
        <v>409</v>
      </c>
      <c r="O282" s="98">
        <v>0.307</v>
      </c>
      <c r="P282" s="99">
        <v>0.19617021365867265</v>
      </c>
      <c r="Q282" s="100" t="s">
        <v>409</v>
      </c>
      <c r="R282" s="110" t="s">
        <v>130</v>
      </c>
      <c r="S282" s="111" t="s">
        <v>130</v>
      </c>
      <c r="T282" s="104" t="s">
        <v>130</v>
      </c>
      <c r="U282" s="102" t="s">
        <v>130</v>
      </c>
      <c r="V282" s="103" t="s">
        <v>130</v>
      </c>
      <c r="W282" s="104"/>
      <c r="X282" s="98">
        <v>1.6E-2</v>
      </c>
      <c r="Y282" s="99">
        <v>6.1864149872924573E-2</v>
      </c>
      <c r="Z282" s="100" t="s">
        <v>421</v>
      </c>
      <c r="AA282" s="102"/>
      <c r="AB282" s="102"/>
      <c r="AC282" s="104"/>
    </row>
    <row r="283" spans="1:29" ht="15" customHeight="1" x14ac:dyDescent="0.35">
      <c r="A283" s="96" t="s">
        <v>619</v>
      </c>
      <c r="B283" s="1" t="s">
        <v>38</v>
      </c>
      <c r="C283" s="1">
        <v>45681</v>
      </c>
      <c r="E283" s="97">
        <v>45298</v>
      </c>
      <c r="F283" s="10"/>
      <c r="H283" s="98">
        <v>0.65500000000000003</v>
      </c>
      <c r="I283" s="99">
        <v>0.12385965320310173</v>
      </c>
      <c r="J283" s="100" t="s">
        <v>409</v>
      </c>
      <c r="K283" s="101" t="s">
        <v>130</v>
      </c>
      <c r="L283" s="98">
        <v>0.19700000000000001</v>
      </c>
      <c r="M283" s="99">
        <v>1.53740448573825E-2</v>
      </c>
      <c r="N283" s="100" t="s">
        <v>130</v>
      </c>
      <c r="O283" s="98">
        <v>1.7589999999999999</v>
      </c>
      <c r="P283" s="99">
        <v>0.19617021365867265</v>
      </c>
      <c r="Q283" s="100" t="s">
        <v>130</v>
      </c>
      <c r="R283" s="110" t="s">
        <v>130</v>
      </c>
      <c r="S283" s="111" t="s">
        <v>130</v>
      </c>
      <c r="T283" s="104" t="s">
        <v>130</v>
      </c>
      <c r="U283" s="102" t="s">
        <v>130</v>
      </c>
      <c r="V283" s="103" t="s">
        <v>130</v>
      </c>
      <c r="W283" s="104"/>
      <c r="X283" s="98">
        <v>1.2E-2</v>
      </c>
      <c r="Y283" s="99">
        <v>6.1864149872924573E-2</v>
      </c>
      <c r="Z283" s="100" t="s">
        <v>421</v>
      </c>
      <c r="AA283" s="102"/>
      <c r="AB283" s="102"/>
      <c r="AC283" s="104"/>
    </row>
    <row r="284" spans="1:29" ht="15" customHeight="1" x14ac:dyDescent="0.35">
      <c r="A284" s="96" t="s">
        <v>620</v>
      </c>
      <c r="B284" s="1" t="s">
        <v>40</v>
      </c>
      <c r="C284" s="1">
        <v>45681</v>
      </c>
      <c r="E284" s="97">
        <v>45298</v>
      </c>
      <c r="F284" s="10"/>
      <c r="H284" s="98">
        <v>0.219</v>
      </c>
      <c r="I284" s="99">
        <v>0.12385965320310173</v>
      </c>
      <c r="J284" s="100" t="s">
        <v>409</v>
      </c>
      <c r="K284" s="101" t="s">
        <v>130</v>
      </c>
      <c r="L284" s="98">
        <v>7.4999999999999997E-2</v>
      </c>
      <c r="M284" s="99">
        <v>1.53740448573825E-2</v>
      </c>
      <c r="N284" s="100" t="s">
        <v>409</v>
      </c>
      <c r="O284" s="98">
        <v>0.33800000000000002</v>
      </c>
      <c r="P284" s="99">
        <v>0.19617021365867265</v>
      </c>
      <c r="Q284" s="100" t="s">
        <v>409</v>
      </c>
      <c r="R284" s="110" t="s">
        <v>130</v>
      </c>
      <c r="S284" s="111" t="s">
        <v>130</v>
      </c>
      <c r="T284" s="104" t="s">
        <v>130</v>
      </c>
      <c r="U284" s="102" t="s">
        <v>130</v>
      </c>
      <c r="V284" s="103" t="s">
        <v>130</v>
      </c>
      <c r="W284" s="104"/>
      <c r="X284" s="98">
        <v>6.0000000000000001E-3</v>
      </c>
      <c r="Y284" s="99">
        <v>6.1864149872924573E-2</v>
      </c>
      <c r="Z284" s="100" t="s">
        <v>421</v>
      </c>
      <c r="AA284" s="102"/>
      <c r="AB284" s="102"/>
      <c r="AC284" s="104"/>
    </row>
    <row r="285" spans="1:29" ht="15" customHeight="1" x14ac:dyDescent="0.35">
      <c r="A285" s="96" t="s">
        <v>621</v>
      </c>
      <c r="B285" s="1" t="s">
        <v>50</v>
      </c>
      <c r="C285" s="1">
        <v>45681</v>
      </c>
      <c r="E285" s="97">
        <v>45298</v>
      </c>
      <c r="F285" s="10"/>
      <c r="H285" s="98">
        <v>1.0389999999999999</v>
      </c>
      <c r="I285" s="99">
        <v>0.12385965320310173</v>
      </c>
      <c r="J285" s="100" t="s">
        <v>130</v>
      </c>
      <c r="K285" s="101">
        <v>0.60799999999999987</v>
      </c>
      <c r="L285" s="98">
        <v>0.43099999999999999</v>
      </c>
      <c r="M285" s="99">
        <v>1.53740448573825E-2</v>
      </c>
      <c r="N285" s="100" t="s">
        <v>130</v>
      </c>
      <c r="O285" s="98">
        <v>3.2970000000000002</v>
      </c>
      <c r="P285" s="99">
        <v>0.19617021365867265</v>
      </c>
      <c r="Q285" s="100" t="s">
        <v>130</v>
      </c>
      <c r="R285" s="110" t="s">
        <v>130</v>
      </c>
      <c r="S285" s="111" t="s">
        <v>130</v>
      </c>
      <c r="T285" s="104" t="s">
        <v>130</v>
      </c>
      <c r="U285" s="102" t="s">
        <v>130</v>
      </c>
      <c r="V285" s="103" t="s">
        <v>130</v>
      </c>
      <c r="W285" s="104"/>
      <c r="X285" s="98">
        <v>1.2E-2</v>
      </c>
      <c r="Y285" s="99">
        <v>6.1864149872924573E-2</v>
      </c>
      <c r="Z285" s="100" t="s">
        <v>421</v>
      </c>
      <c r="AA285" s="102"/>
      <c r="AB285" s="102"/>
      <c r="AC285" s="104"/>
    </row>
    <row r="286" spans="1:29" ht="15" customHeight="1" x14ac:dyDescent="0.35">
      <c r="A286" s="96" t="s">
        <v>622</v>
      </c>
      <c r="B286" s="1" t="s">
        <v>41</v>
      </c>
      <c r="C286" s="1">
        <v>45681</v>
      </c>
      <c r="E286" s="97">
        <v>45298</v>
      </c>
      <c r="F286" s="10"/>
      <c r="H286" s="98">
        <v>1.091</v>
      </c>
      <c r="I286" s="99">
        <v>0.12997332098075642</v>
      </c>
      <c r="J286" s="100" t="s">
        <v>130</v>
      </c>
      <c r="K286" s="101">
        <v>0.90799999999999992</v>
      </c>
      <c r="L286" s="98">
        <v>0.183</v>
      </c>
      <c r="M286" s="99">
        <v>1.2978895462142594E-2</v>
      </c>
      <c r="N286" s="100" t="s">
        <v>130</v>
      </c>
      <c r="O286" s="98">
        <v>9.3719999999999999</v>
      </c>
      <c r="P286" s="99">
        <v>0.17943008158362678</v>
      </c>
      <c r="Q286" s="100" t="s">
        <v>130</v>
      </c>
      <c r="R286" s="110" t="s">
        <v>130</v>
      </c>
      <c r="S286" s="111" t="s">
        <v>130</v>
      </c>
      <c r="T286" s="104" t="s">
        <v>130</v>
      </c>
      <c r="U286" s="102" t="s">
        <v>130</v>
      </c>
      <c r="V286" s="103" t="s">
        <v>130</v>
      </c>
      <c r="W286" s="104"/>
      <c r="X286" s="98">
        <v>2.8000000000000001E-2</v>
      </c>
      <c r="Y286" s="99">
        <v>4.5628866304919032E-2</v>
      </c>
      <c r="Z286" s="100" t="s">
        <v>421</v>
      </c>
      <c r="AA286" s="102"/>
      <c r="AB286" s="102"/>
      <c r="AC286" s="104"/>
    </row>
    <row r="287" spans="1:29" ht="15" customHeight="1" x14ac:dyDescent="0.35">
      <c r="A287" s="96" t="s">
        <v>623</v>
      </c>
      <c r="B287" s="1" t="s">
        <v>52</v>
      </c>
      <c r="C287" s="1">
        <v>45681</v>
      </c>
      <c r="E287" s="97">
        <v>45298</v>
      </c>
      <c r="F287" s="10"/>
      <c r="H287" s="98">
        <v>0.74199999999999999</v>
      </c>
      <c r="I287" s="99">
        <v>0.12997332098075642</v>
      </c>
      <c r="J287" s="100" t="s">
        <v>409</v>
      </c>
      <c r="K287" s="101" t="s">
        <v>130</v>
      </c>
      <c r="L287" s="98">
        <v>0.113</v>
      </c>
      <c r="M287" s="99">
        <v>1.2978895462142594E-2</v>
      </c>
      <c r="N287" s="100" t="s">
        <v>409</v>
      </c>
      <c r="O287" s="98">
        <v>6.1059999999999999</v>
      </c>
      <c r="P287" s="99">
        <v>0.17943008158362678</v>
      </c>
      <c r="Q287" s="100" t="s">
        <v>130</v>
      </c>
      <c r="R287" s="110" t="s">
        <v>130</v>
      </c>
      <c r="S287" s="111" t="s">
        <v>130</v>
      </c>
      <c r="T287" s="104" t="s">
        <v>130</v>
      </c>
      <c r="U287" s="102" t="s">
        <v>130</v>
      </c>
      <c r="V287" s="103" t="s">
        <v>130</v>
      </c>
      <c r="W287" s="104"/>
      <c r="X287" s="98">
        <v>0.03</v>
      </c>
      <c r="Y287" s="99">
        <v>4.5628866304919032E-2</v>
      </c>
      <c r="Z287" s="100" t="s">
        <v>421</v>
      </c>
      <c r="AA287" s="102"/>
      <c r="AB287" s="102"/>
      <c r="AC287" s="104"/>
    </row>
    <row r="288" spans="1:29" ht="15" customHeight="1" x14ac:dyDescent="0.35">
      <c r="A288" s="96" t="s">
        <v>624</v>
      </c>
      <c r="B288" s="1" t="s">
        <v>51</v>
      </c>
      <c r="C288" s="1">
        <v>45681</v>
      </c>
      <c r="E288" s="97">
        <v>45298</v>
      </c>
      <c r="F288" s="10"/>
      <c r="H288" s="98">
        <v>0.214</v>
      </c>
      <c r="I288" s="99">
        <v>0.12997332098075642</v>
      </c>
      <c r="J288" s="100" t="s">
        <v>409</v>
      </c>
      <c r="K288" s="101" t="s">
        <v>130</v>
      </c>
      <c r="L288" s="98">
        <v>2.5000000000000001E-2</v>
      </c>
      <c r="M288" s="99">
        <v>1.2978895462142594E-2</v>
      </c>
      <c r="N288" s="100" t="s">
        <v>409</v>
      </c>
      <c r="O288" s="98">
        <v>0.63900000000000001</v>
      </c>
      <c r="P288" s="99">
        <v>0.17943008158362678</v>
      </c>
      <c r="Q288" s="100" t="s">
        <v>409</v>
      </c>
      <c r="R288" s="110" t="s">
        <v>130</v>
      </c>
      <c r="S288" s="111" t="s">
        <v>130</v>
      </c>
      <c r="T288" s="104" t="s">
        <v>130</v>
      </c>
      <c r="U288" s="102" t="s">
        <v>130</v>
      </c>
      <c r="V288" s="103" t="s">
        <v>130</v>
      </c>
      <c r="W288" s="104"/>
      <c r="X288" s="98">
        <v>3.9E-2</v>
      </c>
      <c r="Y288" s="99">
        <v>4.5628866304919032E-2</v>
      </c>
      <c r="Z288" s="100" t="s">
        <v>421</v>
      </c>
      <c r="AA288" s="102"/>
      <c r="AB288" s="102"/>
      <c r="AC288" s="104"/>
    </row>
    <row r="289" spans="1:29" ht="15" customHeight="1" x14ac:dyDescent="0.35">
      <c r="A289" s="96" t="s">
        <v>625</v>
      </c>
      <c r="B289" s="1" t="s">
        <v>29</v>
      </c>
      <c r="C289" s="1">
        <v>45681</v>
      </c>
      <c r="E289" s="97">
        <v>45302</v>
      </c>
      <c r="F289" s="10"/>
      <c r="H289" s="98">
        <v>0.60799999999999998</v>
      </c>
      <c r="I289" s="99">
        <v>0.12385965320310173</v>
      </c>
      <c r="J289" s="100" t="s">
        <v>409</v>
      </c>
      <c r="K289" s="101" t="s">
        <v>130</v>
      </c>
      <c r="L289" s="98">
        <v>0.376</v>
      </c>
      <c r="M289" s="99">
        <v>1.53740448573825E-2</v>
      </c>
      <c r="N289" s="100" t="s">
        <v>130</v>
      </c>
      <c r="O289" s="98">
        <v>3.6930000000000001</v>
      </c>
      <c r="P289" s="99">
        <v>0.19617021365867265</v>
      </c>
      <c r="Q289" s="100" t="s">
        <v>130</v>
      </c>
      <c r="R289" s="110" t="s">
        <v>130</v>
      </c>
      <c r="S289" s="111" t="s">
        <v>130</v>
      </c>
      <c r="T289" s="104" t="s">
        <v>130</v>
      </c>
      <c r="U289" s="102" t="s">
        <v>130</v>
      </c>
      <c r="V289" s="103" t="s">
        <v>130</v>
      </c>
      <c r="W289" s="104"/>
      <c r="X289" s="98">
        <v>3.5999999999999997E-2</v>
      </c>
      <c r="Y289" s="99">
        <v>6.1864149872924573E-2</v>
      </c>
      <c r="Z289" s="100" t="s">
        <v>421</v>
      </c>
      <c r="AA289" s="102"/>
      <c r="AB289" s="102"/>
      <c r="AC289" s="104"/>
    </row>
    <row r="290" spans="1:29" ht="15" customHeight="1" x14ac:dyDescent="0.35">
      <c r="A290" s="96" t="s">
        <v>626</v>
      </c>
      <c r="B290" s="1" t="s">
        <v>30</v>
      </c>
      <c r="C290" s="1">
        <v>45681</v>
      </c>
      <c r="E290" s="97">
        <v>45302</v>
      </c>
      <c r="F290" s="10"/>
      <c r="H290" s="98">
        <v>0.34699999999999998</v>
      </c>
      <c r="I290" s="99">
        <v>0.12385965320310173</v>
      </c>
      <c r="J290" s="100" t="s">
        <v>409</v>
      </c>
      <c r="K290" s="101" t="s">
        <v>130</v>
      </c>
      <c r="L290" s="98">
        <v>0.317</v>
      </c>
      <c r="M290" s="99">
        <v>1.53740448573825E-2</v>
      </c>
      <c r="N290" s="100" t="s">
        <v>130</v>
      </c>
      <c r="O290" s="98">
        <v>1.071</v>
      </c>
      <c r="P290" s="99">
        <v>0.19617021365867265</v>
      </c>
      <c r="Q290" s="100" t="s">
        <v>130</v>
      </c>
      <c r="R290" s="110" t="s">
        <v>130</v>
      </c>
      <c r="S290" s="111" t="s">
        <v>130</v>
      </c>
      <c r="T290" s="104" t="s">
        <v>130</v>
      </c>
      <c r="U290" s="102" t="s">
        <v>130</v>
      </c>
      <c r="V290" s="103" t="s">
        <v>130</v>
      </c>
      <c r="W290" s="104"/>
      <c r="X290" s="98">
        <v>5.8999999999999997E-2</v>
      </c>
      <c r="Y290" s="99">
        <v>6.1864149872924573E-2</v>
      </c>
      <c r="Z290" s="100" t="s">
        <v>421</v>
      </c>
      <c r="AA290" s="102"/>
      <c r="AB290" s="102"/>
      <c r="AC290" s="104"/>
    </row>
    <row r="291" spans="1:29" ht="15" customHeight="1" x14ac:dyDescent="0.35">
      <c r="A291" s="96" t="s">
        <v>627</v>
      </c>
      <c r="B291" s="1" t="s">
        <v>31</v>
      </c>
      <c r="C291" s="1">
        <v>45681</v>
      </c>
      <c r="E291" s="97">
        <v>45302</v>
      </c>
      <c r="F291" s="10"/>
      <c r="H291" s="98">
        <v>0.45100000000000001</v>
      </c>
      <c r="I291" s="99">
        <v>0.12385965320310173</v>
      </c>
      <c r="J291" s="100" t="s">
        <v>409</v>
      </c>
      <c r="K291" s="101" t="s">
        <v>130</v>
      </c>
      <c r="L291" s="98">
        <v>0.46700000000000003</v>
      </c>
      <c r="M291" s="99">
        <v>1.53740448573825E-2</v>
      </c>
      <c r="N291" s="100" t="s">
        <v>130</v>
      </c>
      <c r="O291" s="98">
        <v>3.3370000000000002</v>
      </c>
      <c r="P291" s="99">
        <v>0.19617021365867265</v>
      </c>
      <c r="Q291" s="100" t="s">
        <v>130</v>
      </c>
      <c r="R291" s="110" t="s">
        <v>130</v>
      </c>
      <c r="S291" s="111" t="s">
        <v>130</v>
      </c>
      <c r="T291" s="104" t="s">
        <v>130</v>
      </c>
      <c r="U291" s="102" t="s">
        <v>130</v>
      </c>
      <c r="V291" s="103" t="s">
        <v>130</v>
      </c>
      <c r="W291" s="104"/>
      <c r="X291" s="98">
        <v>6.3E-2</v>
      </c>
      <c r="Y291" s="99">
        <v>6.1864149872924573E-2</v>
      </c>
      <c r="Z291" s="100" t="s">
        <v>409</v>
      </c>
      <c r="AA291" s="102"/>
      <c r="AB291" s="102"/>
      <c r="AC291" s="104"/>
    </row>
    <row r="292" spans="1:29" ht="15" customHeight="1" x14ac:dyDescent="0.35">
      <c r="A292" s="96" t="s">
        <v>628</v>
      </c>
      <c r="B292" s="1" t="s">
        <v>32</v>
      </c>
      <c r="C292" s="1">
        <v>45681</v>
      </c>
      <c r="E292" s="97">
        <v>45302</v>
      </c>
      <c r="F292" s="10"/>
      <c r="H292" s="98">
        <v>0.34899999999999998</v>
      </c>
      <c r="I292" s="99">
        <v>0.12385965320310173</v>
      </c>
      <c r="J292" s="100" t="s">
        <v>409</v>
      </c>
      <c r="K292" s="101" t="s">
        <v>130</v>
      </c>
      <c r="L292" s="98">
        <v>0.34100000000000003</v>
      </c>
      <c r="M292" s="99">
        <v>1.53740448573825E-2</v>
      </c>
      <c r="N292" s="100" t="s">
        <v>130</v>
      </c>
      <c r="O292" s="98">
        <v>1.0660000000000001</v>
      </c>
      <c r="P292" s="99">
        <v>0.19617021365867265</v>
      </c>
      <c r="Q292" s="100" t="s">
        <v>130</v>
      </c>
      <c r="R292" s="110" t="s">
        <v>130</v>
      </c>
      <c r="S292" s="111" t="s">
        <v>130</v>
      </c>
      <c r="T292" s="104" t="s">
        <v>130</v>
      </c>
      <c r="U292" s="102" t="s">
        <v>130</v>
      </c>
      <c r="V292" s="103" t="s">
        <v>130</v>
      </c>
      <c r="W292" s="104"/>
      <c r="X292" s="98">
        <v>5.8000000000000003E-2</v>
      </c>
      <c r="Y292" s="99">
        <v>6.1864149872924573E-2</v>
      </c>
      <c r="Z292" s="100" t="s">
        <v>421</v>
      </c>
      <c r="AA292" s="102"/>
      <c r="AB292" s="102"/>
      <c r="AC292" s="104"/>
    </row>
    <row r="293" spans="1:29" ht="15" customHeight="1" x14ac:dyDescent="0.35">
      <c r="A293" s="96" t="s">
        <v>629</v>
      </c>
      <c r="B293" s="1" t="s">
        <v>33</v>
      </c>
      <c r="C293" s="1">
        <v>45681</v>
      </c>
      <c r="E293" s="97">
        <v>45302</v>
      </c>
      <c r="F293" s="10"/>
      <c r="H293" s="98">
        <v>0.252</v>
      </c>
      <c r="I293" s="99">
        <v>0.12997332098075642</v>
      </c>
      <c r="J293" s="100" t="s">
        <v>409</v>
      </c>
      <c r="K293" s="101" t="s">
        <v>130</v>
      </c>
      <c r="L293" s="98">
        <v>0.31</v>
      </c>
      <c r="M293" s="99">
        <v>1.2978895462142594E-2</v>
      </c>
      <c r="N293" s="100" t="s">
        <v>130</v>
      </c>
      <c r="O293" s="98">
        <v>0.61099999999999999</v>
      </c>
      <c r="P293" s="99">
        <v>0.17943008158362678</v>
      </c>
      <c r="Q293" s="100" t="s">
        <v>409</v>
      </c>
      <c r="R293" s="110" t="s">
        <v>130</v>
      </c>
      <c r="S293" s="111" t="s">
        <v>130</v>
      </c>
      <c r="T293" s="104" t="s">
        <v>130</v>
      </c>
      <c r="U293" s="102" t="s">
        <v>130</v>
      </c>
      <c r="V293" s="103" t="s">
        <v>130</v>
      </c>
      <c r="W293" s="104"/>
      <c r="X293" s="98">
        <v>0.39800000000000002</v>
      </c>
      <c r="Y293" s="99">
        <v>4.5628866304919032E-2</v>
      </c>
      <c r="Z293" s="100" t="s">
        <v>409</v>
      </c>
      <c r="AA293" s="102"/>
      <c r="AB293" s="102"/>
      <c r="AC293" s="104"/>
    </row>
    <row r="294" spans="1:29" ht="15" customHeight="1" x14ac:dyDescent="0.35">
      <c r="A294" s="96" t="s">
        <v>630</v>
      </c>
      <c r="B294" s="1" t="s">
        <v>27</v>
      </c>
      <c r="C294" s="1">
        <v>45681</v>
      </c>
      <c r="E294" s="97">
        <v>45302</v>
      </c>
      <c r="F294" s="10"/>
      <c r="H294" s="98">
        <v>0.42499999999999999</v>
      </c>
      <c r="I294" s="99">
        <v>0.12385965320310173</v>
      </c>
      <c r="J294" s="100" t="s">
        <v>409</v>
      </c>
      <c r="K294" s="101" t="s">
        <v>130</v>
      </c>
      <c r="L294" s="98">
        <v>0.31900000000000001</v>
      </c>
      <c r="M294" s="99">
        <v>1.53740448573825E-2</v>
      </c>
      <c r="N294" s="100" t="s">
        <v>130</v>
      </c>
      <c r="O294" s="98">
        <v>0.56499999999999995</v>
      </c>
      <c r="P294" s="99">
        <v>0.19617021365867265</v>
      </c>
      <c r="Q294" s="100" t="s">
        <v>409</v>
      </c>
      <c r="R294" s="110" t="s">
        <v>130</v>
      </c>
      <c r="S294" s="111" t="s">
        <v>130</v>
      </c>
      <c r="T294" s="104" t="s">
        <v>130</v>
      </c>
      <c r="U294" s="102" t="s">
        <v>130</v>
      </c>
      <c r="V294" s="103" t="s">
        <v>130</v>
      </c>
      <c r="W294" s="104"/>
      <c r="X294" s="98">
        <v>4.3999999999999997E-2</v>
      </c>
      <c r="Y294" s="99">
        <v>6.1864149872924573E-2</v>
      </c>
      <c r="Z294" s="100" t="s">
        <v>421</v>
      </c>
      <c r="AA294" s="102"/>
      <c r="AB294" s="102"/>
      <c r="AC294" s="104"/>
    </row>
    <row r="295" spans="1:29" ht="15" customHeight="1" x14ac:dyDescent="0.35">
      <c r="A295" s="96" t="s">
        <v>631</v>
      </c>
      <c r="B295" s="1" t="s">
        <v>28</v>
      </c>
      <c r="C295" s="1">
        <v>45681</v>
      </c>
      <c r="E295" s="97">
        <v>45302</v>
      </c>
      <c r="F295" s="10"/>
      <c r="H295" s="98">
        <v>0.53900000000000003</v>
      </c>
      <c r="I295" s="99">
        <v>0.12385965320310173</v>
      </c>
      <c r="J295" s="100" t="s">
        <v>409</v>
      </c>
      <c r="K295" s="101" t="s">
        <v>130</v>
      </c>
      <c r="L295" s="98">
        <v>0.35299999999999998</v>
      </c>
      <c r="M295" s="99">
        <v>1.53740448573825E-2</v>
      </c>
      <c r="N295" s="100" t="s">
        <v>130</v>
      </c>
      <c r="O295" s="98">
        <v>0.98399999999999999</v>
      </c>
      <c r="P295" s="99">
        <v>0.19617021365867265</v>
      </c>
      <c r="Q295" s="100" t="s">
        <v>409</v>
      </c>
      <c r="R295" s="110" t="s">
        <v>130</v>
      </c>
      <c r="S295" s="111" t="s">
        <v>130</v>
      </c>
      <c r="T295" s="104" t="s">
        <v>130</v>
      </c>
      <c r="U295" s="102" t="s">
        <v>130</v>
      </c>
      <c r="V295" s="103" t="s">
        <v>130</v>
      </c>
      <c r="W295" s="104"/>
      <c r="X295" s="98">
        <v>0.13600000000000001</v>
      </c>
      <c r="Y295" s="99">
        <v>6.1864149872924573E-2</v>
      </c>
      <c r="Z295" s="100" t="s">
        <v>409</v>
      </c>
      <c r="AA295" s="102"/>
      <c r="AB295" s="102"/>
      <c r="AC295" s="104"/>
    </row>
    <row r="296" spans="1:29" ht="15" customHeight="1" x14ac:dyDescent="0.35">
      <c r="A296" s="96" t="s">
        <v>632</v>
      </c>
      <c r="B296" s="1" t="s">
        <v>26</v>
      </c>
      <c r="C296" s="1">
        <v>45681</v>
      </c>
      <c r="E296" s="97">
        <v>45302</v>
      </c>
      <c r="F296" s="10"/>
      <c r="H296" s="98">
        <v>0.65600000000000003</v>
      </c>
      <c r="I296" s="99">
        <v>0.12385965320310173</v>
      </c>
      <c r="J296" s="100" t="s">
        <v>409</v>
      </c>
      <c r="K296" s="101" t="s">
        <v>130</v>
      </c>
      <c r="L296" s="98">
        <v>0.34399999999999997</v>
      </c>
      <c r="M296" s="99">
        <v>1.53740448573825E-2</v>
      </c>
      <c r="N296" s="100" t="s">
        <v>130</v>
      </c>
      <c r="O296" s="98">
        <v>1.1559999999999999</v>
      </c>
      <c r="P296" s="99">
        <v>0.19617021365867265</v>
      </c>
      <c r="Q296" s="100" t="s">
        <v>130</v>
      </c>
      <c r="R296" s="110" t="s">
        <v>130</v>
      </c>
      <c r="S296" s="111" t="s">
        <v>130</v>
      </c>
      <c r="T296" s="104" t="s">
        <v>130</v>
      </c>
      <c r="U296" s="102" t="s">
        <v>130</v>
      </c>
      <c r="V296" s="103" t="s">
        <v>130</v>
      </c>
      <c r="W296" s="104"/>
      <c r="X296" s="98">
        <v>5.3999999999999999E-2</v>
      </c>
      <c r="Y296" s="99">
        <v>6.1864149872924573E-2</v>
      </c>
      <c r="Z296" s="100" t="s">
        <v>421</v>
      </c>
      <c r="AA296" s="102"/>
      <c r="AB296" s="102"/>
      <c r="AC296" s="104"/>
    </row>
    <row r="297" spans="1:29" ht="15" customHeight="1" x14ac:dyDescent="0.35">
      <c r="A297" s="96" t="s">
        <v>633</v>
      </c>
      <c r="B297" s="1" t="s">
        <v>25</v>
      </c>
      <c r="C297" s="1">
        <v>45681</v>
      </c>
      <c r="E297" s="97">
        <v>45302</v>
      </c>
      <c r="F297" s="10"/>
      <c r="H297" s="98">
        <v>0.52600000000000002</v>
      </c>
      <c r="I297" s="99">
        <v>0.12385965320310173</v>
      </c>
      <c r="J297" s="100" t="s">
        <v>409</v>
      </c>
      <c r="K297" s="101" t="s">
        <v>130</v>
      </c>
      <c r="L297" s="98">
        <v>0.32900000000000001</v>
      </c>
      <c r="M297" s="99">
        <v>1.53740448573825E-2</v>
      </c>
      <c r="N297" s="100" t="s">
        <v>130</v>
      </c>
      <c r="O297" s="98">
        <v>0.66600000000000004</v>
      </c>
      <c r="P297" s="99">
        <v>0.19617021365867265</v>
      </c>
      <c r="Q297" s="100" t="s">
        <v>409</v>
      </c>
      <c r="R297" s="110" t="s">
        <v>130</v>
      </c>
      <c r="S297" s="111" t="s">
        <v>130</v>
      </c>
      <c r="T297" s="104" t="s">
        <v>130</v>
      </c>
      <c r="U297" s="102" t="s">
        <v>130</v>
      </c>
      <c r="V297" s="103" t="s">
        <v>130</v>
      </c>
      <c r="W297" s="104"/>
      <c r="X297" s="98">
        <v>0.154</v>
      </c>
      <c r="Y297" s="99">
        <v>6.1864149872924573E-2</v>
      </c>
      <c r="Z297" s="100" t="s">
        <v>409</v>
      </c>
      <c r="AA297" s="102"/>
      <c r="AB297" s="102"/>
      <c r="AC297" s="104"/>
    </row>
    <row r="298" spans="1:29" ht="15" customHeight="1" x14ac:dyDescent="0.35">
      <c r="A298" s="96" t="s">
        <v>634</v>
      </c>
      <c r="B298" s="1" t="s">
        <v>24</v>
      </c>
      <c r="C298" s="1">
        <v>45681</v>
      </c>
      <c r="E298" s="97">
        <v>45302</v>
      </c>
      <c r="F298" s="10"/>
      <c r="H298" s="98">
        <v>0.67400000000000004</v>
      </c>
      <c r="I298" s="99">
        <v>0.12385965320310173</v>
      </c>
      <c r="J298" s="100" t="s">
        <v>409</v>
      </c>
      <c r="K298" s="101" t="s">
        <v>130</v>
      </c>
      <c r="L298" s="98">
        <v>0.13700000000000001</v>
      </c>
      <c r="M298" s="99">
        <v>1.53740448573825E-2</v>
      </c>
      <c r="N298" s="100" t="s">
        <v>409</v>
      </c>
      <c r="O298" s="98">
        <v>0.432</v>
      </c>
      <c r="P298" s="99">
        <v>0.19617021365867265</v>
      </c>
      <c r="Q298" s="100" t="s">
        <v>409</v>
      </c>
      <c r="R298" s="110" t="s">
        <v>130</v>
      </c>
      <c r="S298" s="111" t="s">
        <v>130</v>
      </c>
      <c r="T298" s="104" t="s">
        <v>130</v>
      </c>
      <c r="U298" s="102" t="s">
        <v>130</v>
      </c>
      <c r="V298" s="103" t="s">
        <v>130</v>
      </c>
      <c r="W298" s="104"/>
      <c r="X298" s="98">
        <v>3.1E-2</v>
      </c>
      <c r="Y298" s="99">
        <v>6.1864149872924573E-2</v>
      </c>
      <c r="Z298" s="100" t="s">
        <v>421</v>
      </c>
      <c r="AA298" s="102"/>
      <c r="AB298" s="102"/>
      <c r="AC298" s="104"/>
    </row>
    <row r="299" spans="1:29" ht="15" customHeight="1" x14ac:dyDescent="0.35">
      <c r="A299" s="96" t="s">
        <v>635</v>
      </c>
      <c r="B299" s="1" t="s">
        <v>23</v>
      </c>
      <c r="C299" s="1">
        <v>45681</v>
      </c>
      <c r="E299" s="97">
        <v>45302</v>
      </c>
      <c r="F299" s="10"/>
      <c r="H299" s="98">
        <v>0.35399999999999998</v>
      </c>
      <c r="I299" s="99">
        <v>0.12385965320310173</v>
      </c>
      <c r="J299" s="100" t="s">
        <v>409</v>
      </c>
      <c r="K299" s="101" t="s">
        <v>130</v>
      </c>
      <c r="L299" s="98">
        <v>0.27600000000000002</v>
      </c>
      <c r="M299" s="99">
        <v>1.53740448573825E-2</v>
      </c>
      <c r="N299" s="100" t="s">
        <v>130</v>
      </c>
      <c r="O299" s="98">
        <v>1.085</v>
      </c>
      <c r="P299" s="99">
        <v>0.19617021365867265</v>
      </c>
      <c r="Q299" s="100" t="s">
        <v>130</v>
      </c>
      <c r="R299" s="110" t="s">
        <v>130</v>
      </c>
      <c r="S299" s="111" t="s">
        <v>130</v>
      </c>
      <c r="T299" s="104" t="s">
        <v>130</v>
      </c>
      <c r="U299" s="102" t="s">
        <v>130</v>
      </c>
      <c r="V299" s="103" t="s">
        <v>130</v>
      </c>
      <c r="W299" s="104"/>
      <c r="X299" s="98">
        <v>0.57699999999999996</v>
      </c>
      <c r="Y299" s="99">
        <v>6.1864149872924573E-2</v>
      </c>
      <c r="Z299" s="100" t="s">
        <v>637</v>
      </c>
      <c r="AA299" s="102"/>
      <c r="AB299" s="102"/>
      <c r="AC299" s="104"/>
    </row>
    <row r="300" spans="1:29" ht="15" customHeight="1" x14ac:dyDescent="0.35">
      <c r="A300" s="96" t="s">
        <v>636</v>
      </c>
      <c r="B300" s="1" t="s">
        <v>39</v>
      </c>
      <c r="C300" s="1">
        <v>45681</v>
      </c>
      <c r="E300" s="97">
        <v>45298</v>
      </c>
      <c r="F300" s="10"/>
      <c r="H300" s="98">
        <v>0.54700000000000004</v>
      </c>
      <c r="I300" s="99">
        <v>0.12385965320310173</v>
      </c>
      <c r="J300" s="100" t="s">
        <v>409</v>
      </c>
      <c r="K300" s="101" t="s">
        <v>130</v>
      </c>
      <c r="L300" s="98">
        <v>0.16900000000000001</v>
      </c>
      <c r="M300" s="99">
        <v>1.53740448573825E-2</v>
      </c>
      <c r="N300" s="100" t="s">
        <v>130</v>
      </c>
      <c r="O300" s="98">
        <v>4.5759999999999996</v>
      </c>
      <c r="P300" s="99">
        <v>0.19617021365867265</v>
      </c>
      <c r="Q300" s="100" t="s">
        <v>130</v>
      </c>
      <c r="R300" s="110" t="s">
        <v>130</v>
      </c>
      <c r="S300" s="111" t="s">
        <v>130</v>
      </c>
      <c r="T300" s="104" t="s">
        <v>130</v>
      </c>
      <c r="U300" s="102" t="s">
        <v>130</v>
      </c>
      <c r="V300" s="103" t="s">
        <v>130</v>
      </c>
      <c r="W300" s="104"/>
      <c r="X300" s="98">
        <v>3.2000000000000001E-2</v>
      </c>
      <c r="Y300" s="99">
        <v>6.1864149872924573E-2</v>
      </c>
      <c r="Z300" s="100" t="s">
        <v>421</v>
      </c>
      <c r="AA300" s="102"/>
      <c r="AB300" s="102"/>
      <c r="AC300" s="104"/>
    </row>
    <row r="301" spans="1:29" ht="15" customHeight="1" x14ac:dyDescent="0.35">
      <c r="A301" s="95" t="s">
        <v>639</v>
      </c>
      <c r="B301" s="1" t="s">
        <v>48</v>
      </c>
      <c r="C301" s="1">
        <v>45000</v>
      </c>
      <c r="E301" s="97">
        <v>45204</v>
      </c>
      <c r="F301" s="10"/>
      <c r="H301" s="112" t="s">
        <v>130</v>
      </c>
      <c r="I301" s="113" t="s">
        <v>130</v>
      </c>
      <c r="J301" s="104" t="s">
        <v>130</v>
      </c>
      <c r="K301" s="114" t="s">
        <v>130</v>
      </c>
      <c r="L301" s="112" t="s">
        <v>130</v>
      </c>
      <c r="M301" s="113" t="s">
        <v>130</v>
      </c>
      <c r="N301" s="104" t="s">
        <v>130</v>
      </c>
      <c r="O301" s="112" t="s">
        <v>130</v>
      </c>
      <c r="P301" s="113" t="s">
        <v>130</v>
      </c>
      <c r="Q301" s="104" t="s">
        <v>130</v>
      </c>
      <c r="R301" s="115">
        <v>0.36000000000000004</v>
      </c>
      <c r="S301" s="116">
        <v>4.8428695773029003E-2</v>
      </c>
      <c r="T301" s="100" t="s">
        <v>130</v>
      </c>
      <c r="U301" s="117">
        <v>1.6522999999999999E-2</v>
      </c>
      <c r="V301" s="118">
        <v>8.6024971070195345E-4</v>
      </c>
      <c r="W301" s="100" t="s">
        <v>130</v>
      </c>
      <c r="X301" s="112" t="s">
        <v>130</v>
      </c>
      <c r="Y301" s="113" t="s">
        <v>130</v>
      </c>
      <c r="Z301" s="104" t="s">
        <v>130</v>
      </c>
      <c r="AA301" s="119">
        <v>5.8239999999999998</v>
      </c>
      <c r="AB301" s="120">
        <v>0.12479999999999999</v>
      </c>
      <c r="AC301" s="100" t="s">
        <v>130</v>
      </c>
    </row>
    <row r="302" spans="1:29" ht="15" customHeight="1" x14ac:dyDescent="0.35">
      <c r="A302" s="95" t="s">
        <v>640</v>
      </c>
      <c r="B302" s="1" t="s">
        <v>51</v>
      </c>
      <c r="C302" s="1">
        <v>45000</v>
      </c>
      <c r="E302" s="97">
        <v>45204</v>
      </c>
      <c r="F302" s="10"/>
      <c r="H302" s="112" t="s">
        <v>130</v>
      </c>
      <c r="I302" s="113" t="s">
        <v>130</v>
      </c>
      <c r="J302" s="104" t="s">
        <v>130</v>
      </c>
      <c r="K302" s="114" t="s">
        <v>130</v>
      </c>
      <c r="L302" s="112" t="s">
        <v>130</v>
      </c>
      <c r="M302" s="113" t="s">
        <v>130</v>
      </c>
      <c r="N302" s="104" t="s">
        <v>130</v>
      </c>
      <c r="O302" s="112" t="s">
        <v>130</v>
      </c>
      <c r="P302" s="113" t="s">
        <v>130</v>
      </c>
      <c r="Q302" s="104" t="s">
        <v>130</v>
      </c>
      <c r="R302" s="115">
        <v>0.94666666666666666</v>
      </c>
      <c r="S302" s="116">
        <v>4.8428695773029003E-2</v>
      </c>
      <c r="T302" s="100" t="s">
        <v>130</v>
      </c>
      <c r="U302" s="117">
        <v>1.5592999999999999E-2</v>
      </c>
      <c r="V302" s="118">
        <v>8.6024971070195345E-4</v>
      </c>
      <c r="W302" s="100" t="s">
        <v>130</v>
      </c>
      <c r="X302" s="112" t="s">
        <v>130</v>
      </c>
      <c r="Y302" s="113" t="s">
        <v>130</v>
      </c>
      <c r="Z302" s="104" t="s">
        <v>130</v>
      </c>
      <c r="AA302" s="119">
        <v>9.82</v>
      </c>
      <c r="AB302" s="120">
        <v>0.12478248357492842</v>
      </c>
      <c r="AC302" s="100" t="s">
        <v>130</v>
      </c>
    </row>
    <row r="303" spans="1:29" ht="15" customHeight="1" x14ac:dyDescent="0.35">
      <c r="A303" s="95" t="s">
        <v>641</v>
      </c>
      <c r="B303" s="1" t="s">
        <v>52</v>
      </c>
      <c r="C303" s="1">
        <v>45000</v>
      </c>
      <c r="E303" s="97">
        <v>45204</v>
      </c>
      <c r="F303" s="10"/>
      <c r="H303" s="112" t="s">
        <v>130</v>
      </c>
      <c r="I303" s="113" t="s">
        <v>130</v>
      </c>
      <c r="J303" s="104" t="s">
        <v>130</v>
      </c>
      <c r="K303" s="114" t="s">
        <v>130</v>
      </c>
      <c r="L303" s="112" t="s">
        <v>130</v>
      </c>
      <c r="M303" s="113" t="s">
        <v>130</v>
      </c>
      <c r="N303" s="104" t="s">
        <v>130</v>
      </c>
      <c r="O303" s="112" t="s">
        <v>130</v>
      </c>
      <c r="P303" s="113" t="s">
        <v>130</v>
      </c>
      <c r="Q303" s="104" t="s">
        <v>130</v>
      </c>
      <c r="R303" s="115">
        <v>0.9</v>
      </c>
      <c r="S303" s="116">
        <v>4.8428695773029003E-2</v>
      </c>
      <c r="T303" s="100" t="s">
        <v>130</v>
      </c>
      <c r="U303" s="117">
        <v>1.1749000000000001E-2</v>
      </c>
      <c r="V303" s="118">
        <v>8.6024971070195345E-4</v>
      </c>
      <c r="W303" s="100" t="s">
        <v>130</v>
      </c>
      <c r="X303" s="112" t="s">
        <v>130</v>
      </c>
      <c r="Y303" s="113" t="s">
        <v>130</v>
      </c>
      <c r="Z303" s="104" t="s">
        <v>130</v>
      </c>
      <c r="AA303" s="119">
        <v>9.2249999999999996</v>
      </c>
      <c r="AB303" s="120">
        <v>0.12478248357492842</v>
      </c>
      <c r="AC303" s="100" t="s">
        <v>130</v>
      </c>
    </row>
    <row r="304" spans="1:29" ht="15" customHeight="1" x14ac:dyDescent="0.35">
      <c r="A304" s="95" t="s">
        <v>642</v>
      </c>
      <c r="B304" s="1" t="s">
        <v>53</v>
      </c>
      <c r="C304" s="1">
        <v>45000</v>
      </c>
      <c r="E304" s="97">
        <v>45204</v>
      </c>
      <c r="H304" s="112" t="s">
        <v>130</v>
      </c>
      <c r="I304" s="113" t="s">
        <v>130</v>
      </c>
      <c r="J304" s="104" t="s">
        <v>130</v>
      </c>
      <c r="K304" s="114" t="s">
        <v>130</v>
      </c>
      <c r="L304" s="112" t="s">
        <v>130</v>
      </c>
      <c r="M304" s="113" t="s">
        <v>130</v>
      </c>
      <c r="N304" s="104" t="s">
        <v>130</v>
      </c>
      <c r="O304" s="112" t="s">
        <v>130</v>
      </c>
      <c r="P304" s="113" t="s">
        <v>130</v>
      </c>
      <c r="Q304" s="104" t="s">
        <v>130</v>
      </c>
      <c r="R304" s="115">
        <v>0.77666666666666673</v>
      </c>
      <c r="S304" s="116">
        <v>4.8428695773029003E-2</v>
      </c>
      <c r="T304" s="100" t="s">
        <v>130</v>
      </c>
      <c r="U304" s="117">
        <v>7.4089999999999998E-3</v>
      </c>
      <c r="V304" s="118">
        <v>8.6024971070195345E-4</v>
      </c>
      <c r="W304" s="100" t="s">
        <v>130</v>
      </c>
      <c r="X304" s="112" t="s">
        <v>130</v>
      </c>
      <c r="Y304" s="113" t="s">
        <v>130</v>
      </c>
      <c r="Z304" s="104" t="s">
        <v>130</v>
      </c>
      <c r="AA304" s="119">
        <v>9.5269999999999992</v>
      </c>
      <c r="AB304" s="120">
        <v>0.12478248357492842</v>
      </c>
      <c r="AC304" s="100" t="s">
        <v>130</v>
      </c>
    </row>
    <row r="305" spans="1:29" ht="15" customHeight="1" x14ac:dyDescent="0.35">
      <c r="A305" s="95" t="s">
        <v>643</v>
      </c>
      <c r="B305" s="1" t="s">
        <v>54</v>
      </c>
      <c r="C305" s="1">
        <v>45000</v>
      </c>
      <c r="E305" s="97">
        <v>45204</v>
      </c>
      <c r="H305" s="112" t="s">
        <v>130</v>
      </c>
      <c r="I305" s="113" t="s">
        <v>130</v>
      </c>
      <c r="J305" s="104" t="s">
        <v>130</v>
      </c>
      <c r="K305" s="114" t="s">
        <v>130</v>
      </c>
      <c r="L305" s="112" t="s">
        <v>130</v>
      </c>
      <c r="M305" s="113" t="s">
        <v>130</v>
      </c>
      <c r="N305" s="104" t="s">
        <v>130</v>
      </c>
      <c r="O305" s="112" t="s">
        <v>130</v>
      </c>
      <c r="P305" s="113" t="s">
        <v>130</v>
      </c>
      <c r="Q305" s="104" t="s">
        <v>130</v>
      </c>
      <c r="R305" s="115">
        <v>0.26</v>
      </c>
      <c r="S305" s="116">
        <v>4.8428695773029003E-2</v>
      </c>
      <c r="T305" s="100" t="s">
        <v>130</v>
      </c>
      <c r="U305" s="117">
        <v>1.0137E-2</v>
      </c>
      <c r="V305" s="118">
        <v>8.6024971070195345E-4</v>
      </c>
      <c r="W305" s="100" t="s">
        <v>130</v>
      </c>
      <c r="X305" s="112" t="s">
        <v>130</v>
      </c>
      <c r="Y305" s="113" t="s">
        <v>130</v>
      </c>
      <c r="Z305" s="104" t="s">
        <v>130</v>
      </c>
      <c r="AA305" s="119">
        <v>2.665</v>
      </c>
      <c r="AB305" s="120">
        <v>0.12478248357492842</v>
      </c>
      <c r="AC305" s="100" t="s">
        <v>130</v>
      </c>
    </row>
    <row r="306" spans="1:29" ht="15" customHeight="1" x14ac:dyDescent="0.35">
      <c r="A306" s="95" t="s">
        <v>644</v>
      </c>
      <c r="B306" s="1" t="s">
        <v>55</v>
      </c>
      <c r="C306" s="1">
        <v>45000</v>
      </c>
      <c r="E306" s="97">
        <v>45204</v>
      </c>
      <c r="H306" s="112" t="s">
        <v>130</v>
      </c>
      <c r="I306" s="113" t="s">
        <v>130</v>
      </c>
      <c r="J306" s="104" t="s">
        <v>130</v>
      </c>
      <c r="K306" s="114" t="s">
        <v>130</v>
      </c>
      <c r="L306" s="112" t="s">
        <v>130</v>
      </c>
      <c r="M306" s="113" t="s">
        <v>130</v>
      </c>
      <c r="N306" s="104" t="s">
        <v>130</v>
      </c>
      <c r="O306" s="112" t="s">
        <v>130</v>
      </c>
      <c r="P306" s="113" t="s">
        <v>130</v>
      </c>
      <c r="Q306" s="104" t="s">
        <v>130</v>
      </c>
      <c r="R306" s="115">
        <v>0.31</v>
      </c>
      <c r="S306" s="116">
        <v>4.8428695773029003E-2</v>
      </c>
      <c r="T306" s="100" t="s">
        <v>130</v>
      </c>
      <c r="U306" s="117">
        <v>2.1142000000000001E-2</v>
      </c>
      <c r="V306" s="118">
        <v>8.6024971070195345E-4</v>
      </c>
      <c r="W306" s="100" t="s">
        <v>130</v>
      </c>
      <c r="X306" s="112" t="s">
        <v>130</v>
      </c>
      <c r="Y306" s="113" t="s">
        <v>130</v>
      </c>
      <c r="Z306" s="104" t="s">
        <v>130</v>
      </c>
      <c r="AA306" s="119">
        <v>3.403</v>
      </c>
      <c r="AB306" s="120">
        <v>0.12478248357492842</v>
      </c>
      <c r="AC306" s="100" t="s">
        <v>130</v>
      </c>
    </row>
    <row r="307" spans="1:29" ht="15" customHeight="1" x14ac:dyDescent="0.35">
      <c r="A307" s="95" t="s">
        <v>645</v>
      </c>
      <c r="B307" s="1" t="s">
        <v>33</v>
      </c>
      <c r="C307" s="1" t="s">
        <v>109</v>
      </c>
      <c r="E307" s="97">
        <v>45258</v>
      </c>
      <c r="H307" s="112" t="s">
        <v>130</v>
      </c>
      <c r="I307" s="113" t="s">
        <v>130</v>
      </c>
      <c r="J307" s="104" t="s">
        <v>130</v>
      </c>
      <c r="K307" s="114" t="s">
        <v>130</v>
      </c>
      <c r="L307" s="112" t="s">
        <v>130</v>
      </c>
      <c r="M307" s="113" t="s">
        <v>130</v>
      </c>
      <c r="N307" s="104" t="s">
        <v>130</v>
      </c>
      <c r="O307" s="112" t="s">
        <v>130</v>
      </c>
      <c r="P307" s="113" t="s">
        <v>130</v>
      </c>
      <c r="Q307" s="104" t="s">
        <v>130</v>
      </c>
      <c r="R307" s="115">
        <v>2.19</v>
      </c>
      <c r="S307" s="116">
        <v>4.8428695773029003E-2</v>
      </c>
      <c r="T307" s="100" t="s">
        <v>130</v>
      </c>
      <c r="U307" s="117">
        <v>5.8744999999999999E-2</v>
      </c>
      <c r="V307" s="118">
        <v>8.6024971070195345E-4</v>
      </c>
      <c r="W307" s="100" t="s">
        <v>130</v>
      </c>
      <c r="X307" s="112" t="s">
        <v>130</v>
      </c>
      <c r="Y307" s="113" t="s">
        <v>130</v>
      </c>
      <c r="Z307" s="104" t="s">
        <v>130</v>
      </c>
      <c r="AA307" s="115">
        <v>26.29</v>
      </c>
      <c r="AB307" s="120">
        <v>0.12478248357492842</v>
      </c>
      <c r="AC307" s="100" t="s">
        <v>130</v>
      </c>
    </row>
    <row r="308" spans="1:29" ht="15" customHeight="1" x14ac:dyDescent="0.35">
      <c r="A308" s="95" t="s">
        <v>646</v>
      </c>
      <c r="B308" s="1" t="s">
        <v>29</v>
      </c>
      <c r="C308" s="1" t="s">
        <v>109</v>
      </c>
      <c r="E308" s="97">
        <v>45258</v>
      </c>
      <c r="H308" s="112" t="s">
        <v>130</v>
      </c>
      <c r="I308" s="113" t="s">
        <v>130</v>
      </c>
      <c r="J308" s="104" t="s">
        <v>130</v>
      </c>
      <c r="K308" s="114" t="s">
        <v>130</v>
      </c>
      <c r="L308" s="112" t="s">
        <v>130</v>
      </c>
      <c r="M308" s="113" t="s">
        <v>130</v>
      </c>
      <c r="N308" s="104" t="s">
        <v>130</v>
      </c>
      <c r="O308" s="112" t="s">
        <v>130</v>
      </c>
      <c r="P308" s="113" t="s">
        <v>130</v>
      </c>
      <c r="Q308" s="104" t="s">
        <v>130</v>
      </c>
      <c r="R308" s="115">
        <v>2.9299999999999997</v>
      </c>
      <c r="S308" s="116">
        <v>4.8428695773029003E-2</v>
      </c>
      <c r="T308" s="100" t="s">
        <v>130</v>
      </c>
      <c r="U308" s="117">
        <v>0.118668</v>
      </c>
      <c r="V308" s="118">
        <v>3.0796490186630779E-3</v>
      </c>
      <c r="W308" s="100" t="s">
        <v>130</v>
      </c>
      <c r="X308" s="112" t="s">
        <v>130</v>
      </c>
      <c r="Y308" s="113" t="s">
        <v>130</v>
      </c>
      <c r="Z308" s="104" t="s">
        <v>130</v>
      </c>
      <c r="AA308" s="115">
        <v>44.153000000000006</v>
      </c>
      <c r="AB308" s="120">
        <v>0.62391241787464213</v>
      </c>
      <c r="AC308" s="100" t="s">
        <v>130</v>
      </c>
    </row>
    <row r="309" spans="1:29" ht="15" customHeight="1" x14ac:dyDescent="0.35">
      <c r="A309" s="95" t="s">
        <v>647</v>
      </c>
      <c r="B309" s="1" t="s">
        <v>30</v>
      </c>
      <c r="C309" s="1" t="s">
        <v>109</v>
      </c>
      <c r="E309" s="97">
        <v>45258</v>
      </c>
      <c r="H309" s="112" t="s">
        <v>130</v>
      </c>
      <c r="I309" s="113" t="s">
        <v>130</v>
      </c>
      <c r="J309" s="104" t="s">
        <v>130</v>
      </c>
      <c r="K309" s="114" t="s">
        <v>130</v>
      </c>
      <c r="L309" s="112" t="s">
        <v>130</v>
      </c>
      <c r="M309" s="113" t="s">
        <v>130</v>
      </c>
      <c r="N309" s="104" t="s">
        <v>130</v>
      </c>
      <c r="O309" s="112" t="s">
        <v>130</v>
      </c>
      <c r="P309" s="113" t="s">
        <v>130</v>
      </c>
      <c r="Q309" s="104" t="s">
        <v>130</v>
      </c>
      <c r="R309" s="121">
        <v>2.4700000000000002</v>
      </c>
      <c r="S309" s="122">
        <v>0.1</v>
      </c>
      <c r="T309" s="123" t="s">
        <v>130</v>
      </c>
      <c r="U309" s="117">
        <v>0.117242</v>
      </c>
      <c r="V309" s="118">
        <v>3.0796490186630779E-3</v>
      </c>
      <c r="W309" s="100" t="s">
        <v>130</v>
      </c>
      <c r="X309" s="112" t="s">
        <v>130</v>
      </c>
      <c r="Y309" s="113" t="s">
        <v>130</v>
      </c>
      <c r="Z309" s="104" t="s">
        <v>130</v>
      </c>
      <c r="AA309" s="115">
        <v>39.753</v>
      </c>
      <c r="AB309" s="120">
        <v>0.62391241787464213</v>
      </c>
      <c r="AC309" s="100" t="s">
        <v>130</v>
      </c>
    </row>
    <row r="310" spans="1:29" ht="15" customHeight="1" x14ac:dyDescent="0.35">
      <c r="A310" s="95" t="s">
        <v>648</v>
      </c>
      <c r="B310" s="1" t="s">
        <v>23</v>
      </c>
      <c r="C310" s="1" t="s">
        <v>109</v>
      </c>
      <c r="E310" s="97">
        <v>45258</v>
      </c>
      <c r="H310" s="112" t="s">
        <v>130</v>
      </c>
      <c r="I310" s="113" t="s">
        <v>130</v>
      </c>
      <c r="J310" s="104" t="s">
        <v>130</v>
      </c>
      <c r="K310" s="114" t="s">
        <v>130</v>
      </c>
      <c r="L310" s="112" t="s">
        <v>130</v>
      </c>
      <c r="M310" s="113" t="s">
        <v>130</v>
      </c>
      <c r="N310" s="104" t="s">
        <v>130</v>
      </c>
      <c r="O310" s="112" t="s">
        <v>130</v>
      </c>
      <c r="P310" s="113" t="s">
        <v>130</v>
      </c>
      <c r="Q310" s="104" t="s">
        <v>130</v>
      </c>
      <c r="R310" s="115">
        <v>2.9500000000000006</v>
      </c>
      <c r="S310" s="116">
        <v>4.8428695773029003E-2</v>
      </c>
      <c r="T310" s="100" t="s">
        <v>130</v>
      </c>
      <c r="U310" s="117">
        <v>5.8000999999999997E-2</v>
      </c>
      <c r="V310" s="118">
        <v>9.5629034310139728E-4</v>
      </c>
      <c r="W310" s="100" t="s">
        <v>130</v>
      </c>
      <c r="X310" s="112" t="s">
        <v>130</v>
      </c>
      <c r="Y310" s="113" t="s">
        <v>130</v>
      </c>
      <c r="Z310" s="104" t="s">
        <v>130</v>
      </c>
      <c r="AA310" s="115">
        <v>38.442999999999998</v>
      </c>
      <c r="AB310" s="120">
        <v>0.62391241787464213</v>
      </c>
      <c r="AC310" s="100" t="s">
        <v>130</v>
      </c>
    </row>
    <row r="311" spans="1:29" ht="15" customHeight="1" x14ac:dyDescent="0.35">
      <c r="A311" s="95" t="s">
        <v>649</v>
      </c>
      <c r="B311" s="1" t="s">
        <v>47</v>
      </c>
      <c r="C311" s="1" t="s">
        <v>109</v>
      </c>
      <c r="E311" s="97">
        <v>45258</v>
      </c>
      <c r="H311" s="112" t="s">
        <v>130</v>
      </c>
      <c r="I311" s="113" t="s">
        <v>130</v>
      </c>
      <c r="J311" s="104" t="s">
        <v>130</v>
      </c>
      <c r="K311" s="114" t="s">
        <v>130</v>
      </c>
      <c r="L311" s="112" t="s">
        <v>130</v>
      </c>
      <c r="M311" s="113" t="s">
        <v>130</v>
      </c>
      <c r="N311" s="104" t="s">
        <v>130</v>
      </c>
      <c r="O311" s="112" t="s">
        <v>130</v>
      </c>
      <c r="P311" s="113" t="s">
        <v>130</v>
      </c>
      <c r="Q311" s="104" t="s">
        <v>130</v>
      </c>
      <c r="R311" s="115">
        <v>2.023333333333333</v>
      </c>
      <c r="S311" s="116">
        <v>4.8428695773029003E-2</v>
      </c>
      <c r="T311" s="100" t="s">
        <v>130</v>
      </c>
      <c r="U311" s="117">
        <v>0.20122099999999998</v>
      </c>
      <c r="V311" s="118">
        <v>3.0796490186630779E-3</v>
      </c>
      <c r="W311" s="100" t="s">
        <v>130</v>
      </c>
      <c r="X311" s="112" t="s">
        <v>130</v>
      </c>
      <c r="Y311" s="113" t="s">
        <v>130</v>
      </c>
      <c r="Z311" s="104" t="s">
        <v>130</v>
      </c>
      <c r="AA311" s="115">
        <v>53.718000000000004</v>
      </c>
      <c r="AB311" s="120">
        <v>0.62391241787464213</v>
      </c>
      <c r="AC311" s="100" t="s">
        <v>130</v>
      </c>
    </row>
    <row r="312" spans="1:29" ht="15" customHeight="1" x14ac:dyDescent="0.35">
      <c r="A312" s="95" t="s">
        <v>650</v>
      </c>
      <c r="B312" s="1" t="s">
        <v>46</v>
      </c>
      <c r="C312" s="1" t="s">
        <v>109</v>
      </c>
      <c r="E312" s="97">
        <v>45258</v>
      </c>
      <c r="H312" s="112" t="s">
        <v>130</v>
      </c>
      <c r="I312" s="113" t="s">
        <v>130</v>
      </c>
      <c r="J312" s="104" t="s">
        <v>130</v>
      </c>
      <c r="K312" s="114" t="s">
        <v>130</v>
      </c>
      <c r="L312" s="112" t="s">
        <v>130</v>
      </c>
      <c r="M312" s="113" t="s">
        <v>130</v>
      </c>
      <c r="N312" s="104" t="s">
        <v>130</v>
      </c>
      <c r="O312" s="112" t="s">
        <v>130</v>
      </c>
      <c r="P312" s="113" t="s">
        <v>130</v>
      </c>
      <c r="Q312" s="104" t="s">
        <v>130</v>
      </c>
      <c r="R312" s="115">
        <v>0.7466666666666667</v>
      </c>
      <c r="S312" s="116">
        <v>4.8428695773029003E-2</v>
      </c>
      <c r="T312" s="100" t="s">
        <v>130</v>
      </c>
      <c r="U312" s="117">
        <v>9.330999999999999E-3</v>
      </c>
      <c r="V312" s="118">
        <v>9.5629034310139728E-4</v>
      </c>
      <c r="W312" s="100" t="s">
        <v>130</v>
      </c>
      <c r="X312" s="112" t="s">
        <v>130</v>
      </c>
      <c r="Y312" s="113" t="s">
        <v>130</v>
      </c>
      <c r="Z312" s="104" t="s">
        <v>130</v>
      </c>
      <c r="AA312" s="119">
        <v>8.7579999999999991</v>
      </c>
      <c r="AB312" s="120">
        <v>0.12478248357492842</v>
      </c>
      <c r="AC312" s="100" t="s">
        <v>130</v>
      </c>
    </row>
    <row r="313" spans="1:29" ht="15" customHeight="1" x14ac:dyDescent="0.35">
      <c r="A313" s="95" t="s">
        <v>651</v>
      </c>
      <c r="B313" s="1" t="s">
        <v>45</v>
      </c>
      <c r="C313" s="1" t="s">
        <v>109</v>
      </c>
      <c r="E313" s="97">
        <v>45258</v>
      </c>
      <c r="H313" s="112" t="s">
        <v>130</v>
      </c>
      <c r="I313" s="113" t="s">
        <v>130</v>
      </c>
      <c r="J313" s="104" t="s">
        <v>130</v>
      </c>
      <c r="K313" s="114" t="s">
        <v>130</v>
      </c>
      <c r="L313" s="112" t="s">
        <v>130</v>
      </c>
      <c r="M313" s="113" t="s">
        <v>130</v>
      </c>
      <c r="N313" s="104" t="s">
        <v>130</v>
      </c>
      <c r="O313" s="112" t="s">
        <v>130</v>
      </c>
      <c r="P313" s="113" t="s">
        <v>130</v>
      </c>
      <c r="Q313" s="104" t="s">
        <v>130</v>
      </c>
      <c r="R313" s="115">
        <v>0.66999999999999993</v>
      </c>
      <c r="S313" s="116">
        <v>4.8428695773029003E-2</v>
      </c>
      <c r="T313" s="100" t="s">
        <v>130</v>
      </c>
      <c r="U313" s="117">
        <v>8.2459999999999999E-3</v>
      </c>
      <c r="V313" s="118">
        <v>9.5629034310139728E-4</v>
      </c>
      <c r="W313" s="100" t="s">
        <v>130</v>
      </c>
      <c r="X313" s="112" t="s">
        <v>130</v>
      </c>
      <c r="Y313" s="113" t="s">
        <v>130</v>
      </c>
      <c r="Z313" s="104" t="s">
        <v>130</v>
      </c>
      <c r="AA313" s="119">
        <v>6.7629999999999999</v>
      </c>
      <c r="AB313" s="120">
        <v>0.12478248357492842</v>
      </c>
      <c r="AC313" s="100" t="s">
        <v>130</v>
      </c>
    </row>
    <row r="314" spans="1:29" ht="15" customHeight="1" x14ac:dyDescent="0.35">
      <c r="A314" s="95" t="s">
        <v>652</v>
      </c>
      <c r="B314" s="1" t="s">
        <v>43</v>
      </c>
      <c r="C314" s="1" t="s">
        <v>109</v>
      </c>
      <c r="E314" s="97">
        <v>45260</v>
      </c>
      <c r="H314" s="112" t="s">
        <v>130</v>
      </c>
      <c r="I314" s="113" t="s">
        <v>130</v>
      </c>
      <c r="J314" s="104" t="s">
        <v>130</v>
      </c>
      <c r="K314" s="114" t="s">
        <v>130</v>
      </c>
      <c r="L314" s="112" t="s">
        <v>130</v>
      </c>
      <c r="M314" s="113" t="s">
        <v>130</v>
      </c>
      <c r="N314" s="104" t="s">
        <v>130</v>
      </c>
      <c r="O314" s="112" t="s">
        <v>130</v>
      </c>
      <c r="P314" s="113" t="s">
        <v>130</v>
      </c>
      <c r="Q314" s="104" t="s">
        <v>130</v>
      </c>
      <c r="R314" s="115">
        <v>1.4133333333333333</v>
      </c>
      <c r="S314" s="116">
        <v>4.8428695773029003E-2</v>
      </c>
      <c r="T314" s="100" t="s">
        <v>130</v>
      </c>
      <c r="U314" s="117">
        <v>4.4733000000000002E-2</v>
      </c>
      <c r="V314" s="118">
        <v>8.6024971070195345E-4</v>
      </c>
      <c r="W314" s="100" t="s">
        <v>130</v>
      </c>
      <c r="X314" s="112" t="s">
        <v>130</v>
      </c>
      <c r="Y314" s="113" t="s">
        <v>130</v>
      </c>
      <c r="Z314" s="104" t="s">
        <v>130</v>
      </c>
      <c r="AA314" s="115">
        <v>15.66</v>
      </c>
      <c r="AB314" s="120">
        <v>0.12478248357492842</v>
      </c>
      <c r="AC314" s="100" t="s">
        <v>130</v>
      </c>
    </row>
    <row r="315" spans="1:29" ht="15" customHeight="1" x14ac:dyDescent="0.35">
      <c r="A315" s="95" t="s">
        <v>653</v>
      </c>
      <c r="B315" s="1" t="s">
        <v>42</v>
      </c>
      <c r="C315" s="1" t="s">
        <v>109</v>
      </c>
      <c r="E315" s="97">
        <v>45260</v>
      </c>
      <c r="H315" s="112" t="s">
        <v>130</v>
      </c>
      <c r="I315" s="113" t="s">
        <v>130</v>
      </c>
      <c r="J315" s="104" t="s">
        <v>130</v>
      </c>
      <c r="K315" s="114" t="s">
        <v>130</v>
      </c>
      <c r="L315" s="112" t="s">
        <v>130</v>
      </c>
      <c r="M315" s="113" t="s">
        <v>130</v>
      </c>
      <c r="N315" s="104" t="s">
        <v>130</v>
      </c>
      <c r="O315" s="112" t="s">
        <v>130</v>
      </c>
      <c r="P315" s="113" t="s">
        <v>130</v>
      </c>
      <c r="Q315" s="104" t="s">
        <v>130</v>
      </c>
      <c r="R315" s="115">
        <v>1.79</v>
      </c>
      <c r="S315" s="116">
        <v>4.8428695773029003E-2</v>
      </c>
      <c r="T315" s="100" t="s">
        <v>130</v>
      </c>
      <c r="U315" s="117">
        <v>4.7957E-2</v>
      </c>
      <c r="V315" s="118">
        <v>8.6024971070195345E-4</v>
      </c>
      <c r="W315" s="100" t="s">
        <v>130</v>
      </c>
      <c r="X315" s="112" t="s">
        <v>130</v>
      </c>
      <c r="Y315" s="113" t="s">
        <v>130</v>
      </c>
      <c r="Z315" s="104" t="s">
        <v>130</v>
      </c>
      <c r="AA315" s="115">
        <v>21.49</v>
      </c>
      <c r="AB315" s="120">
        <v>0.12478248357492842</v>
      </c>
      <c r="AC315" s="100" t="s">
        <v>130</v>
      </c>
    </row>
    <row r="316" spans="1:29" ht="15" customHeight="1" x14ac:dyDescent="0.35">
      <c r="A316" s="95" t="s">
        <v>654</v>
      </c>
      <c r="B316" s="1" t="s">
        <v>48</v>
      </c>
      <c r="C316" s="1" t="s">
        <v>109</v>
      </c>
      <c r="E316" s="97">
        <v>45260</v>
      </c>
      <c r="H316" s="112" t="s">
        <v>130</v>
      </c>
      <c r="I316" s="113" t="s">
        <v>130</v>
      </c>
      <c r="J316" s="104" t="s">
        <v>130</v>
      </c>
      <c r="K316" s="114" t="s">
        <v>130</v>
      </c>
      <c r="L316" s="112" t="s">
        <v>130</v>
      </c>
      <c r="M316" s="113" t="s">
        <v>130</v>
      </c>
      <c r="N316" s="104" t="s">
        <v>130</v>
      </c>
      <c r="O316" s="112" t="s">
        <v>130</v>
      </c>
      <c r="P316" s="113" t="s">
        <v>130</v>
      </c>
      <c r="Q316" s="104" t="s">
        <v>130</v>
      </c>
      <c r="R316" s="115">
        <v>0.33666666666666667</v>
      </c>
      <c r="S316" s="116">
        <v>4.8428695773029003E-2</v>
      </c>
      <c r="T316" s="100" t="s">
        <v>130</v>
      </c>
      <c r="U316" s="117">
        <v>1.7298000000000001E-2</v>
      </c>
      <c r="V316" s="118">
        <v>8.6024971070195345E-4</v>
      </c>
      <c r="W316" s="100" t="s">
        <v>130</v>
      </c>
      <c r="X316" s="112" t="s">
        <v>130</v>
      </c>
      <c r="Y316" s="113" t="s">
        <v>130</v>
      </c>
      <c r="Z316" s="104" t="s">
        <v>130</v>
      </c>
      <c r="AA316" s="119">
        <v>3.7530000000000001</v>
      </c>
      <c r="AB316" s="120">
        <v>0.12478248357492842</v>
      </c>
      <c r="AC316" s="100" t="s">
        <v>130</v>
      </c>
    </row>
    <row r="317" spans="1:29" ht="15" customHeight="1" x14ac:dyDescent="0.35">
      <c r="A317" s="95" t="s">
        <v>655</v>
      </c>
      <c r="B317" s="1" t="s">
        <v>54</v>
      </c>
      <c r="C317" s="1" t="s">
        <v>109</v>
      </c>
      <c r="E317" s="97">
        <v>45260</v>
      </c>
      <c r="H317" s="112" t="s">
        <v>130</v>
      </c>
      <c r="I317" s="113" t="s">
        <v>130</v>
      </c>
      <c r="J317" s="104" t="s">
        <v>130</v>
      </c>
      <c r="K317" s="114" t="s">
        <v>130</v>
      </c>
      <c r="L317" s="112" t="s">
        <v>130</v>
      </c>
      <c r="M317" s="113" t="s">
        <v>130</v>
      </c>
      <c r="N317" s="104" t="s">
        <v>130</v>
      </c>
      <c r="O317" s="112" t="s">
        <v>130</v>
      </c>
      <c r="P317" s="113" t="s">
        <v>130</v>
      </c>
      <c r="Q317" s="104" t="s">
        <v>130</v>
      </c>
      <c r="R317" s="115">
        <v>0.32</v>
      </c>
      <c r="S317" s="116">
        <v>4.8428695773029003E-2</v>
      </c>
      <c r="T317" s="100" t="s">
        <v>130</v>
      </c>
      <c r="U317" s="117">
        <v>8.7419999999999998E-3</v>
      </c>
      <c r="V317" s="118">
        <v>8.6024971070195345E-4</v>
      </c>
      <c r="W317" s="100" t="s">
        <v>130</v>
      </c>
      <c r="X317" s="112" t="s">
        <v>130</v>
      </c>
      <c r="Y317" s="113" t="s">
        <v>130</v>
      </c>
      <c r="Z317" s="104" t="s">
        <v>130</v>
      </c>
      <c r="AA317" s="119">
        <v>3.8860000000000001</v>
      </c>
      <c r="AB317" s="120">
        <v>0.12478248357492842</v>
      </c>
      <c r="AC317" s="100" t="s">
        <v>130</v>
      </c>
    </row>
    <row r="318" spans="1:29" ht="15" customHeight="1" x14ac:dyDescent="0.35">
      <c r="A318" s="95" t="s">
        <v>656</v>
      </c>
      <c r="B318" s="1" t="s">
        <v>53</v>
      </c>
      <c r="C318" s="1" t="s">
        <v>109</v>
      </c>
      <c r="E318" s="97">
        <v>45260</v>
      </c>
      <c r="H318" s="112" t="s">
        <v>130</v>
      </c>
      <c r="I318" s="113" t="s">
        <v>130</v>
      </c>
      <c r="J318" s="104" t="s">
        <v>130</v>
      </c>
      <c r="K318" s="114" t="s">
        <v>130</v>
      </c>
      <c r="L318" s="112" t="s">
        <v>130</v>
      </c>
      <c r="M318" s="113" t="s">
        <v>130</v>
      </c>
      <c r="N318" s="104" t="s">
        <v>130</v>
      </c>
      <c r="O318" s="112" t="s">
        <v>130</v>
      </c>
      <c r="P318" s="113" t="s">
        <v>130</v>
      </c>
      <c r="Q318" s="104" t="s">
        <v>130</v>
      </c>
      <c r="R318" s="115">
        <v>0.67666666666666675</v>
      </c>
      <c r="S318" s="116">
        <v>4.8428695773029003E-2</v>
      </c>
      <c r="T318" s="100" t="s">
        <v>130</v>
      </c>
      <c r="U318" s="117">
        <v>8.4939999999999998E-3</v>
      </c>
      <c r="V318" s="118">
        <v>8.6024971070195345E-4</v>
      </c>
      <c r="W318" s="100" t="s">
        <v>130</v>
      </c>
      <c r="X318" s="112" t="s">
        <v>130</v>
      </c>
      <c r="Y318" s="113" t="s">
        <v>130</v>
      </c>
      <c r="Z318" s="104" t="s">
        <v>130</v>
      </c>
      <c r="AA318" s="119">
        <v>6.9710000000000001</v>
      </c>
      <c r="AB318" s="120">
        <v>0.12478248357492842</v>
      </c>
      <c r="AC318" s="100" t="s">
        <v>130</v>
      </c>
    </row>
    <row r="319" spans="1:29" ht="15" customHeight="1" x14ac:dyDescent="0.35">
      <c r="A319" s="95" t="s">
        <v>657</v>
      </c>
      <c r="B319" s="1" t="s">
        <v>51</v>
      </c>
      <c r="C319" s="1" t="s">
        <v>109</v>
      </c>
      <c r="E319" s="97">
        <v>45260</v>
      </c>
      <c r="H319" s="112" t="s">
        <v>130</v>
      </c>
      <c r="I319" s="113" t="s">
        <v>130</v>
      </c>
      <c r="J319" s="104" t="s">
        <v>130</v>
      </c>
      <c r="K319" s="114" t="s">
        <v>130</v>
      </c>
      <c r="L319" s="112" t="s">
        <v>130</v>
      </c>
      <c r="M319" s="113" t="s">
        <v>130</v>
      </c>
      <c r="N319" s="104" t="s">
        <v>130</v>
      </c>
      <c r="O319" s="112" t="s">
        <v>130</v>
      </c>
      <c r="P319" s="113" t="s">
        <v>130</v>
      </c>
      <c r="Q319" s="104" t="s">
        <v>130</v>
      </c>
      <c r="R319" s="115">
        <v>0.95333333333333325</v>
      </c>
      <c r="S319" s="116">
        <v>4.8428695773029003E-2</v>
      </c>
      <c r="T319" s="100" t="s">
        <v>130</v>
      </c>
      <c r="U319" s="117">
        <v>1.3547E-2</v>
      </c>
      <c r="V319" s="118">
        <v>8.6024971070195345E-4</v>
      </c>
      <c r="W319" s="100" t="s">
        <v>130</v>
      </c>
      <c r="X319" s="112" t="s">
        <v>130</v>
      </c>
      <c r="Y319" s="113" t="s">
        <v>130</v>
      </c>
      <c r="Z319" s="104" t="s">
        <v>130</v>
      </c>
      <c r="AA319" s="119">
        <v>9.7590000000000003</v>
      </c>
      <c r="AB319" s="120">
        <v>0.12478248357492842</v>
      </c>
      <c r="AC319" s="100" t="s">
        <v>130</v>
      </c>
    </row>
    <row r="320" spans="1:29" ht="15" customHeight="1" x14ac:dyDescent="0.35">
      <c r="A320" s="95" t="s">
        <v>658</v>
      </c>
      <c r="B320" s="1" t="s">
        <v>41</v>
      </c>
      <c r="C320" s="1" t="s">
        <v>109</v>
      </c>
      <c r="E320" s="97">
        <v>45260</v>
      </c>
      <c r="H320" s="112" t="s">
        <v>130</v>
      </c>
      <c r="I320" s="113" t="s">
        <v>130</v>
      </c>
      <c r="J320" s="104" t="s">
        <v>130</v>
      </c>
      <c r="K320" s="114" t="s">
        <v>130</v>
      </c>
      <c r="L320" s="112" t="s">
        <v>130</v>
      </c>
      <c r="M320" s="113" t="s">
        <v>130</v>
      </c>
      <c r="N320" s="104" t="s">
        <v>130</v>
      </c>
      <c r="O320" s="112" t="s">
        <v>130</v>
      </c>
      <c r="P320" s="113" t="s">
        <v>130</v>
      </c>
      <c r="Q320" s="104" t="s">
        <v>130</v>
      </c>
      <c r="R320" s="115">
        <v>0.44</v>
      </c>
      <c r="S320" s="116">
        <v>4.8428695773029003E-2</v>
      </c>
      <c r="T320" s="100" t="s">
        <v>130</v>
      </c>
      <c r="U320" s="117">
        <v>1.0540000000000001E-2</v>
      </c>
      <c r="V320" s="118">
        <v>8.6024971070195345E-4</v>
      </c>
      <c r="W320" s="100" t="s">
        <v>130</v>
      </c>
      <c r="X320" s="112" t="s">
        <v>130</v>
      </c>
      <c r="Y320" s="113" t="s">
        <v>130</v>
      </c>
      <c r="Z320" s="104" t="s">
        <v>130</v>
      </c>
      <c r="AA320" s="119">
        <v>4.2969999999999997</v>
      </c>
      <c r="AB320" s="120">
        <v>0.12478248357492842</v>
      </c>
      <c r="AC320" s="100" t="s">
        <v>130</v>
      </c>
    </row>
    <row r="321" spans="1:29" ht="15" customHeight="1" x14ac:dyDescent="0.35">
      <c r="A321" s="95" t="s">
        <v>659</v>
      </c>
      <c r="B321" s="1" t="s">
        <v>40</v>
      </c>
      <c r="C321" s="1" t="s">
        <v>109</v>
      </c>
      <c r="E321" s="97">
        <v>45260</v>
      </c>
      <c r="H321" s="112" t="s">
        <v>130</v>
      </c>
      <c r="I321" s="113" t="s">
        <v>130</v>
      </c>
      <c r="J321" s="104" t="s">
        <v>130</v>
      </c>
      <c r="K321" s="114" t="s">
        <v>130</v>
      </c>
      <c r="L321" s="112" t="s">
        <v>130</v>
      </c>
      <c r="M321" s="113" t="s">
        <v>130</v>
      </c>
      <c r="N321" s="104" t="s">
        <v>130</v>
      </c>
      <c r="O321" s="112" t="s">
        <v>130</v>
      </c>
      <c r="P321" s="113" t="s">
        <v>130</v>
      </c>
      <c r="Q321" s="104" t="s">
        <v>130</v>
      </c>
      <c r="R321" s="115">
        <v>1.3266666666666669</v>
      </c>
      <c r="S321" s="116">
        <v>4.8428695773029003E-2</v>
      </c>
      <c r="T321" s="100" t="s">
        <v>130</v>
      </c>
      <c r="U321" s="117">
        <v>3.4564999999999999E-2</v>
      </c>
      <c r="V321" s="118">
        <v>9.5629034310139728E-4</v>
      </c>
      <c r="W321" s="100" t="s">
        <v>130</v>
      </c>
      <c r="X321" s="112" t="s">
        <v>130</v>
      </c>
      <c r="Y321" s="113" t="s">
        <v>130</v>
      </c>
      <c r="Z321" s="104" t="s">
        <v>130</v>
      </c>
      <c r="AA321" s="115">
        <v>19.89</v>
      </c>
      <c r="AB321" s="120">
        <v>0.12478248357492842</v>
      </c>
      <c r="AC321" s="100" t="s">
        <v>130</v>
      </c>
    </row>
    <row r="322" spans="1:29" ht="15" customHeight="1" x14ac:dyDescent="0.35">
      <c r="A322" s="95" t="s">
        <v>660</v>
      </c>
      <c r="B322" s="1" t="s">
        <v>34</v>
      </c>
      <c r="C322" s="1" t="s">
        <v>109</v>
      </c>
      <c r="E322" s="97">
        <v>45260</v>
      </c>
      <c r="H322" s="112" t="s">
        <v>130</v>
      </c>
      <c r="I322" s="113" t="s">
        <v>130</v>
      </c>
      <c r="J322" s="104" t="s">
        <v>130</v>
      </c>
      <c r="K322" s="114" t="s">
        <v>130</v>
      </c>
      <c r="L322" s="112" t="s">
        <v>130</v>
      </c>
      <c r="M322" s="113" t="s">
        <v>130</v>
      </c>
      <c r="N322" s="104" t="s">
        <v>130</v>
      </c>
      <c r="O322" s="112" t="s">
        <v>130</v>
      </c>
      <c r="P322" s="113" t="s">
        <v>130</v>
      </c>
      <c r="Q322" s="104" t="s">
        <v>130</v>
      </c>
      <c r="R322" s="115">
        <v>1</v>
      </c>
      <c r="S322" s="116">
        <v>4.8428695773029003E-2</v>
      </c>
      <c r="T322" s="100" t="s">
        <v>130</v>
      </c>
      <c r="U322" s="117">
        <v>1.7918E-2</v>
      </c>
      <c r="V322" s="118">
        <v>9.5629034310139728E-4</v>
      </c>
      <c r="W322" s="100" t="s">
        <v>130</v>
      </c>
      <c r="X322" s="112" t="s">
        <v>130</v>
      </c>
      <c r="Y322" s="113" t="s">
        <v>130</v>
      </c>
      <c r="Z322" s="104" t="s">
        <v>130</v>
      </c>
      <c r="AA322" s="115">
        <v>16.64</v>
      </c>
      <c r="AB322" s="120">
        <v>0.12478248357492842</v>
      </c>
      <c r="AC322" s="100" t="s">
        <v>130</v>
      </c>
    </row>
    <row r="323" spans="1:29" ht="15" customHeight="1" x14ac:dyDescent="0.35">
      <c r="A323" s="95" t="s">
        <v>488</v>
      </c>
      <c r="B323" s="1" t="s">
        <v>34</v>
      </c>
      <c r="C323" s="1" t="s">
        <v>109</v>
      </c>
      <c r="E323" s="97">
        <v>45260</v>
      </c>
      <c r="H323" s="117">
        <v>4.8020000000000007E-3</v>
      </c>
      <c r="I323" s="118">
        <v>1.7340351448434242E-3</v>
      </c>
      <c r="J323" s="100" t="s">
        <v>409</v>
      </c>
      <c r="K323" s="124" t="s">
        <v>130</v>
      </c>
      <c r="L323" s="117">
        <v>1.078E-3</v>
      </c>
      <c r="M323" s="118">
        <v>2.1523662800335499E-4</v>
      </c>
      <c r="N323" s="100" t="s">
        <v>409</v>
      </c>
      <c r="O323" s="117">
        <v>2.1700000000000001E-3</v>
      </c>
      <c r="P323" s="118">
        <v>2.7463829912214173E-3</v>
      </c>
      <c r="Q323" s="100" t="s">
        <v>421</v>
      </c>
      <c r="R323" s="125" t="s">
        <v>130</v>
      </c>
      <c r="S323" s="126" t="s">
        <v>130</v>
      </c>
      <c r="T323" s="104" t="s">
        <v>130</v>
      </c>
      <c r="U323" s="112" t="s">
        <v>130</v>
      </c>
      <c r="V323" s="113" t="s">
        <v>130</v>
      </c>
      <c r="W323" s="104" t="s">
        <v>130</v>
      </c>
      <c r="X323" s="117">
        <v>3.4099999999999999E-4</v>
      </c>
      <c r="Y323" s="118">
        <v>1.9177886460606617E-3</v>
      </c>
      <c r="Z323" s="100" t="s">
        <v>421</v>
      </c>
      <c r="AA323" s="127" t="s">
        <v>130</v>
      </c>
      <c r="AB323" s="128" t="s">
        <v>130</v>
      </c>
      <c r="AC323" s="104" t="s">
        <v>130</v>
      </c>
    </row>
    <row r="324" spans="1:29" ht="15" customHeight="1" x14ac:dyDescent="0.35">
      <c r="A324" s="95" t="s">
        <v>544</v>
      </c>
      <c r="B324" s="1" t="s">
        <v>40</v>
      </c>
      <c r="C324" s="1" t="s">
        <v>109</v>
      </c>
      <c r="E324" s="97">
        <v>45260</v>
      </c>
      <c r="H324" s="117">
        <v>5.4320000000000002E-3</v>
      </c>
      <c r="I324" s="118">
        <v>1.7340351448434242E-3</v>
      </c>
      <c r="J324" s="100" t="s">
        <v>409</v>
      </c>
      <c r="K324" s="124" t="s">
        <v>130</v>
      </c>
      <c r="L324" s="117">
        <v>2.114E-3</v>
      </c>
      <c r="M324" s="118">
        <v>2.1523662800335499E-4</v>
      </c>
      <c r="N324" s="100" t="s">
        <v>409</v>
      </c>
      <c r="O324" s="117">
        <v>1.3034E-2</v>
      </c>
      <c r="P324" s="118">
        <v>2.7463829912214173E-3</v>
      </c>
      <c r="Q324" s="100" t="s">
        <v>409</v>
      </c>
      <c r="R324" s="125" t="s">
        <v>130</v>
      </c>
      <c r="S324" s="126" t="s">
        <v>130</v>
      </c>
      <c r="T324" s="104" t="s">
        <v>130</v>
      </c>
      <c r="U324" s="112" t="s">
        <v>130</v>
      </c>
      <c r="V324" s="113" t="s">
        <v>130</v>
      </c>
      <c r="W324" s="104" t="s">
        <v>130</v>
      </c>
      <c r="X324" s="117">
        <v>2.4800000000000001E-4</v>
      </c>
      <c r="Y324" s="118">
        <v>1.9177886460606617E-3</v>
      </c>
      <c r="Z324" s="100" t="s">
        <v>421</v>
      </c>
      <c r="AA324" s="127" t="s">
        <v>130</v>
      </c>
      <c r="AB324" s="128" t="s">
        <v>130</v>
      </c>
      <c r="AC324" s="104" t="s">
        <v>130</v>
      </c>
    </row>
    <row r="325" spans="1:29" ht="15" customHeight="1" x14ac:dyDescent="0.35">
      <c r="A325" s="95" t="s">
        <v>552</v>
      </c>
      <c r="B325" s="1" t="s">
        <v>41</v>
      </c>
      <c r="C325" s="1" t="s">
        <v>109</v>
      </c>
      <c r="E325" s="97">
        <v>45260</v>
      </c>
      <c r="H325" s="117">
        <v>7.0420000000000005E-3</v>
      </c>
      <c r="I325" s="118">
        <v>1.81962649373059E-3</v>
      </c>
      <c r="J325" s="100" t="s">
        <v>409</v>
      </c>
      <c r="K325" s="124" t="s">
        <v>130</v>
      </c>
      <c r="L325" s="117">
        <v>2.4219999999999997E-3</v>
      </c>
      <c r="M325" s="118">
        <v>1.8170453646999631E-4</v>
      </c>
      <c r="N325" s="100" t="s">
        <v>130</v>
      </c>
      <c r="O325" s="117">
        <v>7.5600000000000005E-4</v>
      </c>
      <c r="P325" s="118">
        <v>5.0240422843415497E-3</v>
      </c>
      <c r="Q325" s="100" t="s">
        <v>421</v>
      </c>
      <c r="R325" s="125" t="s">
        <v>130</v>
      </c>
      <c r="S325" s="126" t="s">
        <v>130</v>
      </c>
      <c r="T325" s="104" t="s">
        <v>130</v>
      </c>
      <c r="U325" s="112" t="s">
        <v>130</v>
      </c>
      <c r="V325" s="113" t="s">
        <v>130</v>
      </c>
      <c r="W325" s="104" t="s">
        <v>130</v>
      </c>
      <c r="X325" s="117" t="s">
        <v>130</v>
      </c>
      <c r="Y325" s="118">
        <v>1.41449485545249E-3</v>
      </c>
      <c r="Z325" s="100" t="s">
        <v>468</v>
      </c>
      <c r="AA325" s="127" t="s">
        <v>130</v>
      </c>
      <c r="AB325" s="128" t="s">
        <v>130</v>
      </c>
      <c r="AC325" s="104" t="s">
        <v>130</v>
      </c>
    </row>
    <row r="326" spans="1:29" ht="15" customHeight="1" x14ac:dyDescent="0.35">
      <c r="A326" s="95" t="s">
        <v>599</v>
      </c>
      <c r="B326" s="1" t="s">
        <v>51</v>
      </c>
      <c r="C326" s="1" t="s">
        <v>109</v>
      </c>
      <c r="E326" s="97">
        <v>45260</v>
      </c>
      <c r="H326" s="117">
        <v>9.3940000000000013E-3</v>
      </c>
      <c r="I326" s="118">
        <v>1.81962649373059E-3</v>
      </c>
      <c r="J326" s="100" t="s">
        <v>409</v>
      </c>
      <c r="K326" s="124" t="s">
        <v>130</v>
      </c>
      <c r="L326" s="117">
        <v>1.82E-3</v>
      </c>
      <c r="M326" s="118">
        <v>1.8170453646999631E-4</v>
      </c>
      <c r="N326" s="100" t="s">
        <v>409</v>
      </c>
      <c r="O326" s="117">
        <v>6.1600000000000001E-4</v>
      </c>
      <c r="P326" s="118">
        <v>5.0240422843415497E-3</v>
      </c>
      <c r="Q326" s="100" t="s">
        <v>421</v>
      </c>
      <c r="R326" s="125" t="s">
        <v>130</v>
      </c>
      <c r="S326" s="126" t="s">
        <v>130</v>
      </c>
      <c r="T326" s="104" t="s">
        <v>130</v>
      </c>
      <c r="U326" s="112" t="s">
        <v>130</v>
      </c>
      <c r="V326" s="113" t="s">
        <v>130</v>
      </c>
      <c r="W326" s="104" t="s">
        <v>130</v>
      </c>
      <c r="X326" s="117">
        <v>4.9600000000000002E-4</v>
      </c>
      <c r="Y326" s="118">
        <v>1.41449485545249E-3</v>
      </c>
      <c r="Z326" s="100" t="s">
        <v>421</v>
      </c>
      <c r="AA326" s="127" t="s">
        <v>130</v>
      </c>
      <c r="AB326" s="128" t="s">
        <v>130</v>
      </c>
      <c r="AC326" s="104" t="s">
        <v>130</v>
      </c>
    </row>
    <row r="327" spans="1:29" ht="15" customHeight="1" x14ac:dyDescent="0.35">
      <c r="A327" s="95" t="s">
        <v>572</v>
      </c>
      <c r="B327" s="1" t="s">
        <v>53</v>
      </c>
      <c r="C327" s="1" t="s">
        <v>109</v>
      </c>
      <c r="E327" s="97">
        <v>45260</v>
      </c>
      <c r="H327" s="117">
        <v>4.1719999999999995E-3</v>
      </c>
      <c r="I327" s="118">
        <v>1.81962649373059E-3</v>
      </c>
      <c r="J327" s="100" t="s">
        <v>409</v>
      </c>
      <c r="K327" s="124" t="s">
        <v>130</v>
      </c>
      <c r="L327" s="117">
        <v>1.4140000000000001E-3</v>
      </c>
      <c r="M327" s="118">
        <v>1.8170453646999631E-4</v>
      </c>
      <c r="N327" s="100" t="s">
        <v>409</v>
      </c>
      <c r="O327" s="117">
        <v>6.6948000000000008E-2</v>
      </c>
      <c r="P327" s="118">
        <v>2.5120211421707749E-3</v>
      </c>
      <c r="Q327" s="100" t="s">
        <v>130</v>
      </c>
      <c r="R327" s="125" t="s">
        <v>130</v>
      </c>
      <c r="S327" s="126" t="s">
        <v>130</v>
      </c>
      <c r="T327" s="104" t="s">
        <v>130</v>
      </c>
      <c r="U327" s="112" t="s">
        <v>130</v>
      </c>
      <c r="V327" s="113" t="s">
        <v>130</v>
      </c>
      <c r="W327" s="104" t="s">
        <v>130</v>
      </c>
      <c r="X327" s="117">
        <v>8.3699999999999996E-4</v>
      </c>
      <c r="Y327" s="118">
        <v>1.41449485545249E-3</v>
      </c>
      <c r="Z327" s="100" t="s">
        <v>421</v>
      </c>
      <c r="AA327" s="127" t="s">
        <v>130</v>
      </c>
      <c r="AB327" s="128" t="s">
        <v>130</v>
      </c>
      <c r="AC327" s="104" t="s">
        <v>130</v>
      </c>
    </row>
    <row r="328" spans="1:29" ht="15" customHeight="1" x14ac:dyDescent="0.35">
      <c r="A328" s="95" t="s">
        <v>480</v>
      </c>
      <c r="B328" s="1" t="s">
        <v>54</v>
      </c>
      <c r="C328" s="1" t="s">
        <v>109</v>
      </c>
      <c r="E328" s="97">
        <v>45260</v>
      </c>
      <c r="H328" s="117">
        <v>6.202E-3</v>
      </c>
      <c r="I328" s="118">
        <v>1.81962649373059E-3</v>
      </c>
      <c r="J328" s="100" t="s">
        <v>409</v>
      </c>
      <c r="K328" s="124" t="s">
        <v>130</v>
      </c>
      <c r="L328" s="117">
        <v>2.52E-4</v>
      </c>
      <c r="M328" s="118">
        <v>1.8170453646999631E-4</v>
      </c>
      <c r="N328" s="100" t="s">
        <v>409</v>
      </c>
      <c r="O328" s="117">
        <v>4.032E-3</v>
      </c>
      <c r="P328" s="118">
        <v>2.5120211421707749E-3</v>
      </c>
      <c r="Q328" s="100" t="s">
        <v>409</v>
      </c>
      <c r="R328" s="125" t="s">
        <v>130</v>
      </c>
      <c r="S328" s="126" t="s">
        <v>130</v>
      </c>
      <c r="T328" s="104" t="s">
        <v>130</v>
      </c>
      <c r="U328" s="112" t="s">
        <v>130</v>
      </c>
      <c r="V328" s="113" t="s">
        <v>130</v>
      </c>
      <c r="W328" s="104" t="s">
        <v>130</v>
      </c>
      <c r="X328" s="117">
        <v>1.178E-3</v>
      </c>
      <c r="Y328" s="118">
        <v>1.41449485545249E-3</v>
      </c>
      <c r="Z328" s="100" t="s">
        <v>421</v>
      </c>
      <c r="AA328" s="127" t="s">
        <v>130</v>
      </c>
      <c r="AB328" s="128" t="s">
        <v>130</v>
      </c>
      <c r="AC328" s="104" t="s">
        <v>130</v>
      </c>
    </row>
    <row r="329" spans="1:29" ht="15" customHeight="1" x14ac:dyDescent="0.35">
      <c r="A329" s="95" t="s">
        <v>538</v>
      </c>
      <c r="B329" s="1" t="s">
        <v>48</v>
      </c>
      <c r="C329" s="1" t="s">
        <v>109</v>
      </c>
      <c r="E329" s="97">
        <v>45260</v>
      </c>
      <c r="H329" s="117">
        <v>2.1840000000000002E-3</v>
      </c>
      <c r="I329" s="118">
        <v>1.81962649373059E-3</v>
      </c>
      <c r="J329" s="100" t="s">
        <v>409</v>
      </c>
      <c r="K329" s="124" t="s">
        <v>130</v>
      </c>
      <c r="L329" s="117">
        <v>5.4600000000000004E-4</v>
      </c>
      <c r="M329" s="118">
        <v>1.8170453646999631E-4</v>
      </c>
      <c r="N329" s="100" t="s">
        <v>409</v>
      </c>
      <c r="O329" s="117">
        <v>6.6080000000000002E-3</v>
      </c>
      <c r="P329" s="118">
        <v>2.5120211421707749E-3</v>
      </c>
      <c r="Q329" s="100" t="s">
        <v>409</v>
      </c>
      <c r="R329" s="125" t="s">
        <v>130</v>
      </c>
      <c r="S329" s="126" t="s">
        <v>130</v>
      </c>
      <c r="T329" s="104" t="s">
        <v>130</v>
      </c>
      <c r="U329" s="112" t="s">
        <v>130</v>
      </c>
      <c r="V329" s="113" t="s">
        <v>130</v>
      </c>
      <c r="W329" s="104" t="s">
        <v>130</v>
      </c>
      <c r="X329" s="117">
        <v>8.6800000000000006E-4</v>
      </c>
      <c r="Y329" s="118">
        <v>1.41449485545249E-3</v>
      </c>
      <c r="Z329" s="100" t="s">
        <v>421</v>
      </c>
      <c r="AA329" s="127" t="s">
        <v>130</v>
      </c>
      <c r="AB329" s="128" t="s">
        <v>130</v>
      </c>
      <c r="AC329" s="104" t="s">
        <v>130</v>
      </c>
    </row>
    <row r="330" spans="1:29" ht="15" customHeight="1" x14ac:dyDescent="0.35">
      <c r="A330" s="95" t="s">
        <v>472</v>
      </c>
      <c r="B330" s="1" t="s">
        <v>42</v>
      </c>
      <c r="C330" s="1" t="s">
        <v>109</v>
      </c>
      <c r="E330" s="97">
        <v>45260</v>
      </c>
      <c r="H330" s="117">
        <v>6.6219999999999994E-3</v>
      </c>
      <c r="I330" s="118">
        <v>1.81962649373059E-3</v>
      </c>
      <c r="J330" s="100" t="s">
        <v>409</v>
      </c>
      <c r="K330" s="124" t="s">
        <v>130</v>
      </c>
      <c r="L330" s="117">
        <v>1.358E-3</v>
      </c>
      <c r="M330" s="118">
        <v>1.8170453646999631E-4</v>
      </c>
      <c r="N330" s="100" t="s">
        <v>409</v>
      </c>
      <c r="O330" s="117">
        <v>1.0219999999999999E-3</v>
      </c>
      <c r="P330" s="118">
        <v>2.5120211421707749E-3</v>
      </c>
      <c r="Q330" s="100" t="s">
        <v>421</v>
      </c>
      <c r="R330" s="125" t="s">
        <v>130</v>
      </c>
      <c r="S330" s="126" t="s">
        <v>130</v>
      </c>
      <c r="T330" s="104" t="s">
        <v>130</v>
      </c>
      <c r="U330" s="112" t="s">
        <v>130</v>
      </c>
      <c r="V330" s="113" t="s">
        <v>130</v>
      </c>
      <c r="W330" s="104" t="s">
        <v>130</v>
      </c>
      <c r="X330" s="117">
        <v>2.1700000000000002E-4</v>
      </c>
      <c r="Y330" s="118">
        <v>1.41449485545249E-3</v>
      </c>
      <c r="Z330" s="100" t="s">
        <v>421</v>
      </c>
      <c r="AA330" s="127" t="s">
        <v>130</v>
      </c>
      <c r="AB330" s="128" t="s">
        <v>130</v>
      </c>
      <c r="AC330" s="104" t="s">
        <v>130</v>
      </c>
    </row>
    <row r="331" spans="1:29" ht="15" customHeight="1" x14ac:dyDescent="0.35">
      <c r="A331" s="95" t="s">
        <v>526</v>
      </c>
      <c r="B331" s="1" t="s">
        <v>43</v>
      </c>
      <c r="C331" s="1" t="s">
        <v>109</v>
      </c>
      <c r="E331" s="97">
        <v>45260</v>
      </c>
      <c r="H331" s="117">
        <v>6.3140000000000002E-3</v>
      </c>
      <c r="I331" s="118">
        <v>1.81962649373059E-3</v>
      </c>
      <c r="J331" s="100" t="s">
        <v>409</v>
      </c>
      <c r="K331" s="124" t="s">
        <v>130</v>
      </c>
      <c r="L331" s="117">
        <v>9.2400000000000002E-4</v>
      </c>
      <c r="M331" s="118">
        <v>1.8170453646999631E-4</v>
      </c>
      <c r="N331" s="100" t="s">
        <v>409</v>
      </c>
      <c r="O331" s="117">
        <v>4.6200000000000001E-4</v>
      </c>
      <c r="P331" s="118">
        <v>2.5120211421707749E-3</v>
      </c>
      <c r="Q331" s="100" t="s">
        <v>421</v>
      </c>
      <c r="R331" s="125" t="s">
        <v>130</v>
      </c>
      <c r="S331" s="126" t="s">
        <v>130</v>
      </c>
      <c r="T331" s="104" t="s">
        <v>130</v>
      </c>
      <c r="U331" s="112" t="s">
        <v>130</v>
      </c>
      <c r="V331" s="113" t="s">
        <v>130</v>
      </c>
      <c r="W331" s="104" t="s">
        <v>130</v>
      </c>
      <c r="X331" s="117">
        <v>7.7500000000000008E-4</v>
      </c>
      <c r="Y331" s="118">
        <v>1.41449485545249E-3</v>
      </c>
      <c r="Z331" s="100" t="s">
        <v>421</v>
      </c>
      <c r="AA331" s="127" t="s">
        <v>130</v>
      </c>
      <c r="AB331" s="128" t="s">
        <v>130</v>
      </c>
      <c r="AC331" s="104" t="s">
        <v>130</v>
      </c>
    </row>
    <row r="332" spans="1:29" ht="15" customHeight="1" x14ac:dyDescent="0.35">
      <c r="A332" s="95" t="s">
        <v>587</v>
      </c>
      <c r="B332" s="1" t="s">
        <v>45</v>
      </c>
      <c r="C332" s="1" t="s">
        <v>109</v>
      </c>
      <c r="E332" s="97">
        <v>45258</v>
      </c>
      <c r="H332" s="117">
        <v>5.2500000000000003E-3</v>
      </c>
      <c r="I332" s="118">
        <v>1.7340351448434242E-3</v>
      </c>
      <c r="J332" s="100" t="s">
        <v>409</v>
      </c>
      <c r="K332" s="124" t="s">
        <v>130</v>
      </c>
      <c r="L332" s="117">
        <v>8.8199999999999997E-4</v>
      </c>
      <c r="M332" s="118">
        <v>2.1523662800335499E-4</v>
      </c>
      <c r="N332" s="100" t="s">
        <v>409</v>
      </c>
      <c r="O332" s="117">
        <v>8.6393999999999999E-2</v>
      </c>
      <c r="P332" s="118">
        <v>2.7463829912214173E-3</v>
      </c>
      <c r="Q332" s="100" t="s">
        <v>130</v>
      </c>
      <c r="R332" s="125" t="s">
        <v>130</v>
      </c>
      <c r="S332" s="126" t="s">
        <v>130</v>
      </c>
      <c r="T332" s="104" t="s">
        <v>130</v>
      </c>
      <c r="U332" s="112" t="s">
        <v>130</v>
      </c>
      <c r="V332" s="113" t="s">
        <v>130</v>
      </c>
      <c r="W332" s="104" t="s">
        <v>130</v>
      </c>
      <c r="X332" s="117">
        <v>3.1000000000000001E-5</v>
      </c>
      <c r="Y332" s="118">
        <v>1.9177886460606617E-3</v>
      </c>
      <c r="Z332" s="100" t="s">
        <v>421</v>
      </c>
      <c r="AA332" s="127" t="s">
        <v>130</v>
      </c>
      <c r="AB332" s="128" t="s">
        <v>130</v>
      </c>
      <c r="AC332" s="104" t="s">
        <v>130</v>
      </c>
    </row>
    <row r="333" spans="1:29" ht="15" customHeight="1" x14ac:dyDescent="0.35">
      <c r="A333" s="95" t="s">
        <v>593</v>
      </c>
      <c r="B333" s="1" t="s">
        <v>46</v>
      </c>
      <c r="C333" s="1" t="s">
        <v>109</v>
      </c>
      <c r="E333" s="97">
        <v>45258</v>
      </c>
      <c r="H333" s="117">
        <v>2.506E-3</v>
      </c>
      <c r="I333" s="118">
        <v>1.7340351448434242E-3</v>
      </c>
      <c r="J333" s="100" t="s">
        <v>409</v>
      </c>
      <c r="K333" s="124" t="s">
        <v>130</v>
      </c>
      <c r="L333" s="117">
        <v>1.1200000000000001E-3</v>
      </c>
      <c r="M333" s="118">
        <v>2.1523662800335499E-4</v>
      </c>
      <c r="N333" s="100" t="s">
        <v>409</v>
      </c>
      <c r="O333" s="117">
        <v>8.7080000000000005E-3</v>
      </c>
      <c r="P333" s="118">
        <v>2.7463829912214173E-3</v>
      </c>
      <c r="Q333" s="100" t="s">
        <v>409</v>
      </c>
      <c r="R333" s="125" t="s">
        <v>130</v>
      </c>
      <c r="S333" s="126" t="s">
        <v>130</v>
      </c>
      <c r="T333" s="104" t="s">
        <v>130</v>
      </c>
      <c r="U333" s="112" t="s">
        <v>130</v>
      </c>
      <c r="V333" s="113" t="s">
        <v>130</v>
      </c>
      <c r="W333" s="104" t="s">
        <v>130</v>
      </c>
      <c r="X333" s="117" t="s">
        <v>130</v>
      </c>
      <c r="Y333" s="118">
        <v>1.9177886460606617E-3</v>
      </c>
      <c r="Z333" s="100" t="s">
        <v>468</v>
      </c>
      <c r="AA333" s="127" t="s">
        <v>130</v>
      </c>
      <c r="AB333" s="128" t="s">
        <v>130</v>
      </c>
      <c r="AC333" s="104" t="s">
        <v>130</v>
      </c>
    </row>
    <row r="334" spans="1:29" ht="15" customHeight="1" x14ac:dyDescent="0.35">
      <c r="A334" s="95" t="s">
        <v>532</v>
      </c>
      <c r="B334" s="1" t="s">
        <v>47</v>
      </c>
      <c r="C334" s="1" t="s">
        <v>109</v>
      </c>
      <c r="E334" s="97">
        <v>45258</v>
      </c>
      <c r="H334" s="117">
        <v>8.3999999999999995E-3</v>
      </c>
      <c r="I334" s="118">
        <v>1.7340351448434242E-3</v>
      </c>
      <c r="J334" s="100" t="s">
        <v>409</v>
      </c>
      <c r="K334" s="124" t="s">
        <v>130</v>
      </c>
      <c r="L334" s="117">
        <v>1.8102E-2</v>
      </c>
      <c r="M334" s="118">
        <v>2.1523662800335499E-4</v>
      </c>
      <c r="N334" s="100" t="s">
        <v>130</v>
      </c>
      <c r="O334" s="117">
        <v>2.3716000000000001E-2</v>
      </c>
      <c r="P334" s="118">
        <v>2.7463829912214173E-3</v>
      </c>
      <c r="Q334" s="100" t="s">
        <v>130</v>
      </c>
      <c r="R334" s="125" t="s">
        <v>130</v>
      </c>
      <c r="S334" s="126" t="s">
        <v>130</v>
      </c>
      <c r="T334" s="104" t="s">
        <v>130</v>
      </c>
      <c r="U334" s="112" t="s">
        <v>130</v>
      </c>
      <c r="V334" s="113" t="s">
        <v>130</v>
      </c>
      <c r="W334" s="104" t="s">
        <v>130</v>
      </c>
      <c r="X334" s="117">
        <v>0.104563</v>
      </c>
      <c r="Y334" s="118">
        <v>1.9177886460606617E-3</v>
      </c>
      <c r="Z334" s="100" t="s">
        <v>130</v>
      </c>
      <c r="AA334" s="127" t="s">
        <v>130</v>
      </c>
      <c r="AB334" s="128" t="s">
        <v>130</v>
      </c>
      <c r="AC334" s="104" t="s">
        <v>130</v>
      </c>
    </row>
    <row r="335" spans="1:29" ht="15" customHeight="1" x14ac:dyDescent="0.35">
      <c r="A335" s="95" t="s">
        <v>408</v>
      </c>
      <c r="B335" s="1" t="s">
        <v>23</v>
      </c>
      <c r="C335" s="1" t="s">
        <v>109</v>
      </c>
      <c r="E335" s="97">
        <v>45258</v>
      </c>
      <c r="H335" s="117">
        <v>9.3520000000000009E-3</v>
      </c>
      <c r="I335" s="118">
        <v>1.7340351448434242E-3</v>
      </c>
      <c r="J335" s="100" t="s">
        <v>409</v>
      </c>
      <c r="K335" s="124" t="s">
        <v>130</v>
      </c>
      <c r="L335" s="117">
        <v>5.0959999999999998E-3</v>
      </c>
      <c r="M335" s="118">
        <v>2.1523662800335499E-4</v>
      </c>
      <c r="N335" s="100" t="s">
        <v>130</v>
      </c>
      <c r="O335" s="117">
        <v>7.588000000000001E-3</v>
      </c>
      <c r="P335" s="118">
        <v>2.7463829912214173E-3</v>
      </c>
      <c r="Q335" s="100" t="s">
        <v>409</v>
      </c>
      <c r="R335" s="125" t="s">
        <v>130</v>
      </c>
      <c r="S335" s="126" t="s">
        <v>130</v>
      </c>
      <c r="T335" s="104" t="s">
        <v>130</v>
      </c>
      <c r="U335" s="112" t="s">
        <v>130</v>
      </c>
      <c r="V335" s="113" t="s">
        <v>130</v>
      </c>
      <c r="W335" s="104" t="s">
        <v>130</v>
      </c>
      <c r="X335" s="117">
        <v>2.2319999999999996E-3</v>
      </c>
      <c r="Y335" s="118">
        <v>1.9177886460606617E-3</v>
      </c>
      <c r="Z335" s="100" t="s">
        <v>409</v>
      </c>
      <c r="AA335" s="127" t="s">
        <v>130</v>
      </c>
      <c r="AB335" s="128" t="s">
        <v>130</v>
      </c>
      <c r="AC335" s="104" t="s">
        <v>130</v>
      </c>
    </row>
    <row r="336" spans="1:29" ht="15" customHeight="1" x14ac:dyDescent="0.35">
      <c r="A336" s="95" t="s">
        <v>452</v>
      </c>
      <c r="B336" s="1" t="s">
        <v>30</v>
      </c>
      <c r="C336" s="1" t="s">
        <v>109</v>
      </c>
      <c r="E336" s="97">
        <v>45258</v>
      </c>
      <c r="H336" s="117">
        <v>5.7120000000000001E-3</v>
      </c>
      <c r="I336" s="118">
        <v>1.7340351448434242E-3</v>
      </c>
      <c r="J336" s="100" t="s">
        <v>409</v>
      </c>
      <c r="K336" s="124" t="s">
        <v>130</v>
      </c>
      <c r="L336" s="117">
        <v>5.1799999999999997E-3</v>
      </c>
      <c r="M336" s="118">
        <v>2.1523662800335499E-4</v>
      </c>
      <c r="N336" s="100" t="s">
        <v>130</v>
      </c>
      <c r="O336" s="117">
        <v>2.4878000000000001E-2</v>
      </c>
      <c r="P336" s="118">
        <v>2.7463829912214173E-3</v>
      </c>
      <c r="Q336" s="100" t="s">
        <v>130</v>
      </c>
      <c r="R336" s="125" t="s">
        <v>130</v>
      </c>
      <c r="S336" s="126" t="s">
        <v>130</v>
      </c>
      <c r="T336" s="104" t="s">
        <v>130</v>
      </c>
      <c r="U336" s="112" t="s">
        <v>130</v>
      </c>
      <c r="V336" s="113" t="s">
        <v>130</v>
      </c>
      <c r="W336" s="104" t="s">
        <v>130</v>
      </c>
      <c r="X336" s="117">
        <v>2.4490000000000002E-3</v>
      </c>
      <c r="Y336" s="118">
        <v>1.9177886460606617E-3</v>
      </c>
      <c r="Z336" s="100" t="s">
        <v>409</v>
      </c>
      <c r="AA336" s="127" t="s">
        <v>130</v>
      </c>
      <c r="AB336" s="128" t="s">
        <v>130</v>
      </c>
      <c r="AC336" s="104" t="s">
        <v>130</v>
      </c>
    </row>
    <row r="337" spans="1:29" ht="15" customHeight="1" x14ac:dyDescent="0.35">
      <c r="A337" s="95" t="s">
        <v>442</v>
      </c>
      <c r="B337" s="1" t="s">
        <v>29</v>
      </c>
      <c r="C337" s="1" t="s">
        <v>109</v>
      </c>
      <c r="E337" s="97">
        <v>45258</v>
      </c>
      <c r="H337" s="117">
        <v>2.6459999999999999E-3</v>
      </c>
      <c r="I337" s="118">
        <v>1.7340351448434242E-3</v>
      </c>
      <c r="J337" s="100" t="s">
        <v>409</v>
      </c>
      <c r="K337" s="124" t="s">
        <v>130</v>
      </c>
      <c r="L337" s="117">
        <v>7.2100000000000003E-3</v>
      </c>
      <c r="M337" s="118">
        <v>2.1523662800335499E-4</v>
      </c>
      <c r="N337" s="100" t="s">
        <v>130</v>
      </c>
      <c r="O337" s="117">
        <v>9.2147999999999994E-2</v>
      </c>
      <c r="P337" s="118">
        <v>2.7463829912214173E-3</v>
      </c>
      <c r="Q337" s="100" t="s">
        <v>130</v>
      </c>
      <c r="R337" s="125" t="s">
        <v>130</v>
      </c>
      <c r="S337" s="126" t="s">
        <v>130</v>
      </c>
      <c r="T337" s="104" t="s">
        <v>130</v>
      </c>
      <c r="U337" s="112" t="s">
        <v>130</v>
      </c>
      <c r="V337" s="113" t="s">
        <v>130</v>
      </c>
      <c r="W337" s="104" t="s">
        <v>130</v>
      </c>
      <c r="X337" s="117">
        <v>9.1139999999999988E-3</v>
      </c>
      <c r="Y337" s="118">
        <v>1.9177886460606617E-3</v>
      </c>
      <c r="Z337" s="100" t="s">
        <v>409</v>
      </c>
      <c r="AA337" s="127" t="s">
        <v>130</v>
      </c>
      <c r="AB337" s="128" t="s">
        <v>130</v>
      </c>
      <c r="AC337" s="104" t="s">
        <v>130</v>
      </c>
    </row>
    <row r="338" spans="1:29" ht="15" customHeight="1" x14ac:dyDescent="0.35">
      <c r="A338" s="95" t="s">
        <v>465</v>
      </c>
      <c r="B338" s="1" t="s">
        <v>33</v>
      </c>
      <c r="C338" s="1" t="s">
        <v>109</v>
      </c>
      <c r="E338" s="97">
        <v>45258</v>
      </c>
      <c r="H338" s="117">
        <v>6.1320000000000003E-3</v>
      </c>
      <c r="I338" s="118">
        <v>1.81962649373059E-3</v>
      </c>
      <c r="J338" s="100" t="s">
        <v>409</v>
      </c>
      <c r="K338" s="124" t="s">
        <v>130</v>
      </c>
      <c r="L338" s="117">
        <v>1.8340000000000001E-3</v>
      </c>
      <c r="M338" s="118">
        <v>1.8170453646999631E-4</v>
      </c>
      <c r="N338" s="100" t="s">
        <v>409</v>
      </c>
      <c r="O338" s="117">
        <v>4.2979999999999997E-3</v>
      </c>
      <c r="P338" s="118">
        <v>2.5120211421707749E-3</v>
      </c>
      <c r="Q338" s="100" t="s">
        <v>409</v>
      </c>
      <c r="R338" s="125" t="s">
        <v>130</v>
      </c>
      <c r="S338" s="126" t="s">
        <v>130</v>
      </c>
      <c r="T338" s="104" t="s">
        <v>130</v>
      </c>
      <c r="U338" s="112" t="s">
        <v>130</v>
      </c>
      <c r="V338" s="113" t="s">
        <v>130</v>
      </c>
      <c r="W338" s="104" t="s">
        <v>130</v>
      </c>
      <c r="X338" s="117">
        <v>2.0770000000000003E-3</v>
      </c>
      <c r="Y338" s="118">
        <v>1.41449485545249E-3</v>
      </c>
      <c r="Z338" s="100" t="s">
        <v>409</v>
      </c>
      <c r="AA338" s="127" t="s">
        <v>130</v>
      </c>
      <c r="AB338" s="128" t="s">
        <v>130</v>
      </c>
      <c r="AC338" s="104" t="s">
        <v>130</v>
      </c>
    </row>
    <row r="339" spans="1:29" ht="15" customHeight="1" x14ac:dyDescent="0.35">
      <c r="A339" s="95" t="s">
        <v>661</v>
      </c>
      <c r="B339" s="1" t="s">
        <v>55</v>
      </c>
      <c r="C339" s="1">
        <v>45000</v>
      </c>
      <c r="E339" s="97">
        <v>45204</v>
      </c>
      <c r="H339" s="117">
        <v>3.8080000000000002E-3</v>
      </c>
      <c r="I339" s="118">
        <v>1.81962649373059E-3</v>
      </c>
      <c r="J339" s="100" t="s">
        <v>409</v>
      </c>
      <c r="K339" s="124" t="s">
        <v>130</v>
      </c>
      <c r="L339" s="117">
        <v>1.54E-4</v>
      </c>
      <c r="M339" s="118">
        <v>1.8170453646999631E-4</v>
      </c>
      <c r="N339" s="100" t="s">
        <v>421</v>
      </c>
      <c r="O339" s="117">
        <v>2.8E-5</v>
      </c>
      <c r="P339" s="118">
        <v>2.5120211421707749E-3</v>
      </c>
      <c r="Q339" s="100" t="s">
        <v>421</v>
      </c>
      <c r="R339" s="125" t="s">
        <v>130</v>
      </c>
      <c r="S339" s="126" t="s">
        <v>130</v>
      </c>
      <c r="T339" s="104" t="s">
        <v>130</v>
      </c>
      <c r="U339" s="112" t="s">
        <v>130</v>
      </c>
      <c r="V339" s="113" t="s">
        <v>130</v>
      </c>
      <c r="W339" s="104" t="s">
        <v>130</v>
      </c>
      <c r="X339" s="117">
        <v>8.6800000000000006E-4</v>
      </c>
      <c r="Y339" s="118">
        <v>1.41449485545249E-3</v>
      </c>
      <c r="Z339" s="100" t="s">
        <v>421</v>
      </c>
      <c r="AA339" s="127" t="s">
        <v>130</v>
      </c>
      <c r="AB339" s="128" t="s">
        <v>130</v>
      </c>
      <c r="AC339" s="104" t="s">
        <v>130</v>
      </c>
    </row>
    <row r="340" spans="1:29" ht="15" customHeight="1" x14ac:dyDescent="0.35">
      <c r="A340" s="95" t="s">
        <v>662</v>
      </c>
      <c r="B340" s="1" t="s">
        <v>54</v>
      </c>
      <c r="C340" s="1">
        <v>45000</v>
      </c>
      <c r="E340" s="97">
        <v>45204</v>
      </c>
      <c r="H340" s="117">
        <v>3.2200000000000002E-3</v>
      </c>
      <c r="I340" s="118">
        <v>1.81962649373059E-3</v>
      </c>
      <c r="J340" s="100" t="s">
        <v>409</v>
      </c>
      <c r="K340" s="124" t="s">
        <v>130</v>
      </c>
      <c r="L340" s="117">
        <v>1.8200000000000001E-4</v>
      </c>
      <c r="M340" s="118">
        <v>1.8170453646999631E-4</v>
      </c>
      <c r="N340" s="100" t="s">
        <v>409</v>
      </c>
      <c r="O340" s="117">
        <v>4.7040000000000007E-3</v>
      </c>
      <c r="P340" s="118">
        <v>2.5120211421707749E-3</v>
      </c>
      <c r="Q340" s="100" t="s">
        <v>409</v>
      </c>
      <c r="R340" s="125" t="s">
        <v>130</v>
      </c>
      <c r="S340" s="126" t="s">
        <v>130</v>
      </c>
      <c r="T340" s="104" t="s">
        <v>130</v>
      </c>
      <c r="U340" s="112" t="s">
        <v>130</v>
      </c>
      <c r="V340" s="113" t="s">
        <v>130</v>
      </c>
      <c r="W340" s="104" t="s">
        <v>130</v>
      </c>
      <c r="X340" s="117">
        <v>4.9600000000000002E-4</v>
      </c>
      <c r="Y340" s="118">
        <v>1.41449485545249E-3</v>
      </c>
      <c r="Z340" s="100" t="s">
        <v>421</v>
      </c>
      <c r="AA340" s="127" t="s">
        <v>130</v>
      </c>
      <c r="AB340" s="128" t="s">
        <v>130</v>
      </c>
      <c r="AC340" s="104" t="s">
        <v>130</v>
      </c>
    </row>
    <row r="341" spans="1:29" ht="15" customHeight="1" x14ac:dyDescent="0.35">
      <c r="A341" s="95" t="s">
        <v>663</v>
      </c>
      <c r="B341" s="1" t="s">
        <v>53</v>
      </c>
      <c r="C341" s="1">
        <v>45000</v>
      </c>
      <c r="E341" s="97">
        <v>45204</v>
      </c>
      <c r="H341" s="117">
        <v>4.914E-3</v>
      </c>
      <c r="I341" s="118">
        <v>1.81962649373059E-3</v>
      </c>
      <c r="J341" s="100" t="s">
        <v>409</v>
      </c>
      <c r="K341" s="124" t="s">
        <v>130</v>
      </c>
      <c r="L341" s="117">
        <v>6.3000000000000003E-4</v>
      </c>
      <c r="M341" s="118">
        <v>1.8170453646999631E-4</v>
      </c>
      <c r="N341" s="100" t="s">
        <v>409</v>
      </c>
      <c r="O341" s="117">
        <v>1.8648000000000001E-2</v>
      </c>
      <c r="P341" s="118">
        <v>2.5120211421707749E-3</v>
      </c>
      <c r="Q341" s="100" t="s">
        <v>130</v>
      </c>
      <c r="R341" s="125" t="s">
        <v>130</v>
      </c>
      <c r="S341" s="126" t="s">
        <v>130</v>
      </c>
      <c r="T341" s="104" t="s">
        <v>130</v>
      </c>
      <c r="U341" s="112" t="s">
        <v>130</v>
      </c>
      <c r="V341" s="113" t="s">
        <v>130</v>
      </c>
      <c r="W341" s="104" t="s">
        <v>130</v>
      </c>
      <c r="X341" s="117">
        <v>5.579999999999999E-4</v>
      </c>
      <c r="Y341" s="118">
        <v>1.41449485545249E-3</v>
      </c>
      <c r="Z341" s="100" t="s">
        <v>421</v>
      </c>
      <c r="AA341" s="127" t="s">
        <v>130</v>
      </c>
      <c r="AB341" s="128" t="s">
        <v>130</v>
      </c>
      <c r="AC341" s="104" t="s">
        <v>130</v>
      </c>
    </row>
    <row r="342" spans="1:29" ht="15" customHeight="1" x14ac:dyDescent="0.35">
      <c r="A342" s="95" t="s">
        <v>664</v>
      </c>
      <c r="B342" s="1" t="s">
        <v>52</v>
      </c>
      <c r="C342" s="1">
        <v>45000</v>
      </c>
      <c r="E342" s="97">
        <v>45204</v>
      </c>
      <c r="H342" s="117">
        <v>3.7240000000000003E-3</v>
      </c>
      <c r="I342" s="118">
        <v>1.81962649373059E-3</v>
      </c>
      <c r="J342" s="100" t="s">
        <v>409</v>
      </c>
      <c r="K342" s="124" t="s">
        <v>130</v>
      </c>
      <c r="L342" s="117" t="s">
        <v>130</v>
      </c>
      <c r="M342" s="118">
        <v>1.8170453646999631E-4</v>
      </c>
      <c r="N342" s="100" t="s">
        <v>468</v>
      </c>
      <c r="O342" s="117">
        <v>1.358E-3</v>
      </c>
      <c r="P342" s="118">
        <v>2.5120211421707749E-3</v>
      </c>
      <c r="Q342" s="100" t="s">
        <v>421</v>
      </c>
      <c r="R342" s="125" t="s">
        <v>130</v>
      </c>
      <c r="S342" s="126" t="s">
        <v>130</v>
      </c>
      <c r="T342" s="104" t="s">
        <v>130</v>
      </c>
      <c r="U342" s="112" t="s">
        <v>130</v>
      </c>
      <c r="V342" s="113" t="s">
        <v>130</v>
      </c>
      <c r="W342" s="104" t="s">
        <v>130</v>
      </c>
      <c r="X342" s="117">
        <v>3.7199999999999999E-4</v>
      </c>
      <c r="Y342" s="118">
        <v>1.41449485545249E-3</v>
      </c>
      <c r="Z342" s="100" t="s">
        <v>421</v>
      </c>
      <c r="AA342" s="127" t="s">
        <v>130</v>
      </c>
      <c r="AB342" s="128" t="s">
        <v>130</v>
      </c>
      <c r="AC342" s="104" t="s">
        <v>130</v>
      </c>
    </row>
    <row r="343" spans="1:29" ht="15" customHeight="1" x14ac:dyDescent="0.35">
      <c r="A343" s="95" t="s">
        <v>665</v>
      </c>
      <c r="B343" s="1" t="s">
        <v>51</v>
      </c>
      <c r="C343" s="1">
        <v>45000</v>
      </c>
      <c r="E343" s="97">
        <v>45204</v>
      </c>
      <c r="H343" s="117">
        <v>2.6880000000000003E-3</v>
      </c>
      <c r="I343" s="118">
        <v>1.81962649373059E-3</v>
      </c>
      <c r="J343" s="100" t="s">
        <v>409</v>
      </c>
      <c r="K343" s="124" t="s">
        <v>130</v>
      </c>
      <c r="L343" s="117">
        <v>7.2800000000000002E-4</v>
      </c>
      <c r="M343" s="118">
        <v>1.8170453646999631E-4</v>
      </c>
      <c r="N343" s="100" t="s">
        <v>409</v>
      </c>
      <c r="O343" s="117">
        <v>8.5400000000000007E-3</v>
      </c>
      <c r="P343" s="118">
        <v>2.5120211421707749E-3</v>
      </c>
      <c r="Q343" s="100" t="s">
        <v>409</v>
      </c>
      <c r="R343" s="125" t="s">
        <v>130</v>
      </c>
      <c r="S343" s="126" t="s">
        <v>130</v>
      </c>
      <c r="T343" s="104" t="s">
        <v>130</v>
      </c>
      <c r="U343" s="112" t="s">
        <v>130</v>
      </c>
      <c r="V343" s="113" t="s">
        <v>130</v>
      </c>
      <c r="W343" s="104" t="s">
        <v>130</v>
      </c>
      <c r="X343" s="117">
        <v>4.6499999999999997E-4</v>
      </c>
      <c r="Y343" s="118">
        <v>1.41449485545249E-3</v>
      </c>
      <c r="Z343" s="100" t="s">
        <v>421</v>
      </c>
      <c r="AA343" s="127" t="s">
        <v>130</v>
      </c>
      <c r="AB343" s="128" t="s">
        <v>130</v>
      </c>
      <c r="AC343" s="104" t="s">
        <v>130</v>
      </c>
    </row>
    <row r="344" spans="1:29" ht="15" customHeight="1" x14ac:dyDescent="0.35">
      <c r="A344" s="95" t="s">
        <v>666</v>
      </c>
      <c r="B344" s="1" t="s">
        <v>48</v>
      </c>
      <c r="C344" s="1">
        <v>45000</v>
      </c>
      <c r="E344" s="97">
        <v>45204</v>
      </c>
      <c r="H344" s="117">
        <v>2.8140000000000001E-3</v>
      </c>
      <c r="I344" s="118">
        <v>1.81962649373059E-3</v>
      </c>
      <c r="J344" s="100" t="s">
        <v>409</v>
      </c>
      <c r="K344" s="124" t="s">
        <v>130</v>
      </c>
      <c r="L344" s="117">
        <v>7.000000000000001E-4</v>
      </c>
      <c r="M344" s="118">
        <v>1.8170453646999631E-4</v>
      </c>
      <c r="N344" s="100" t="s">
        <v>409</v>
      </c>
      <c r="O344" s="117">
        <v>2.2245999999999998E-2</v>
      </c>
      <c r="P344" s="118">
        <v>2.5120211421707749E-3</v>
      </c>
      <c r="Q344" s="100" t="s">
        <v>130</v>
      </c>
      <c r="R344" s="125" t="s">
        <v>130</v>
      </c>
      <c r="S344" s="126" t="s">
        <v>130</v>
      </c>
      <c r="T344" s="104" t="s">
        <v>130</v>
      </c>
      <c r="U344" s="112" t="s">
        <v>130</v>
      </c>
      <c r="V344" s="113" t="s">
        <v>130</v>
      </c>
      <c r="W344" s="104" t="s">
        <v>130</v>
      </c>
      <c r="X344" s="117">
        <v>3.7199999999999999E-4</v>
      </c>
      <c r="Y344" s="118">
        <v>1.41449485545249E-3</v>
      </c>
      <c r="Z344" s="100" t="s">
        <v>421</v>
      </c>
      <c r="AA344" s="127" t="s">
        <v>130</v>
      </c>
      <c r="AB344" s="128" t="s">
        <v>130</v>
      </c>
      <c r="AC344" s="104" t="s">
        <v>130</v>
      </c>
    </row>
    <row r="345" spans="1:29" ht="15" customHeight="1" x14ac:dyDescent="0.35">
      <c r="A345" s="95" t="s">
        <v>667</v>
      </c>
      <c r="B345" s="1" t="s">
        <v>23</v>
      </c>
      <c r="C345" s="1">
        <v>45000</v>
      </c>
      <c r="E345" s="97">
        <v>45195</v>
      </c>
      <c r="H345" s="129" t="s">
        <v>130</v>
      </c>
      <c r="I345" s="130" t="s">
        <v>130</v>
      </c>
      <c r="J345" s="131" t="s">
        <v>130</v>
      </c>
      <c r="K345" s="132" t="s">
        <v>130</v>
      </c>
      <c r="L345" s="129" t="s">
        <v>130</v>
      </c>
      <c r="M345" s="130" t="s">
        <v>130</v>
      </c>
      <c r="N345" s="131" t="s">
        <v>130</v>
      </c>
      <c r="O345" s="129" t="s">
        <v>130</v>
      </c>
      <c r="P345" s="130" t="s">
        <v>130</v>
      </c>
      <c r="Q345" s="131" t="s">
        <v>130</v>
      </c>
      <c r="R345" s="106">
        <v>165.77663548138727</v>
      </c>
      <c r="S345" s="107">
        <v>3.4591925552163576</v>
      </c>
      <c r="T345" s="100" t="s">
        <v>130</v>
      </c>
      <c r="U345" s="98">
        <v>1.391</v>
      </c>
      <c r="V345" s="99">
        <v>3.0848075583916043E-2</v>
      </c>
      <c r="W345" s="100" t="s">
        <v>733</v>
      </c>
      <c r="X345" s="129" t="s">
        <v>130</v>
      </c>
      <c r="Y345" s="130" t="s">
        <v>130</v>
      </c>
      <c r="Z345" s="131" t="s">
        <v>130</v>
      </c>
      <c r="AA345" s="109">
        <v>2901</v>
      </c>
      <c r="AB345" s="108">
        <v>20.8</v>
      </c>
      <c r="AC345" s="100" t="s">
        <v>130</v>
      </c>
    </row>
    <row r="346" spans="1:29" ht="15" customHeight="1" x14ac:dyDescent="0.35">
      <c r="A346" s="95" t="s">
        <v>668</v>
      </c>
      <c r="B346" s="1" t="s">
        <v>23</v>
      </c>
      <c r="C346" s="1">
        <v>45000</v>
      </c>
      <c r="E346" s="97">
        <v>45195</v>
      </c>
      <c r="H346" s="98">
        <v>0.78300000000000003</v>
      </c>
      <c r="I346" s="99">
        <v>0.12385965320310173</v>
      </c>
      <c r="J346" s="100" t="s">
        <v>409</v>
      </c>
      <c r="K346" s="132" t="s">
        <v>130</v>
      </c>
      <c r="L346" s="98">
        <v>0.55000000000000004</v>
      </c>
      <c r="M346" s="99">
        <v>1.53740448573825E-2</v>
      </c>
      <c r="N346" s="100" t="s">
        <v>130</v>
      </c>
      <c r="O346" s="98">
        <v>47.11</v>
      </c>
      <c r="P346" s="99">
        <v>1.9617021365867267</v>
      </c>
      <c r="Q346" s="100" t="s">
        <v>130</v>
      </c>
      <c r="R346" s="133" t="s">
        <v>130</v>
      </c>
      <c r="S346" s="134" t="s">
        <v>130</v>
      </c>
      <c r="T346" s="131" t="s">
        <v>130</v>
      </c>
      <c r="U346" s="129" t="s">
        <v>130</v>
      </c>
      <c r="V346" s="130" t="s">
        <v>130</v>
      </c>
      <c r="W346" s="131" t="s">
        <v>130</v>
      </c>
      <c r="X346" s="98">
        <v>0.02</v>
      </c>
      <c r="Y346" s="99">
        <v>6.1864149872924573E-2</v>
      </c>
      <c r="Z346" s="100" t="s">
        <v>421</v>
      </c>
      <c r="AA346" s="135" t="s">
        <v>130</v>
      </c>
      <c r="AB346" s="136" t="s">
        <v>130</v>
      </c>
      <c r="AC346" s="131" t="s">
        <v>130</v>
      </c>
    </row>
    <row r="347" spans="1:29" ht="15" customHeight="1" x14ac:dyDescent="0.35">
      <c r="A347" s="95" t="s">
        <v>669</v>
      </c>
      <c r="B347" s="1" t="s">
        <v>24</v>
      </c>
      <c r="C347" s="1">
        <v>45000</v>
      </c>
      <c r="E347" s="97">
        <v>45195</v>
      </c>
      <c r="H347" s="129" t="s">
        <v>130</v>
      </c>
      <c r="I347" s="130" t="s">
        <v>130</v>
      </c>
      <c r="J347" s="131" t="s">
        <v>130</v>
      </c>
      <c r="K347" s="132" t="s">
        <v>130</v>
      </c>
      <c r="L347" s="129" t="s">
        <v>130</v>
      </c>
      <c r="M347" s="130" t="s">
        <v>130</v>
      </c>
      <c r="N347" s="131" t="s">
        <v>130</v>
      </c>
      <c r="O347" s="129" t="s">
        <v>130</v>
      </c>
      <c r="P347" s="130" t="s">
        <v>130</v>
      </c>
      <c r="Q347" s="131" t="s">
        <v>130</v>
      </c>
      <c r="R347" s="106">
        <v>109.63631016862529</v>
      </c>
      <c r="S347" s="107">
        <v>3.4591925552163576</v>
      </c>
      <c r="T347" s="100" t="s">
        <v>130</v>
      </c>
      <c r="U347" s="98">
        <v>1.91</v>
      </c>
      <c r="V347" s="99">
        <v>3.0848075583916043E-2</v>
      </c>
      <c r="W347" s="100" t="s">
        <v>733</v>
      </c>
      <c r="X347" s="129" t="s">
        <v>130</v>
      </c>
      <c r="Y347" s="130" t="s">
        <v>130</v>
      </c>
      <c r="Z347" s="131" t="s">
        <v>130</v>
      </c>
      <c r="AA347" s="109">
        <v>2810</v>
      </c>
      <c r="AB347" s="108">
        <v>20.8</v>
      </c>
      <c r="AC347" s="100" t="s">
        <v>130</v>
      </c>
    </row>
    <row r="348" spans="1:29" ht="15" customHeight="1" x14ac:dyDescent="0.35">
      <c r="A348" s="95" t="s">
        <v>670</v>
      </c>
      <c r="B348" s="1" t="s">
        <v>24</v>
      </c>
      <c r="C348" s="1">
        <v>45000</v>
      </c>
      <c r="E348" s="97">
        <v>45195</v>
      </c>
      <c r="H348" s="98">
        <v>0.7</v>
      </c>
      <c r="I348" s="99">
        <v>0.12385965320310173</v>
      </c>
      <c r="J348" s="100" t="s">
        <v>409</v>
      </c>
      <c r="K348" s="132" t="s">
        <v>130</v>
      </c>
      <c r="L348" s="98">
        <v>0.34300000000000003</v>
      </c>
      <c r="M348" s="99">
        <v>1.53740448573825E-2</v>
      </c>
      <c r="N348" s="100" t="s">
        <v>130</v>
      </c>
      <c r="O348" s="98">
        <v>9.5530000000000008</v>
      </c>
      <c r="P348" s="99">
        <v>0.19617021365867265</v>
      </c>
      <c r="Q348" s="100" t="s">
        <v>130</v>
      </c>
      <c r="R348" s="133" t="s">
        <v>130</v>
      </c>
      <c r="S348" s="134" t="s">
        <v>130</v>
      </c>
      <c r="T348" s="131" t="s">
        <v>130</v>
      </c>
      <c r="U348" s="129" t="s">
        <v>130</v>
      </c>
      <c r="V348" s="130" t="s">
        <v>130</v>
      </c>
      <c r="W348" s="131" t="s">
        <v>130</v>
      </c>
      <c r="X348" s="98">
        <v>2.8000000000000001E-2</v>
      </c>
      <c r="Y348" s="99">
        <v>6.1864149872924573E-2</v>
      </c>
      <c r="Z348" s="100" t="s">
        <v>421</v>
      </c>
      <c r="AA348" s="135" t="s">
        <v>130</v>
      </c>
      <c r="AB348" s="136" t="s">
        <v>130</v>
      </c>
      <c r="AC348" s="131" t="s">
        <v>130</v>
      </c>
    </row>
    <row r="349" spans="1:29" ht="15" customHeight="1" x14ac:dyDescent="0.35">
      <c r="A349" s="95" t="s">
        <v>671</v>
      </c>
      <c r="B349" s="1" t="s">
        <v>25</v>
      </c>
      <c r="C349" s="1">
        <v>45000</v>
      </c>
      <c r="E349" s="97">
        <v>45195</v>
      </c>
      <c r="H349" s="129" t="s">
        <v>130</v>
      </c>
      <c r="I349" s="130" t="s">
        <v>130</v>
      </c>
      <c r="J349" s="131" t="s">
        <v>130</v>
      </c>
      <c r="K349" s="132" t="s">
        <v>130</v>
      </c>
      <c r="L349" s="129" t="s">
        <v>130</v>
      </c>
      <c r="M349" s="130" t="s">
        <v>130</v>
      </c>
      <c r="N349" s="131" t="s">
        <v>130</v>
      </c>
      <c r="O349" s="129" t="s">
        <v>130</v>
      </c>
      <c r="P349" s="130" t="s">
        <v>130</v>
      </c>
      <c r="Q349" s="131" t="s">
        <v>130</v>
      </c>
      <c r="R349" s="106">
        <v>71.390382661772804</v>
      </c>
      <c r="S349" s="107">
        <v>3.4591925552163576</v>
      </c>
      <c r="T349" s="100" t="s">
        <v>130</v>
      </c>
      <c r="U349" s="98">
        <v>1.996</v>
      </c>
      <c r="V349" s="99">
        <v>3.0848075583916043E-2</v>
      </c>
      <c r="W349" s="100" t="s">
        <v>733</v>
      </c>
      <c r="X349" s="129" t="s">
        <v>130</v>
      </c>
      <c r="Y349" s="130" t="s">
        <v>130</v>
      </c>
      <c r="Z349" s="131" t="s">
        <v>130</v>
      </c>
      <c r="AA349" s="109">
        <v>1731</v>
      </c>
      <c r="AB349" s="108">
        <v>10.4</v>
      </c>
      <c r="AC349" s="100" t="s">
        <v>130</v>
      </c>
    </row>
    <row r="350" spans="1:29" ht="15" customHeight="1" x14ac:dyDescent="0.35">
      <c r="A350" s="95" t="s">
        <v>672</v>
      </c>
      <c r="B350" s="1" t="s">
        <v>25</v>
      </c>
      <c r="C350" s="1">
        <v>45000</v>
      </c>
      <c r="E350" s="97">
        <v>45195</v>
      </c>
      <c r="H350" s="98">
        <v>0.32200000000000001</v>
      </c>
      <c r="I350" s="99">
        <v>0.12385965320310173</v>
      </c>
      <c r="J350" s="100" t="s">
        <v>409</v>
      </c>
      <c r="K350" s="132" t="s">
        <v>130</v>
      </c>
      <c r="L350" s="98">
        <v>0.17499999999999999</v>
      </c>
      <c r="M350" s="99">
        <v>1.53740448573825E-2</v>
      </c>
      <c r="N350" s="100" t="s">
        <v>130</v>
      </c>
      <c r="O350" s="98">
        <v>0.34100000000000003</v>
      </c>
      <c r="P350" s="99">
        <v>0.19617021365867265</v>
      </c>
      <c r="Q350" s="100" t="s">
        <v>409</v>
      </c>
      <c r="R350" s="133" t="s">
        <v>130</v>
      </c>
      <c r="S350" s="134" t="s">
        <v>130</v>
      </c>
      <c r="T350" s="131" t="s">
        <v>130</v>
      </c>
      <c r="U350" s="129" t="s">
        <v>130</v>
      </c>
      <c r="V350" s="130" t="s">
        <v>130</v>
      </c>
      <c r="W350" s="131" t="s">
        <v>130</v>
      </c>
      <c r="X350" s="98">
        <v>3.7999999999999999E-2</v>
      </c>
      <c r="Y350" s="99">
        <v>6.1864149872924573E-2</v>
      </c>
      <c r="Z350" s="100" t="s">
        <v>421</v>
      </c>
      <c r="AA350" s="135" t="s">
        <v>130</v>
      </c>
      <c r="AB350" s="136" t="s">
        <v>130</v>
      </c>
      <c r="AC350" s="131" t="s">
        <v>130</v>
      </c>
    </row>
    <row r="351" spans="1:29" ht="15" customHeight="1" x14ac:dyDescent="0.35">
      <c r="A351" s="95" t="s">
        <v>673</v>
      </c>
      <c r="B351" s="1" t="s">
        <v>26</v>
      </c>
      <c r="C351" s="1">
        <v>45000</v>
      </c>
      <c r="E351" s="97">
        <v>45195</v>
      </c>
      <c r="H351" s="129" t="s">
        <v>130</v>
      </c>
      <c r="I351" s="130" t="s">
        <v>130</v>
      </c>
      <c r="J351" s="131" t="s">
        <v>130</v>
      </c>
      <c r="K351" s="132" t="s">
        <v>130</v>
      </c>
      <c r="L351" s="129" t="s">
        <v>130</v>
      </c>
      <c r="M351" s="130" t="s">
        <v>130</v>
      </c>
      <c r="N351" s="131" t="s">
        <v>130</v>
      </c>
      <c r="O351" s="129" t="s">
        <v>130</v>
      </c>
      <c r="P351" s="130" t="s">
        <v>130</v>
      </c>
      <c r="Q351" s="131" t="s">
        <v>130</v>
      </c>
      <c r="R351" s="106">
        <v>74.529532155047576</v>
      </c>
      <c r="S351" s="107">
        <v>3.4591925552163576</v>
      </c>
      <c r="T351" s="100" t="s">
        <v>130</v>
      </c>
      <c r="U351" s="98">
        <v>1.4890000000000001</v>
      </c>
      <c r="V351" s="99">
        <v>3.0848075583916043E-2</v>
      </c>
      <c r="W351" s="100" t="s">
        <v>733</v>
      </c>
      <c r="X351" s="129" t="s">
        <v>130</v>
      </c>
      <c r="Y351" s="130" t="s">
        <v>130</v>
      </c>
      <c r="Z351" s="131" t="s">
        <v>130</v>
      </c>
      <c r="AA351" s="109">
        <v>2078</v>
      </c>
      <c r="AB351" s="108">
        <v>10.4</v>
      </c>
      <c r="AC351" s="100" t="s">
        <v>130</v>
      </c>
    </row>
    <row r="352" spans="1:29" ht="15" customHeight="1" x14ac:dyDescent="0.35">
      <c r="A352" s="95" t="s">
        <v>674</v>
      </c>
      <c r="B352" s="1" t="s">
        <v>26</v>
      </c>
      <c r="C352" s="1">
        <v>45000</v>
      </c>
      <c r="E352" s="97">
        <v>45195</v>
      </c>
      <c r="H352" s="98">
        <v>0.59299999999999997</v>
      </c>
      <c r="I352" s="99">
        <v>0.12385965320310173</v>
      </c>
      <c r="J352" s="100" t="s">
        <v>409</v>
      </c>
      <c r="K352" s="132" t="s">
        <v>130</v>
      </c>
      <c r="L352" s="98">
        <v>0.39600000000000002</v>
      </c>
      <c r="M352" s="99">
        <v>1.53740448573825E-2</v>
      </c>
      <c r="N352" s="100" t="s">
        <v>130</v>
      </c>
      <c r="O352" s="98">
        <v>2.2229999999999999</v>
      </c>
      <c r="P352" s="99">
        <v>0.19617021365867265</v>
      </c>
      <c r="Q352" s="100" t="s">
        <v>130</v>
      </c>
      <c r="R352" s="133" t="s">
        <v>130</v>
      </c>
      <c r="S352" s="134" t="s">
        <v>130</v>
      </c>
      <c r="T352" s="131" t="s">
        <v>130</v>
      </c>
      <c r="U352" s="129" t="s">
        <v>130</v>
      </c>
      <c r="V352" s="130" t="s">
        <v>130</v>
      </c>
      <c r="W352" s="131" t="s">
        <v>130</v>
      </c>
      <c r="X352" s="98">
        <v>1.7000000000000001E-2</v>
      </c>
      <c r="Y352" s="99">
        <v>6.1864149872924573E-2</v>
      </c>
      <c r="Z352" s="100" t="s">
        <v>421</v>
      </c>
      <c r="AA352" s="135" t="s">
        <v>130</v>
      </c>
      <c r="AB352" s="136" t="s">
        <v>130</v>
      </c>
      <c r="AC352" s="131" t="s">
        <v>130</v>
      </c>
    </row>
    <row r="353" spans="1:29" ht="15" customHeight="1" x14ac:dyDescent="0.35">
      <c r="A353" s="95" t="s">
        <v>675</v>
      </c>
      <c r="B353" s="1" t="s">
        <v>31</v>
      </c>
      <c r="C353" s="1">
        <v>45000</v>
      </c>
      <c r="E353" s="97">
        <v>45195</v>
      </c>
      <c r="H353" s="129" t="s">
        <v>130</v>
      </c>
      <c r="I353" s="130" t="s">
        <v>130</v>
      </c>
      <c r="J353" s="131" t="s">
        <v>130</v>
      </c>
      <c r="K353" s="132" t="s">
        <v>130</v>
      </c>
      <c r="L353" s="129" t="s">
        <v>130</v>
      </c>
      <c r="M353" s="130" t="s">
        <v>130</v>
      </c>
      <c r="N353" s="131" t="s">
        <v>130</v>
      </c>
      <c r="O353" s="129" t="s">
        <v>130</v>
      </c>
      <c r="P353" s="130" t="s">
        <v>130</v>
      </c>
      <c r="Q353" s="131" t="s">
        <v>130</v>
      </c>
      <c r="R353" s="106">
        <v>89.786172400635905</v>
      </c>
      <c r="S353" s="107">
        <v>3.4591925552163576</v>
      </c>
      <c r="T353" s="100" t="s">
        <v>130</v>
      </c>
      <c r="U353" s="98">
        <v>3.3260000000000001</v>
      </c>
      <c r="V353" s="99">
        <v>0.15097676949513356</v>
      </c>
      <c r="W353" s="100" t="s">
        <v>733</v>
      </c>
      <c r="X353" s="129" t="s">
        <v>130</v>
      </c>
      <c r="Y353" s="130" t="s">
        <v>130</v>
      </c>
      <c r="Z353" s="131" t="s">
        <v>130</v>
      </c>
      <c r="AA353" s="109">
        <v>1994</v>
      </c>
      <c r="AB353" s="108">
        <v>10.4</v>
      </c>
      <c r="AC353" s="100" t="s">
        <v>130</v>
      </c>
    </row>
    <row r="354" spans="1:29" ht="15" customHeight="1" x14ac:dyDescent="0.35">
      <c r="A354" s="95" t="s">
        <v>676</v>
      </c>
      <c r="B354" s="1" t="s">
        <v>31</v>
      </c>
      <c r="C354" s="1">
        <v>45000</v>
      </c>
      <c r="E354" s="97">
        <v>45195</v>
      </c>
      <c r="H354" s="98">
        <v>8.5999999999999993E-2</v>
      </c>
      <c r="I354" s="99">
        <v>0.12997332098075642</v>
      </c>
      <c r="J354" s="100" t="s">
        <v>421</v>
      </c>
      <c r="K354" s="132" t="s">
        <v>130</v>
      </c>
      <c r="L354" s="98">
        <v>2.3000000000000007E-2</v>
      </c>
      <c r="M354" s="99">
        <v>1.2978895462142594E-2</v>
      </c>
      <c r="N354" s="100" t="s">
        <v>409</v>
      </c>
      <c r="O354" s="98">
        <v>0.42699999999999999</v>
      </c>
      <c r="P354" s="99">
        <v>0.17943008158362678</v>
      </c>
      <c r="Q354" s="100" t="s">
        <v>409</v>
      </c>
      <c r="R354" s="133" t="s">
        <v>130</v>
      </c>
      <c r="S354" s="134" t="s">
        <v>130</v>
      </c>
      <c r="T354" s="131" t="s">
        <v>130</v>
      </c>
      <c r="U354" s="129" t="s">
        <v>130</v>
      </c>
      <c r="V354" s="130" t="s">
        <v>130</v>
      </c>
      <c r="W354" s="131" t="s">
        <v>130</v>
      </c>
      <c r="X354" s="98">
        <v>0.108</v>
      </c>
      <c r="Y354" s="99">
        <v>4.5628866304919032E-2</v>
      </c>
      <c r="Z354" s="100" t="s">
        <v>409</v>
      </c>
      <c r="AA354" s="135" t="s">
        <v>130</v>
      </c>
      <c r="AB354" s="136" t="s">
        <v>130</v>
      </c>
      <c r="AC354" s="131" t="s">
        <v>130</v>
      </c>
    </row>
    <row r="355" spans="1:29" ht="15" customHeight="1" x14ac:dyDescent="0.35">
      <c r="A355" s="95" t="s">
        <v>677</v>
      </c>
      <c r="B355" s="1" t="s">
        <v>29</v>
      </c>
      <c r="C355" s="1">
        <v>45000</v>
      </c>
      <c r="E355" s="97">
        <v>45195</v>
      </c>
      <c r="H355" s="129" t="s">
        <v>130</v>
      </c>
      <c r="I355" s="130" t="s">
        <v>130</v>
      </c>
      <c r="J355" s="131" t="s">
        <v>130</v>
      </c>
      <c r="K355" s="132" t="s">
        <v>130</v>
      </c>
      <c r="L355" s="129" t="s">
        <v>130</v>
      </c>
      <c r="M355" s="130" t="s">
        <v>130</v>
      </c>
      <c r="N355" s="131" t="s">
        <v>130</v>
      </c>
      <c r="O355" s="129" t="s">
        <v>130</v>
      </c>
      <c r="P355" s="130" t="s">
        <v>130</v>
      </c>
      <c r="Q355" s="131" t="s">
        <v>130</v>
      </c>
      <c r="R355" s="106">
        <v>114.48361789311157</v>
      </c>
      <c r="S355" s="107">
        <v>3.4591925552163576</v>
      </c>
      <c r="T355" s="100" t="s">
        <v>130</v>
      </c>
      <c r="U355" s="98">
        <v>3.286</v>
      </c>
      <c r="V355" s="99">
        <v>0.15097676949513356</v>
      </c>
      <c r="W355" s="100" t="s">
        <v>733</v>
      </c>
      <c r="X355" s="129" t="s">
        <v>130</v>
      </c>
      <c r="Y355" s="130" t="s">
        <v>130</v>
      </c>
      <c r="Z355" s="131" t="s">
        <v>130</v>
      </c>
      <c r="AA355" s="109">
        <v>2401</v>
      </c>
      <c r="AB355" s="108">
        <v>20.8</v>
      </c>
      <c r="AC355" s="100" t="s">
        <v>130</v>
      </c>
    </row>
    <row r="356" spans="1:29" ht="15" customHeight="1" x14ac:dyDescent="0.35">
      <c r="A356" s="95" t="s">
        <v>678</v>
      </c>
      <c r="B356" s="1" t="s">
        <v>29</v>
      </c>
      <c r="C356" s="1">
        <v>45000</v>
      </c>
      <c r="E356" s="97">
        <v>45195</v>
      </c>
      <c r="H356" s="98">
        <v>8.8999999999999996E-2</v>
      </c>
      <c r="I356" s="99">
        <v>0.12997332098075642</v>
      </c>
      <c r="J356" s="100" t="s">
        <v>421</v>
      </c>
      <c r="K356" s="132" t="s">
        <v>130</v>
      </c>
      <c r="L356" s="98">
        <v>3.2000000000000001E-2</v>
      </c>
      <c r="M356" s="99">
        <v>1.2978895462142594E-2</v>
      </c>
      <c r="N356" s="100" t="s">
        <v>409</v>
      </c>
      <c r="O356" s="98">
        <v>0.46400000000000002</v>
      </c>
      <c r="P356" s="99">
        <v>0.17943008158362678</v>
      </c>
      <c r="Q356" s="100" t="s">
        <v>409</v>
      </c>
      <c r="R356" s="133" t="s">
        <v>130</v>
      </c>
      <c r="S356" s="134" t="s">
        <v>130</v>
      </c>
      <c r="T356" s="131" t="s">
        <v>130</v>
      </c>
      <c r="U356" s="129" t="s">
        <v>130</v>
      </c>
      <c r="V356" s="130" t="s">
        <v>130</v>
      </c>
      <c r="W356" s="131" t="s">
        <v>130</v>
      </c>
      <c r="X356" s="98">
        <v>3.4000000000000002E-2</v>
      </c>
      <c r="Y356" s="99">
        <v>4.5628866304919032E-2</v>
      </c>
      <c r="Z356" s="100" t="s">
        <v>421</v>
      </c>
      <c r="AA356" s="135" t="s">
        <v>130</v>
      </c>
      <c r="AB356" s="136" t="s">
        <v>130</v>
      </c>
      <c r="AC356" s="131" t="s">
        <v>130</v>
      </c>
    </row>
    <row r="357" spans="1:29" ht="15" customHeight="1" x14ac:dyDescent="0.35">
      <c r="A357" s="95" t="s">
        <v>679</v>
      </c>
      <c r="B357" s="1" t="s">
        <v>33</v>
      </c>
      <c r="C357" s="1">
        <v>45000</v>
      </c>
      <c r="E357" s="97">
        <v>45195</v>
      </c>
      <c r="H357" s="129" t="s">
        <v>130</v>
      </c>
      <c r="I357" s="130" t="s">
        <v>130</v>
      </c>
      <c r="J357" s="131" t="s">
        <v>130</v>
      </c>
      <c r="K357" s="132" t="s">
        <v>130</v>
      </c>
      <c r="L357" s="129" t="s">
        <v>130</v>
      </c>
      <c r="M357" s="130" t="s">
        <v>130</v>
      </c>
      <c r="N357" s="131" t="s">
        <v>130</v>
      </c>
      <c r="O357" s="129" t="s">
        <v>130</v>
      </c>
      <c r="P357" s="130" t="s">
        <v>130</v>
      </c>
      <c r="Q357" s="131" t="s">
        <v>130</v>
      </c>
      <c r="R357" s="106">
        <v>52.599085000641978</v>
      </c>
      <c r="S357" s="107">
        <v>3.4591925552163576</v>
      </c>
      <c r="T357" s="100" t="s">
        <v>130</v>
      </c>
      <c r="U357" s="98">
        <v>1.0269999999999999</v>
      </c>
      <c r="V357" s="99">
        <v>2.7749990667804949E-2</v>
      </c>
      <c r="W357" s="100" t="s">
        <v>733</v>
      </c>
      <c r="X357" s="129" t="s">
        <v>130</v>
      </c>
      <c r="Y357" s="130" t="s">
        <v>130</v>
      </c>
      <c r="Z357" s="131" t="s">
        <v>130</v>
      </c>
      <c r="AA357" s="109">
        <v>1157</v>
      </c>
      <c r="AB357" s="108">
        <v>10.4</v>
      </c>
      <c r="AC357" s="100" t="s">
        <v>130</v>
      </c>
    </row>
    <row r="358" spans="1:29" ht="15" customHeight="1" x14ac:dyDescent="0.35">
      <c r="A358" s="95" t="s">
        <v>680</v>
      </c>
      <c r="B358" s="1" t="s">
        <v>33</v>
      </c>
      <c r="C358" s="1">
        <v>45000</v>
      </c>
      <c r="E358" s="97">
        <v>45195</v>
      </c>
      <c r="H358" s="98">
        <v>8.7999999999999995E-2</v>
      </c>
      <c r="I358" s="99">
        <v>0.12997332098075642</v>
      </c>
      <c r="J358" s="100" t="s">
        <v>421</v>
      </c>
      <c r="K358" s="132" t="s">
        <v>130</v>
      </c>
      <c r="L358" s="98">
        <v>0.04</v>
      </c>
      <c r="M358" s="99">
        <v>1.2978895462142594E-2</v>
      </c>
      <c r="N358" s="100" t="s">
        <v>409</v>
      </c>
      <c r="O358" s="98">
        <v>0.29799999999999999</v>
      </c>
      <c r="P358" s="99">
        <v>0.17943008158362678</v>
      </c>
      <c r="Q358" s="100" t="s">
        <v>409</v>
      </c>
      <c r="R358" s="133" t="s">
        <v>130</v>
      </c>
      <c r="S358" s="134" t="s">
        <v>130</v>
      </c>
      <c r="T358" s="131" t="s">
        <v>130</v>
      </c>
      <c r="U358" s="129" t="s">
        <v>130</v>
      </c>
      <c r="V358" s="130" t="s">
        <v>130</v>
      </c>
      <c r="W358" s="131" t="s">
        <v>130</v>
      </c>
      <c r="X358" s="98">
        <v>3.9E-2</v>
      </c>
      <c r="Y358" s="99">
        <v>4.5628866304919032E-2</v>
      </c>
      <c r="Z358" s="100" t="s">
        <v>421</v>
      </c>
      <c r="AA358" s="135" t="s">
        <v>130</v>
      </c>
      <c r="AB358" s="136" t="s">
        <v>130</v>
      </c>
      <c r="AC358" s="131" t="s">
        <v>130</v>
      </c>
    </row>
    <row r="359" spans="1:29" ht="15" customHeight="1" x14ac:dyDescent="0.35">
      <c r="A359" s="95" t="s">
        <v>681</v>
      </c>
      <c r="B359" s="1" t="s">
        <v>27</v>
      </c>
      <c r="C359" s="1">
        <v>45000</v>
      </c>
      <c r="E359" s="97">
        <v>45195</v>
      </c>
      <c r="H359" s="129" t="s">
        <v>130</v>
      </c>
      <c r="I359" s="130" t="s">
        <v>130</v>
      </c>
      <c r="J359" s="131" t="s">
        <v>130</v>
      </c>
      <c r="K359" s="132" t="s">
        <v>130</v>
      </c>
      <c r="L359" s="129" t="s">
        <v>130</v>
      </c>
      <c r="M359" s="130" t="s">
        <v>130</v>
      </c>
      <c r="N359" s="131" t="s">
        <v>130</v>
      </c>
      <c r="O359" s="129" t="s">
        <v>130</v>
      </c>
      <c r="P359" s="130" t="s">
        <v>130</v>
      </c>
      <c r="Q359" s="131" t="s">
        <v>130</v>
      </c>
      <c r="R359" s="106">
        <v>109.0975474083708</v>
      </c>
      <c r="S359" s="107">
        <v>3.4591925552163576</v>
      </c>
      <c r="T359" s="100" t="s">
        <v>130</v>
      </c>
      <c r="U359" s="98">
        <v>2.0430000000000001</v>
      </c>
      <c r="V359" s="99">
        <v>2.7749990667804949E-2</v>
      </c>
      <c r="W359" s="100" t="s">
        <v>733</v>
      </c>
      <c r="X359" s="129" t="s">
        <v>130</v>
      </c>
      <c r="Y359" s="130" t="s">
        <v>130</v>
      </c>
      <c r="Z359" s="131" t="s">
        <v>130</v>
      </c>
      <c r="AA359" s="109">
        <v>1401</v>
      </c>
      <c r="AB359" s="108">
        <v>10.4</v>
      </c>
      <c r="AC359" s="100" t="s">
        <v>130</v>
      </c>
    </row>
    <row r="360" spans="1:29" ht="15" customHeight="1" x14ac:dyDescent="0.35">
      <c r="A360" s="95" t="s">
        <v>682</v>
      </c>
      <c r="B360" s="1" t="s">
        <v>27</v>
      </c>
      <c r="C360" s="1">
        <v>45000</v>
      </c>
      <c r="E360" s="97">
        <v>45195</v>
      </c>
      <c r="H360" s="98">
        <v>0.41899999999999998</v>
      </c>
      <c r="I360" s="99">
        <v>0.12997332098075642</v>
      </c>
      <c r="J360" s="100" t="s">
        <v>409</v>
      </c>
      <c r="K360" s="132" t="s">
        <v>130</v>
      </c>
      <c r="L360" s="98">
        <v>0.184</v>
      </c>
      <c r="M360" s="99">
        <v>1.2978895462142594E-2</v>
      </c>
      <c r="N360" s="100" t="s">
        <v>130</v>
      </c>
      <c r="O360" s="98">
        <v>0.41699999999999998</v>
      </c>
      <c r="P360" s="99">
        <v>0.17943008158362678</v>
      </c>
      <c r="Q360" s="100" t="s">
        <v>409</v>
      </c>
      <c r="R360" s="133" t="s">
        <v>130</v>
      </c>
      <c r="S360" s="134" t="s">
        <v>130</v>
      </c>
      <c r="T360" s="131" t="s">
        <v>130</v>
      </c>
      <c r="U360" s="129" t="s">
        <v>130</v>
      </c>
      <c r="V360" s="130" t="s">
        <v>130</v>
      </c>
      <c r="W360" s="131" t="s">
        <v>130</v>
      </c>
      <c r="X360" s="98">
        <v>3.9E-2</v>
      </c>
      <c r="Y360" s="99">
        <v>4.5628866304919032E-2</v>
      </c>
      <c r="Z360" s="100" t="s">
        <v>421</v>
      </c>
      <c r="AA360" s="135" t="s">
        <v>130</v>
      </c>
      <c r="AB360" s="136" t="s">
        <v>130</v>
      </c>
      <c r="AC360" s="131" t="s">
        <v>130</v>
      </c>
    </row>
    <row r="361" spans="1:29" ht="15" customHeight="1" x14ac:dyDescent="0.35">
      <c r="A361" s="95" t="s">
        <v>683</v>
      </c>
      <c r="B361" s="1" t="s">
        <v>34</v>
      </c>
      <c r="C361" s="1">
        <v>45000</v>
      </c>
      <c r="E361" s="97">
        <v>45196</v>
      </c>
      <c r="H361" s="129" t="s">
        <v>130</v>
      </c>
      <c r="I361" s="130" t="s">
        <v>130</v>
      </c>
      <c r="J361" s="131" t="s">
        <v>130</v>
      </c>
      <c r="K361" s="132" t="s">
        <v>130</v>
      </c>
      <c r="L361" s="129" t="s">
        <v>130</v>
      </c>
      <c r="M361" s="130" t="s">
        <v>130</v>
      </c>
      <c r="N361" s="131" t="s">
        <v>130</v>
      </c>
      <c r="O361" s="129" t="s">
        <v>130</v>
      </c>
      <c r="P361" s="130" t="s">
        <v>130</v>
      </c>
      <c r="Q361" s="131" t="s">
        <v>130</v>
      </c>
      <c r="R361" s="106">
        <v>79.260056044218558</v>
      </c>
      <c r="S361" s="107">
        <v>3.4591925552163576</v>
      </c>
      <c r="T361" s="100" t="s">
        <v>130</v>
      </c>
      <c r="U361" s="98">
        <v>0.70399999999999996</v>
      </c>
      <c r="V361" s="99">
        <v>3.0848075583916043E-2</v>
      </c>
      <c r="W361" s="100" t="s">
        <v>733</v>
      </c>
      <c r="X361" s="129" t="s">
        <v>130</v>
      </c>
      <c r="Y361" s="130" t="s">
        <v>130</v>
      </c>
      <c r="Z361" s="131" t="s">
        <v>130</v>
      </c>
      <c r="AA361" s="109">
        <v>2055</v>
      </c>
      <c r="AB361" s="108">
        <v>10.4</v>
      </c>
      <c r="AC361" s="100" t="s">
        <v>130</v>
      </c>
    </row>
    <row r="362" spans="1:29" ht="15" customHeight="1" x14ac:dyDescent="0.35">
      <c r="A362" s="95" t="s">
        <v>684</v>
      </c>
      <c r="B362" s="1" t="s">
        <v>34</v>
      </c>
      <c r="C362" s="1">
        <v>45000</v>
      </c>
      <c r="E362" s="97">
        <v>45196</v>
      </c>
      <c r="H362" s="98">
        <v>0.15</v>
      </c>
      <c r="I362" s="99">
        <v>0.12385965320310173</v>
      </c>
      <c r="J362" s="100" t="s">
        <v>409</v>
      </c>
      <c r="K362" s="132" t="s">
        <v>130</v>
      </c>
      <c r="L362" s="98">
        <v>0.10299999999999999</v>
      </c>
      <c r="M362" s="99">
        <v>1.53740448573825E-2</v>
      </c>
      <c r="N362" s="100" t="s">
        <v>409</v>
      </c>
      <c r="O362" s="98">
        <v>0.313</v>
      </c>
      <c r="P362" s="99">
        <v>0.19617021365867265</v>
      </c>
      <c r="Q362" s="100" t="s">
        <v>409</v>
      </c>
      <c r="R362" s="133" t="s">
        <v>130</v>
      </c>
      <c r="S362" s="134" t="s">
        <v>130</v>
      </c>
      <c r="T362" s="131" t="s">
        <v>130</v>
      </c>
      <c r="U362" s="129" t="s">
        <v>130</v>
      </c>
      <c r="V362" s="130" t="s">
        <v>130</v>
      </c>
      <c r="W362" s="131" t="s">
        <v>130</v>
      </c>
      <c r="X362" s="98" t="s">
        <v>130</v>
      </c>
      <c r="Y362" s="99">
        <v>6.1864149872924573E-2</v>
      </c>
      <c r="Z362" s="100" t="s">
        <v>468</v>
      </c>
      <c r="AA362" s="135" t="s">
        <v>130</v>
      </c>
      <c r="AB362" s="136" t="s">
        <v>130</v>
      </c>
      <c r="AC362" s="131" t="s">
        <v>130</v>
      </c>
    </row>
    <row r="363" spans="1:29" ht="15" customHeight="1" x14ac:dyDescent="0.35">
      <c r="A363" s="95" t="s">
        <v>685</v>
      </c>
      <c r="B363" s="1" t="s">
        <v>35</v>
      </c>
      <c r="C363" s="1">
        <v>45000</v>
      </c>
      <c r="E363" s="97">
        <v>45196</v>
      </c>
      <c r="H363" s="129" t="s">
        <v>130</v>
      </c>
      <c r="I363" s="130" t="s">
        <v>130</v>
      </c>
      <c r="J363" s="131" t="s">
        <v>130</v>
      </c>
      <c r="K363" s="132" t="s">
        <v>130</v>
      </c>
      <c r="L363" s="129" t="s">
        <v>130</v>
      </c>
      <c r="M363" s="130" t="s">
        <v>130</v>
      </c>
      <c r="N363" s="131" t="s">
        <v>130</v>
      </c>
      <c r="O363" s="129" t="s">
        <v>130</v>
      </c>
      <c r="P363" s="130" t="s">
        <v>130</v>
      </c>
      <c r="Q363" s="131" t="s">
        <v>130</v>
      </c>
      <c r="R363" s="106">
        <v>83.180878675203616</v>
      </c>
      <c r="S363" s="107">
        <v>3.4591925552163576</v>
      </c>
      <c r="T363" s="100" t="s">
        <v>130</v>
      </c>
      <c r="U363" s="98">
        <v>1.002</v>
      </c>
      <c r="V363" s="99">
        <v>3.0848075583916043E-2</v>
      </c>
      <c r="W363" s="100" t="s">
        <v>733</v>
      </c>
      <c r="X363" s="129" t="s">
        <v>130</v>
      </c>
      <c r="Y363" s="130" t="s">
        <v>130</v>
      </c>
      <c r="Z363" s="131" t="s">
        <v>130</v>
      </c>
      <c r="AA363" s="109">
        <v>2016</v>
      </c>
      <c r="AB363" s="108">
        <v>20.8</v>
      </c>
      <c r="AC363" s="100" t="s">
        <v>130</v>
      </c>
    </row>
    <row r="364" spans="1:29" ht="15" customHeight="1" x14ac:dyDescent="0.35">
      <c r="A364" s="95" t="s">
        <v>686</v>
      </c>
      <c r="B364" s="1" t="s">
        <v>35</v>
      </c>
      <c r="C364" s="1">
        <v>45000</v>
      </c>
      <c r="E364" s="97">
        <v>45196</v>
      </c>
      <c r="H364" s="98">
        <v>5.49</v>
      </c>
      <c r="I364" s="99">
        <v>0.12385965320310173</v>
      </c>
      <c r="J364" s="100" t="s">
        <v>130</v>
      </c>
      <c r="K364" s="101">
        <v>5.1630000000000003</v>
      </c>
      <c r="L364" s="98">
        <v>0.32700000000000001</v>
      </c>
      <c r="M364" s="99">
        <v>1.53740448573825E-2</v>
      </c>
      <c r="N364" s="100" t="s">
        <v>130</v>
      </c>
      <c r="O364" s="98">
        <v>1.665</v>
      </c>
      <c r="P364" s="99">
        <v>0.19617021365867265</v>
      </c>
      <c r="Q364" s="100" t="s">
        <v>130</v>
      </c>
      <c r="R364" s="133" t="s">
        <v>130</v>
      </c>
      <c r="S364" s="134" t="s">
        <v>130</v>
      </c>
      <c r="T364" s="131" t="s">
        <v>130</v>
      </c>
      <c r="U364" s="129" t="s">
        <v>130</v>
      </c>
      <c r="V364" s="130" t="s">
        <v>130</v>
      </c>
      <c r="W364" s="131" t="s">
        <v>130</v>
      </c>
      <c r="X364" s="98">
        <v>1.7000000000000001E-2</v>
      </c>
      <c r="Y364" s="99">
        <v>6.1864149872924573E-2</v>
      </c>
      <c r="Z364" s="100" t="s">
        <v>421</v>
      </c>
      <c r="AA364" s="135" t="s">
        <v>130</v>
      </c>
      <c r="AB364" s="136" t="s">
        <v>130</v>
      </c>
      <c r="AC364" s="131" t="s">
        <v>130</v>
      </c>
    </row>
    <row r="365" spans="1:29" ht="15" customHeight="1" x14ac:dyDescent="0.35">
      <c r="A365" s="95" t="s">
        <v>687</v>
      </c>
      <c r="B365" s="1" t="s">
        <v>36</v>
      </c>
      <c r="C365" s="1">
        <v>45000</v>
      </c>
      <c r="E365" s="97">
        <v>45196</v>
      </c>
      <c r="H365" s="129" t="s">
        <v>130</v>
      </c>
      <c r="I365" s="130" t="s">
        <v>130</v>
      </c>
      <c r="J365" s="131" t="s">
        <v>130</v>
      </c>
      <c r="K365" s="132" t="s">
        <v>130</v>
      </c>
      <c r="L365" s="129" t="s">
        <v>130</v>
      </c>
      <c r="M365" s="130" t="s">
        <v>130</v>
      </c>
      <c r="N365" s="131" t="s">
        <v>130</v>
      </c>
      <c r="O365" s="129" t="s">
        <v>130</v>
      </c>
      <c r="P365" s="130" t="s">
        <v>130</v>
      </c>
      <c r="Q365" s="131" t="s">
        <v>130</v>
      </c>
      <c r="R365" s="106">
        <v>67.089623286562059</v>
      </c>
      <c r="S365" s="107">
        <v>3.4591925552163576</v>
      </c>
      <c r="T365" s="100" t="s">
        <v>130</v>
      </c>
      <c r="U365" s="98">
        <v>1.111</v>
      </c>
      <c r="V365" s="99">
        <v>2.7749990667804949E-2</v>
      </c>
      <c r="W365" s="100" t="s">
        <v>733</v>
      </c>
      <c r="X365" s="129" t="s">
        <v>130</v>
      </c>
      <c r="Y365" s="130" t="s">
        <v>130</v>
      </c>
      <c r="Z365" s="131" t="s">
        <v>130</v>
      </c>
      <c r="AA365" s="109">
        <v>1780</v>
      </c>
      <c r="AB365" s="108">
        <v>10.4</v>
      </c>
      <c r="AC365" s="100" t="s">
        <v>130</v>
      </c>
    </row>
    <row r="366" spans="1:29" ht="15" customHeight="1" x14ac:dyDescent="0.35">
      <c r="A366" s="95" t="s">
        <v>688</v>
      </c>
      <c r="B366" s="1" t="s">
        <v>36</v>
      </c>
      <c r="C366" s="1">
        <v>45000</v>
      </c>
      <c r="E366" s="97">
        <v>45196</v>
      </c>
      <c r="H366" s="98">
        <v>3.081</v>
      </c>
      <c r="I366" s="99">
        <v>0.12997332098075642</v>
      </c>
      <c r="J366" s="100" t="s">
        <v>130</v>
      </c>
      <c r="K366" s="101">
        <v>2.863</v>
      </c>
      <c r="L366" s="98">
        <v>0.218</v>
      </c>
      <c r="M366" s="99">
        <v>1.2978895462142594E-2</v>
      </c>
      <c r="N366" s="100" t="s">
        <v>130</v>
      </c>
      <c r="O366" s="98">
        <v>0.84</v>
      </c>
      <c r="P366" s="99">
        <v>0.17943008158362678</v>
      </c>
      <c r="Q366" s="100" t="s">
        <v>409</v>
      </c>
      <c r="R366" s="133" t="s">
        <v>130</v>
      </c>
      <c r="S366" s="134" t="s">
        <v>130</v>
      </c>
      <c r="T366" s="131" t="s">
        <v>130</v>
      </c>
      <c r="U366" s="129" t="s">
        <v>130</v>
      </c>
      <c r="V366" s="130" t="s">
        <v>130</v>
      </c>
      <c r="W366" s="131" t="s">
        <v>130</v>
      </c>
      <c r="X366" s="98">
        <v>1.9E-2</v>
      </c>
      <c r="Y366" s="99">
        <v>4.5628866304919032E-2</v>
      </c>
      <c r="Z366" s="100" t="s">
        <v>421</v>
      </c>
      <c r="AA366" s="135" t="s">
        <v>130</v>
      </c>
      <c r="AB366" s="136" t="s">
        <v>130</v>
      </c>
      <c r="AC366" s="131" t="s">
        <v>130</v>
      </c>
    </row>
    <row r="367" spans="1:29" ht="15" customHeight="1" x14ac:dyDescent="0.35">
      <c r="A367" s="95" t="s">
        <v>689</v>
      </c>
      <c r="B367" s="1" t="s">
        <v>37</v>
      </c>
      <c r="C367" s="1">
        <v>45000</v>
      </c>
      <c r="E367" s="97">
        <v>45196</v>
      </c>
      <c r="H367" s="129" t="s">
        <v>130</v>
      </c>
      <c r="I367" s="130" t="s">
        <v>130</v>
      </c>
      <c r="J367" s="131" t="s">
        <v>130</v>
      </c>
      <c r="K367" s="132" t="s">
        <v>130</v>
      </c>
      <c r="L367" s="129" t="s">
        <v>130</v>
      </c>
      <c r="M367" s="130" t="s">
        <v>130</v>
      </c>
      <c r="N367" s="131" t="s">
        <v>130</v>
      </c>
      <c r="O367" s="129" t="s">
        <v>130</v>
      </c>
      <c r="P367" s="130" t="s">
        <v>130</v>
      </c>
      <c r="Q367" s="131" t="s">
        <v>130</v>
      </c>
      <c r="R367" s="106">
        <v>76.011908304649523</v>
      </c>
      <c r="S367" s="107">
        <v>3.4591925552163576</v>
      </c>
      <c r="T367" s="100" t="s">
        <v>130</v>
      </c>
      <c r="U367" s="98">
        <v>1.1990000000000001</v>
      </c>
      <c r="V367" s="99">
        <v>2.7749990667804949E-2</v>
      </c>
      <c r="W367" s="100" t="s">
        <v>733</v>
      </c>
      <c r="X367" s="129" t="s">
        <v>130</v>
      </c>
      <c r="Y367" s="130" t="s">
        <v>130</v>
      </c>
      <c r="Z367" s="131" t="s">
        <v>130</v>
      </c>
      <c r="AA367" s="109">
        <v>1993</v>
      </c>
      <c r="AB367" s="108">
        <v>10.4</v>
      </c>
      <c r="AC367" s="100" t="s">
        <v>130</v>
      </c>
    </row>
    <row r="368" spans="1:29" ht="15" customHeight="1" x14ac:dyDescent="0.35">
      <c r="A368" s="95" t="s">
        <v>690</v>
      </c>
      <c r="B368" s="1" t="s">
        <v>37</v>
      </c>
      <c r="C368" s="1">
        <v>45000</v>
      </c>
      <c r="E368" s="97">
        <v>45196</v>
      </c>
      <c r="F368" s="10"/>
      <c r="H368" s="98">
        <v>4.55</v>
      </c>
      <c r="I368" s="99">
        <v>0.12997332098075642</v>
      </c>
      <c r="J368" s="100" t="s">
        <v>130</v>
      </c>
      <c r="K368" s="101">
        <v>4.0179999999999998</v>
      </c>
      <c r="L368" s="98">
        <v>0.53200000000000003</v>
      </c>
      <c r="M368" s="99">
        <v>1.2978895462142594E-2</v>
      </c>
      <c r="N368" s="100" t="s">
        <v>130</v>
      </c>
      <c r="O368" s="98">
        <v>3.3050000000000002</v>
      </c>
      <c r="P368" s="99">
        <v>0.17943008158362678</v>
      </c>
      <c r="Q368" s="100" t="s">
        <v>130</v>
      </c>
      <c r="R368" s="133" t="s">
        <v>130</v>
      </c>
      <c r="S368" s="134" t="s">
        <v>130</v>
      </c>
      <c r="T368" s="131" t="s">
        <v>130</v>
      </c>
      <c r="U368" s="129" t="s">
        <v>130</v>
      </c>
      <c r="V368" s="130" t="s">
        <v>130</v>
      </c>
      <c r="W368" s="131" t="s">
        <v>130</v>
      </c>
      <c r="X368" s="98">
        <v>8.5000000000000006E-2</v>
      </c>
      <c r="Y368" s="99">
        <v>4.5628866304919032E-2</v>
      </c>
      <c r="Z368" s="100" t="s">
        <v>409</v>
      </c>
      <c r="AA368" s="135" t="s">
        <v>130</v>
      </c>
      <c r="AB368" s="136" t="s">
        <v>130</v>
      </c>
      <c r="AC368" s="131" t="s">
        <v>130</v>
      </c>
    </row>
    <row r="369" spans="1:29" ht="15" customHeight="1" x14ac:dyDescent="0.35">
      <c r="A369" s="95" t="s">
        <v>691</v>
      </c>
      <c r="B369" s="1" t="s">
        <v>40</v>
      </c>
      <c r="C369" s="1">
        <v>45000</v>
      </c>
      <c r="E369" s="97">
        <v>45196</v>
      </c>
      <c r="F369" s="10"/>
      <c r="H369" s="129" t="s">
        <v>130</v>
      </c>
      <c r="I369" s="130" t="s">
        <v>130</v>
      </c>
      <c r="J369" s="131" t="s">
        <v>130</v>
      </c>
      <c r="K369" s="132" t="s">
        <v>130</v>
      </c>
      <c r="L369" s="129" t="s">
        <v>130</v>
      </c>
      <c r="M369" s="130" t="s">
        <v>130</v>
      </c>
      <c r="N369" s="131" t="s">
        <v>130</v>
      </c>
      <c r="O369" s="129" t="s">
        <v>130</v>
      </c>
      <c r="P369" s="130" t="s">
        <v>130</v>
      </c>
      <c r="Q369" s="131" t="s">
        <v>130</v>
      </c>
      <c r="R369" s="106">
        <v>88.556049335314938</v>
      </c>
      <c r="S369" s="107">
        <v>3.4591925552163576</v>
      </c>
      <c r="T369" s="100" t="s">
        <v>130</v>
      </c>
      <c r="U369" s="98">
        <v>1.0569999999999999</v>
      </c>
      <c r="V369" s="99">
        <v>2.7749990667804949E-2</v>
      </c>
      <c r="W369" s="100" t="s">
        <v>733</v>
      </c>
      <c r="X369" s="129" t="s">
        <v>130</v>
      </c>
      <c r="Y369" s="130" t="s">
        <v>130</v>
      </c>
      <c r="Z369" s="131" t="s">
        <v>130</v>
      </c>
      <c r="AA369" s="109">
        <v>2060</v>
      </c>
      <c r="AB369" s="108">
        <v>20.8</v>
      </c>
      <c r="AC369" s="100" t="s">
        <v>130</v>
      </c>
    </row>
    <row r="370" spans="1:29" ht="15" customHeight="1" x14ac:dyDescent="0.35">
      <c r="A370" s="95" t="s">
        <v>692</v>
      </c>
      <c r="B370" s="1" t="s">
        <v>40</v>
      </c>
      <c r="C370" s="1">
        <v>45000</v>
      </c>
      <c r="E370" s="97">
        <v>45196</v>
      </c>
      <c r="F370" s="10"/>
      <c r="H370" s="98">
        <v>8.4969999999999999</v>
      </c>
      <c r="I370" s="99">
        <v>0.12997332098075642</v>
      </c>
      <c r="J370" s="100" t="s">
        <v>130</v>
      </c>
      <c r="K370" s="101">
        <v>8.2010000000000005</v>
      </c>
      <c r="L370" s="98">
        <v>0.29599999999999999</v>
      </c>
      <c r="M370" s="99">
        <v>1.2978895462142594E-2</v>
      </c>
      <c r="N370" s="100" t="s">
        <v>130</v>
      </c>
      <c r="O370" s="98">
        <v>5.024</v>
      </c>
      <c r="P370" s="99">
        <v>0.17943008158362678</v>
      </c>
      <c r="Q370" s="100" t="s">
        <v>130</v>
      </c>
      <c r="R370" s="133" t="s">
        <v>130</v>
      </c>
      <c r="S370" s="134" t="s">
        <v>130</v>
      </c>
      <c r="T370" s="131" t="s">
        <v>130</v>
      </c>
      <c r="U370" s="129" t="s">
        <v>130</v>
      </c>
      <c r="V370" s="130" t="s">
        <v>130</v>
      </c>
      <c r="W370" s="131" t="s">
        <v>130</v>
      </c>
      <c r="X370" s="98">
        <v>1.4E-2</v>
      </c>
      <c r="Y370" s="99">
        <v>4.5628866304919032E-2</v>
      </c>
      <c r="Z370" s="100" t="s">
        <v>421</v>
      </c>
      <c r="AA370" s="135" t="s">
        <v>130</v>
      </c>
      <c r="AB370" s="136" t="s">
        <v>130</v>
      </c>
      <c r="AC370" s="131" t="s">
        <v>130</v>
      </c>
    </row>
    <row r="371" spans="1:29" ht="15" customHeight="1" x14ac:dyDescent="0.35">
      <c r="A371" s="95" t="s">
        <v>693</v>
      </c>
      <c r="B371" s="1" t="s">
        <v>50</v>
      </c>
      <c r="C371" s="1">
        <v>45000</v>
      </c>
      <c r="E371" s="97">
        <v>45196</v>
      </c>
      <c r="F371" s="10"/>
      <c r="H371" s="129" t="s">
        <v>130</v>
      </c>
      <c r="I371" s="130" t="s">
        <v>130</v>
      </c>
      <c r="J371" s="131" t="s">
        <v>130</v>
      </c>
      <c r="K371" s="132" t="s">
        <v>130</v>
      </c>
      <c r="L371" s="129" t="s">
        <v>130</v>
      </c>
      <c r="M371" s="130" t="s">
        <v>130</v>
      </c>
      <c r="N371" s="131" t="s">
        <v>130</v>
      </c>
      <c r="O371" s="129" t="s">
        <v>130</v>
      </c>
      <c r="P371" s="130" t="s">
        <v>130</v>
      </c>
      <c r="Q371" s="131" t="s">
        <v>130</v>
      </c>
      <c r="R371" s="106">
        <v>61.259774227623225</v>
      </c>
      <c r="S371" s="107">
        <v>3.4591925552163576</v>
      </c>
      <c r="T371" s="100" t="s">
        <v>130</v>
      </c>
      <c r="U371" s="98">
        <v>0.79900000000000004</v>
      </c>
      <c r="V371" s="99">
        <v>2.7749990667804949E-2</v>
      </c>
      <c r="W371" s="100" t="s">
        <v>733</v>
      </c>
      <c r="X371" s="129" t="s">
        <v>130</v>
      </c>
      <c r="Y371" s="130" t="s">
        <v>130</v>
      </c>
      <c r="Z371" s="131" t="s">
        <v>130</v>
      </c>
      <c r="AA371" s="109">
        <v>1242</v>
      </c>
      <c r="AB371" s="108">
        <v>10.4</v>
      </c>
      <c r="AC371" s="100" t="s">
        <v>130</v>
      </c>
    </row>
    <row r="372" spans="1:29" ht="15" customHeight="1" x14ac:dyDescent="0.35">
      <c r="A372" s="95" t="s">
        <v>694</v>
      </c>
      <c r="B372" s="1" t="s">
        <v>50</v>
      </c>
      <c r="C372" s="1">
        <v>45000</v>
      </c>
      <c r="E372" s="97">
        <v>45196</v>
      </c>
      <c r="F372" s="10"/>
      <c r="H372" s="98">
        <v>4.2990000000000004</v>
      </c>
      <c r="I372" s="99">
        <v>0.12997332098075642</v>
      </c>
      <c r="J372" s="100" t="s">
        <v>130</v>
      </c>
      <c r="K372" s="101">
        <v>4.1290000000000004</v>
      </c>
      <c r="L372" s="98">
        <v>0.17</v>
      </c>
      <c r="M372" s="99">
        <v>1.2978895462142594E-2</v>
      </c>
      <c r="N372" s="100" t="s">
        <v>130</v>
      </c>
      <c r="O372" s="98">
        <v>9.9939999999999998</v>
      </c>
      <c r="P372" s="99">
        <v>0.17943008158362678</v>
      </c>
      <c r="Q372" s="100" t="s">
        <v>130</v>
      </c>
      <c r="R372" s="133" t="s">
        <v>130</v>
      </c>
      <c r="S372" s="134" t="s">
        <v>130</v>
      </c>
      <c r="T372" s="131" t="s">
        <v>130</v>
      </c>
      <c r="U372" s="129" t="s">
        <v>130</v>
      </c>
      <c r="V372" s="130" t="s">
        <v>130</v>
      </c>
      <c r="W372" s="131" t="s">
        <v>130</v>
      </c>
      <c r="X372" s="98">
        <v>0.02</v>
      </c>
      <c r="Y372" s="99">
        <v>4.5628866304919032E-2</v>
      </c>
      <c r="Z372" s="100" t="s">
        <v>421</v>
      </c>
      <c r="AA372" s="136" t="s">
        <v>130</v>
      </c>
      <c r="AB372" s="136" t="s">
        <v>130</v>
      </c>
      <c r="AC372" s="131" t="s">
        <v>130</v>
      </c>
    </row>
    <row r="373" spans="1:29" ht="15" customHeight="1" x14ac:dyDescent="0.35">
      <c r="A373" s="95" t="s">
        <v>695</v>
      </c>
      <c r="B373" s="1" t="s">
        <v>43</v>
      </c>
      <c r="C373" s="1">
        <v>45000</v>
      </c>
      <c r="E373" s="97">
        <v>45196</v>
      </c>
      <c r="F373" s="10"/>
      <c r="H373" s="129" t="s">
        <v>130</v>
      </c>
      <c r="I373" s="130" t="s">
        <v>130</v>
      </c>
      <c r="J373" s="131" t="s">
        <v>130</v>
      </c>
      <c r="K373" s="132" t="s">
        <v>130</v>
      </c>
      <c r="L373" s="129" t="s">
        <v>130</v>
      </c>
      <c r="M373" s="130" t="s">
        <v>130</v>
      </c>
      <c r="N373" s="131" t="s">
        <v>130</v>
      </c>
      <c r="O373" s="129" t="s">
        <v>130</v>
      </c>
      <c r="P373" s="130" t="s">
        <v>130</v>
      </c>
      <c r="Q373" s="131" t="s">
        <v>130</v>
      </c>
      <c r="R373" s="106">
        <v>44.991007409302455</v>
      </c>
      <c r="S373" s="107">
        <v>3.4591925552163576</v>
      </c>
      <c r="T373" s="100" t="s">
        <v>130</v>
      </c>
      <c r="U373" s="98">
        <v>0.435</v>
      </c>
      <c r="V373" s="99">
        <v>2.7749990667804949E-2</v>
      </c>
      <c r="W373" s="100" t="s">
        <v>733</v>
      </c>
      <c r="X373" s="129" t="s">
        <v>130</v>
      </c>
      <c r="Y373" s="130" t="s">
        <v>130</v>
      </c>
      <c r="Z373" s="131" t="s">
        <v>130</v>
      </c>
      <c r="AA373" s="109">
        <v>864.2</v>
      </c>
      <c r="AB373" s="108">
        <v>10.4</v>
      </c>
      <c r="AC373" s="100" t="s">
        <v>130</v>
      </c>
    </row>
    <row r="374" spans="1:29" ht="15" customHeight="1" x14ac:dyDescent="0.35">
      <c r="A374" s="95" t="s">
        <v>696</v>
      </c>
      <c r="B374" s="1" t="s">
        <v>43</v>
      </c>
      <c r="C374" s="1">
        <v>45000</v>
      </c>
      <c r="E374" s="97">
        <v>45196</v>
      </c>
      <c r="F374" s="10"/>
      <c r="H374" s="98">
        <v>7.6890000000000001</v>
      </c>
      <c r="I374" s="99">
        <v>0.12997332098075642</v>
      </c>
      <c r="J374" s="100" t="s">
        <v>130</v>
      </c>
      <c r="K374" s="101">
        <v>7.3449999999999998</v>
      </c>
      <c r="L374" s="98">
        <v>0.34399999999999997</v>
      </c>
      <c r="M374" s="99">
        <v>1.2978895462142594E-2</v>
      </c>
      <c r="N374" s="100" t="s">
        <v>130</v>
      </c>
      <c r="O374" s="98">
        <v>6.6239999999999997</v>
      </c>
      <c r="P374" s="99">
        <v>0.17943008158362678</v>
      </c>
      <c r="Q374" s="100" t="s">
        <v>130</v>
      </c>
      <c r="R374" s="133" t="s">
        <v>130</v>
      </c>
      <c r="S374" s="134" t="s">
        <v>130</v>
      </c>
      <c r="T374" s="131" t="s">
        <v>130</v>
      </c>
      <c r="U374" s="129" t="s">
        <v>130</v>
      </c>
      <c r="V374" s="130" t="s">
        <v>130</v>
      </c>
      <c r="W374" s="131" t="s">
        <v>130</v>
      </c>
      <c r="X374" s="98">
        <v>2.4E-2</v>
      </c>
      <c r="Y374" s="99">
        <v>4.5628866304919032E-2</v>
      </c>
      <c r="Z374" s="100" t="s">
        <v>421</v>
      </c>
      <c r="AA374" s="136" t="s">
        <v>130</v>
      </c>
      <c r="AB374" s="136" t="s">
        <v>130</v>
      </c>
      <c r="AC374" s="131" t="s">
        <v>130</v>
      </c>
    </row>
    <row r="375" spans="1:29" ht="15" customHeight="1" x14ac:dyDescent="0.35">
      <c r="A375" s="95" t="s">
        <v>697</v>
      </c>
      <c r="B375" s="1" t="s">
        <v>41</v>
      </c>
      <c r="C375" s="1">
        <v>45000</v>
      </c>
      <c r="E375" s="97">
        <v>45196</v>
      </c>
      <c r="F375" s="10"/>
      <c r="H375" s="129" t="s">
        <v>130</v>
      </c>
      <c r="I375" s="130" t="s">
        <v>130</v>
      </c>
      <c r="J375" s="131" t="s">
        <v>130</v>
      </c>
      <c r="K375" s="132" t="s">
        <v>130</v>
      </c>
      <c r="L375" s="129" t="s">
        <v>130</v>
      </c>
      <c r="M375" s="130" t="s">
        <v>130</v>
      </c>
      <c r="N375" s="131" t="s">
        <v>130</v>
      </c>
      <c r="O375" s="129" t="s">
        <v>130</v>
      </c>
      <c r="P375" s="130" t="s">
        <v>130</v>
      </c>
      <c r="Q375" s="131" t="s">
        <v>130</v>
      </c>
      <c r="R375" s="106">
        <v>49.416336208849515</v>
      </c>
      <c r="S375" s="107">
        <v>3.4591925552163576</v>
      </c>
      <c r="T375" s="100" t="s">
        <v>130</v>
      </c>
      <c r="U375" s="98">
        <v>0.27500000000000002</v>
      </c>
      <c r="V375" s="99">
        <v>2.7749990667804949E-2</v>
      </c>
      <c r="W375" s="100" t="s">
        <v>733</v>
      </c>
      <c r="X375" s="129" t="s">
        <v>130</v>
      </c>
      <c r="Y375" s="130" t="s">
        <v>130</v>
      </c>
      <c r="Z375" s="131" t="s">
        <v>130</v>
      </c>
      <c r="AA375" s="109">
        <v>1081</v>
      </c>
      <c r="AB375" s="108">
        <v>10.4</v>
      </c>
      <c r="AC375" s="100" t="s">
        <v>130</v>
      </c>
    </row>
    <row r="376" spans="1:29" ht="15" customHeight="1" x14ac:dyDescent="0.35">
      <c r="A376" s="95" t="s">
        <v>698</v>
      </c>
      <c r="B376" s="1" t="s">
        <v>41</v>
      </c>
      <c r="C376" s="1">
        <v>45000</v>
      </c>
      <c r="E376" s="97">
        <v>45196</v>
      </c>
      <c r="F376" s="10"/>
      <c r="H376" s="98">
        <v>3.379</v>
      </c>
      <c r="I376" s="99">
        <v>0.12997332098075642</v>
      </c>
      <c r="J376" s="100" t="s">
        <v>130</v>
      </c>
      <c r="K376" s="132" t="s">
        <v>130</v>
      </c>
      <c r="L376" s="98">
        <v>0.123</v>
      </c>
      <c r="M376" s="99">
        <v>1.2978895462142594E-2</v>
      </c>
      <c r="N376" s="100" t="s">
        <v>409</v>
      </c>
      <c r="O376" s="98">
        <v>5.0780000000000003</v>
      </c>
      <c r="P376" s="99">
        <v>0.17943008158362678</v>
      </c>
      <c r="Q376" s="100" t="s">
        <v>130</v>
      </c>
      <c r="R376" s="133" t="s">
        <v>130</v>
      </c>
      <c r="S376" s="134" t="s">
        <v>130</v>
      </c>
      <c r="T376" s="131" t="s">
        <v>130</v>
      </c>
      <c r="U376" s="129" t="s">
        <v>130</v>
      </c>
      <c r="V376" s="130" t="s">
        <v>130</v>
      </c>
      <c r="W376" s="131" t="s">
        <v>130</v>
      </c>
      <c r="X376" s="98">
        <v>2.1000000000000001E-2</v>
      </c>
      <c r="Y376" s="99">
        <v>4.5628866304919032E-2</v>
      </c>
      <c r="Z376" s="100" t="s">
        <v>421</v>
      </c>
      <c r="AA376" s="135" t="s">
        <v>130</v>
      </c>
      <c r="AB376" s="136" t="s">
        <v>130</v>
      </c>
      <c r="AC376" s="131" t="s">
        <v>130</v>
      </c>
    </row>
    <row r="377" spans="1:29" ht="15" customHeight="1" x14ac:dyDescent="0.35">
      <c r="A377" s="95" t="s">
        <v>699</v>
      </c>
      <c r="B377" s="1" t="s">
        <v>42</v>
      </c>
      <c r="C377" s="1">
        <v>45000</v>
      </c>
      <c r="E377" s="97">
        <v>45196</v>
      </c>
      <c r="F377" s="10"/>
      <c r="H377" s="129" t="s">
        <v>130</v>
      </c>
      <c r="I377" s="130" t="s">
        <v>130</v>
      </c>
      <c r="J377" s="131" t="s">
        <v>130</v>
      </c>
      <c r="K377" s="132" t="s">
        <v>130</v>
      </c>
      <c r="L377" s="129" t="s">
        <v>130</v>
      </c>
      <c r="M377" s="130" t="s">
        <v>130</v>
      </c>
      <c r="N377" s="131" t="s">
        <v>130</v>
      </c>
      <c r="O377" s="129" t="s">
        <v>130</v>
      </c>
      <c r="P377" s="130" t="s">
        <v>130</v>
      </c>
      <c r="Q377" s="131" t="s">
        <v>130</v>
      </c>
      <c r="R377" s="106">
        <v>57.426150193673593</v>
      </c>
      <c r="S377" s="107">
        <v>3.4591925552163576</v>
      </c>
      <c r="T377" s="100" t="s">
        <v>130</v>
      </c>
      <c r="U377" s="98">
        <v>0.82399999999999995</v>
      </c>
      <c r="V377" s="99">
        <v>2.7749990667804949E-2</v>
      </c>
      <c r="W377" s="100" t="s">
        <v>733</v>
      </c>
      <c r="X377" s="129" t="s">
        <v>130</v>
      </c>
      <c r="Y377" s="130" t="s">
        <v>130</v>
      </c>
      <c r="Z377" s="131" t="s">
        <v>130</v>
      </c>
      <c r="AA377" s="109">
        <v>1173</v>
      </c>
      <c r="AB377" s="108">
        <v>10.4</v>
      </c>
      <c r="AC377" s="100" t="s">
        <v>130</v>
      </c>
    </row>
    <row r="378" spans="1:29" ht="15" customHeight="1" x14ac:dyDescent="0.35">
      <c r="A378" s="95" t="s">
        <v>700</v>
      </c>
      <c r="B378" s="1" t="s">
        <v>42</v>
      </c>
      <c r="C378" s="1">
        <v>45000</v>
      </c>
      <c r="E378" s="97">
        <v>45196</v>
      </c>
      <c r="F378" s="10"/>
      <c r="H378" s="98">
        <v>0.66200000000000003</v>
      </c>
      <c r="I378" s="99">
        <v>0.12997332098075642</v>
      </c>
      <c r="J378" s="100" t="s">
        <v>409</v>
      </c>
      <c r="K378" s="132" t="s">
        <v>130</v>
      </c>
      <c r="L378" s="98">
        <v>0.1</v>
      </c>
      <c r="M378" s="99">
        <v>1.2978895462142594E-2</v>
      </c>
      <c r="N378" s="100" t="s">
        <v>409</v>
      </c>
      <c r="O378" s="98">
        <v>4.758</v>
      </c>
      <c r="P378" s="99">
        <v>0.17943008158362678</v>
      </c>
      <c r="Q378" s="100" t="s">
        <v>130</v>
      </c>
      <c r="R378" s="133" t="s">
        <v>130</v>
      </c>
      <c r="S378" s="134" t="s">
        <v>130</v>
      </c>
      <c r="T378" s="131" t="s">
        <v>130</v>
      </c>
      <c r="U378" s="129" t="s">
        <v>130</v>
      </c>
      <c r="V378" s="130" t="s">
        <v>130</v>
      </c>
      <c r="W378" s="131" t="s">
        <v>130</v>
      </c>
      <c r="X378" s="98">
        <v>8.0000000000000002E-3</v>
      </c>
      <c r="Y378" s="99">
        <v>4.5628866304919032E-2</v>
      </c>
      <c r="Z378" s="100" t="s">
        <v>421</v>
      </c>
      <c r="AA378" s="135" t="s">
        <v>130</v>
      </c>
      <c r="AB378" s="136" t="s">
        <v>130</v>
      </c>
      <c r="AC378" s="131" t="s">
        <v>130</v>
      </c>
    </row>
    <row r="379" spans="1:29" ht="15" customHeight="1" x14ac:dyDescent="0.35">
      <c r="A379" s="95" t="s">
        <v>701</v>
      </c>
      <c r="B379" s="1" t="s">
        <v>46</v>
      </c>
      <c r="C379" s="1">
        <v>45000</v>
      </c>
      <c r="E379" s="97">
        <v>45199</v>
      </c>
      <c r="F379" s="10"/>
      <c r="H379" s="129" t="s">
        <v>130</v>
      </c>
      <c r="I379" s="130" t="s">
        <v>130</v>
      </c>
      <c r="J379" s="131" t="s">
        <v>130</v>
      </c>
      <c r="K379" s="132" t="s">
        <v>130</v>
      </c>
      <c r="L379" s="129" t="s">
        <v>130</v>
      </c>
      <c r="M379" s="130" t="s">
        <v>130</v>
      </c>
      <c r="N379" s="131" t="s">
        <v>130</v>
      </c>
      <c r="O379" s="129" t="s">
        <v>130</v>
      </c>
      <c r="P379" s="130" t="s">
        <v>130</v>
      </c>
      <c r="Q379" s="131" t="s">
        <v>130</v>
      </c>
      <c r="R379" s="106">
        <v>48.609749186271969</v>
      </c>
      <c r="S379" s="107">
        <v>3.4591925552163576</v>
      </c>
      <c r="T379" s="100" t="s">
        <v>130</v>
      </c>
      <c r="U379" s="98">
        <v>0.25700000000000001</v>
      </c>
      <c r="V379" s="99">
        <v>3.0848075583916043E-2</v>
      </c>
      <c r="W379" s="100" t="s">
        <v>733</v>
      </c>
      <c r="X379" s="129" t="s">
        <v>130</v>
      </c>
      <c r="Y379" s="130" t="s">
        <v>130</v>
      </c>
      <c r="Z379" s="131" t="s">
        <v>130</v>
      </c>
      <c r="AA379" s="109">
        <v>1111</v>
      </c>
      <c r="AB379" s="108">
        <v>10.4</v>
      </c>
      <c r="AC379" s="100" t="s">
        <v>130</v>
      </c>
    </row>
    <row r="380" spans="1:29" ht="15" customHeight="1" x14ac:dyDescent="0.35">
      <c r="A380" s="95" t="s">
        <v>702</v>
      </c>
      <c r="B380" s="1" t="s">
        <v>46</v>
      </c>
      <c r="C380" s="1">
        <v>45000</v>
      </c>
      <c r="E380" s="97">
        <v>45199</v>
      </c>
      <c r="F380" s="10"/>
      <c r="H380" s="98">
        <v>0.107</v>
      </c>
      <c r="I380" s="99">
        <v>0.12385965320310173</v>
      </c>
      <c r="J380" s="100" t="s">
        <v>421</v>
      </c>
      <c r="K380" s="132" t="s">
        <v>130</v>
      </c>
      <c r="L380" s="98">
        <v>6.6000000000000003E-2</v>
      </c>
      <c r="M380" s="99">
        <v>1.53740448573825E-2</v>
      </c>
      <c r="N380" s="100" t="s">
        <v>409</v>
      </c>
      <c r="O380" s="98">
        <v>1.206</v>
      </c>
      <c r="P380" s="99">
        <v>0.19617021365867265</v>
      </c>
      <c r="Q380" s="100" t="s">
        <v>130</v>
      </c>
      <c r="R380" s="133" t="s">
        <v>130</v>
      </c>
      <c r="S380" s="134" t="s">
        <v>130</v>
      </c>
      <c r="T380" s="131" t="s">
        <v>130</v>
      </c>
      <c r="U380" s="129" t="s">
        <v>130</v>
      </c>
      <c r="V380" s="130" t="s">
        <v>130</v>
      </c>
      <c r="W380" s="131" t="s">
        <v>130</v>
      </c>
      <c r="X380" s="98" t="s">
        <v>130</v>
      </c>
      <c r="Y380" s="99">
        <v>6.1864149872924573E-2</v>
      </c>
      <c r="Z380" s="100" t="s">
        <v>468</v>
      </c>
      <c r="AA380" s="135" t="s">
        <v>130</v>
      </c>
      <c r="AB380" s="136" t="s">
        <v>130</v>
      </c>
      <c r="AC380" s="131" t="s">
        <v>130</v>
      </c>
    </row>
    <row r="381" spans="1:29" ht="15" customHeight="1" x14ac:dyDescent="0.35">
      <c r="A381" s="95" t="s">
        <v>703</v>
      </c>
      <c r="B381" s="1" t="s">
        <v>45</v>
      </c>
      <c r="C381" s="1">
        <v>45000</v>
      </c>
      <c r="E381" s="97">
        <v>45199</v>
      </c>
      <c r="F381" s="10"/>
      <c r="H381" s="129" t="s">
        <v>130</v>
      </c>
      <c r="I381" s="130" t="s">
        <v>130</v>
      </c>
      <c r="J381" s="131" t="s">
        <v>130</v>
      </c>
      <c r="K381" s="132" t="s">
        <v>130</v>
      </c>
      <c r="L381" s="129" t="s">
        <v>130</v>
      </c>
      <c r="M381" s="130" t="s">
        <v>130</v>
      </c>
      <c r="N381" s="131" t="s">
        <v>130</v>
      </c>
      <c r="O381" s="129" t="s">
        <v>130</v>
      </c>
      <c r="P381" s="130" t="s">
        <v>130</v>
      </c>
      <c r="Q381" s="131" t="s">
        <v>130</v>
      </c>
      <c r="R381" s="106">
        <v>55.953116750896854</v>
      </c>
      <c r="S381" s="107">
        <v>3.4591925552163576</v>
      </c>
      <c r="T381" s="100" t="s">
        <v>130</v>
      </c>
      <c r="U381" s="98">
        <v>0.20599999999999999</v>
      </c>
      <c r="V381" s="99">
        <v>3.0848075583916043E-2</v>
      </c>
      <c r="W381" s="100" t="s">
        <v>733</v>
      </c>
      <c r="X381" s="129" t="s">
        <v>130</v>
      </c>
      <c r="Y381" s="130" t="s">
        <v>130</v>
      </c>
      <c r="Z381" s="131" t="s">
        <v>130</v>
      </c>
      <c r="AA381" s="109">
        <v>1122</v>
      </c>
      <c r="AB381" s="108">
        <v>10.4</v>
      </c>
      <c r="AC381" s="100" t="s">
        <v>130</v>
      </c>
    </row>
    <row r="382" spans="1:29" ht="15" customHeight="1" x14ac:dyDescent="0.35">
      <c r="A382" s="95" t="s">
        <v>704</v>
      </c>
      <c r="B382" s="1" t="s">
        <v>45</v>
      </c>
      <c r="C382" s="1">
        <v>45000</v>
      </c>
      <c r="E382" s="97">
        <v>45199</v>
      </c>
      <c r="F382" s="10"/>
      <c r="H382" s="98">
        <v>2.6440000000000001</v>
      </c>
      <c r="I382" s="99">
        <v>0.12385965320310173</v>
      </c>
      <c r="J382" s="100" t="s">
        <v>130</v>
      </c>
      <c r="K382" s="132" t="s">
        <v>130</v>
      </c>
      <c r="L382" s="98">
        <v>0.121</v>
      </c>
      <c r="M382" s="99">
        <v>1.53740448573825E-2</v>
      </c>
      <c r="N382" s="100" t="s">
        <v>409</v>
      </c>
      <c r="O382" s="98">
        <v>2.819</v>
      </c>
      <c r="P382" s="99">
        <v>0.19617021365867265</v>
      </c>
      <c r="Q382" s="100" t="s">
        <v>130</v>
      </c>
      <c r="R382" s="133" t="s">
        <v>130</v>
      </c>
      <c r="S382" s="134" t="s">
        <v>130</v>
      </c>
      <c r="T382" s="131" t="s">
        <v>130</v>
      </c>
      <c r="U382" s="129" t="s">
        <v>130</v>
      </c>
      <c r="V382" s="130" t="s">
        <v>130</v>
      </c>
      <c r="W382" s="131" t="s">
        <v>130</v>
      </c>
      <c r="X382" s="98">
        <v>3.2000000000000001E-2</v>
      </c>
      <c r="Y382" s="99">
        <v>6.1864149872924573E-2</v>
      </c>
      <c r="Z382" s="100" t="s">
        <v>421</v>
      </c>
      <c r="AA382" s="136" t="s">
        <v>130</v>
      </c>
      <c r="AB382" s="136" t="s">
        <v>130</v>
      </c>
      <c r="AC382" s="131" t="s">
        <v>130</v>
      </c>
    </row>
    <row r="383" spans="1:29" ht="15" customHeight="1" x14ac:dyDescent="0.35">
      <c r="A383" s="95" t="s">
        <v>705</v>
      </c>
      <c r="B383" s="1" t="s">
        <v>44</v>
      </c>
      <c r="C383" s="1">
        <v>45000</v>
      </c>
      <c r="E383" s="97">
        <v>45199</v>
      </c>
      <c r="F383" s="10"/>
      <c r="H383" s="129" t="s">
        <v>130</v>
      </c>
      <c r="I383" s="130" t="s">
        <v>130</v>
      </c>
      <c r="J383" s="131" t="s">
        <v>130</v>
      </c>
      <c r="K383" s="132" t="s">
        <v>130</v>
      </c>
      <c r="L383" s="129" t="s">
        <v>130</v>
      </c>
      <c r="M383" s="130" t="s">
        <v>130</v>
      </c>
      <c r="N383" s="131" t="s">
        <v>130</v>
      </c>
      <c r="O383" s="129" t="s">
        <v>130</v>
      </c>
      <c r="P383" s="130" t="s">
        <v>130</v>
      </c>
      <c r="Q383" s="131" t="s">
        <v>130</v>
      </c>
      <c r="R383" s="106">
        <v>35.772870008416263</v>
      </c>
      <c r="S383" s="107">
        <v>3.4591925552163576</v>
      </c>
      <c r="T383" s="100" t="s">
        <v>130</v>
      </c>
      <c r="U383" s="98">
        <v>0.39700000000000002</v>
      </c>
      <c r="V383" s="99">
        <v>3.0848075583916043E-2</v>
      </c>
      <c r="W383" s="100" t="s">
        <v>733</v>
      </c>
      <c r="X383" s="129" t="s">
        <v>130</v>
      </c>
      <c r="Y383" s="130" t="s">
        <v>130</v>
      </c>
      <c r="Z383" s="131" t="s">
        <v>130</v>
      </c>
      <c r="AA383" s="106">
        <v>949.2</v>
      </c>
      <c r="AB383" s="108">
        <v>10.4</v>
      </c>
      <c r="AC383" s="100" t="s">
        <v>130</v>
      </c>
    </row>
    <row r="384" spans="1:29" ht="15" customHeight="1" x14ac:dyDescent="0.35">
      <c r="A384" s="95" t="s">
        <v>706</v>
      </c>
      <c r="B384" s="1" t="s">
        <v>44</v>
      </c>
      <c r="C384" s="1">
        <v>45000</v>
      </c>
      <c r="E384" s="97">
        <v>45199</v>
      </c>
      <c r="F384" s="10"/>
      <c r="H384" s="98">
        <v>3.5089999999999999</v>
      </c>
      <c r="I384" s="99">
        <v>0.12385965320310173</v>
      </c>
      <c r="J384" s="100" t="s">
        <v>130</v>
      </c>
      <c r="K384" s="101">
        <v>3.3359999999999999</v>
      </c>
      <c r="L384" s="98">
        <v>0.17299999999999999</v>
      </c>
      <c r="M384" s="99">
        <v>1.53740448573825E-2</v>
      </c>
      <c r="N384" s="100" t="s">
        <v>130</v>
      </c>
      <c r="O384" s="98">
        <v>2.1970000000000001</v>
      </c>
      <c r="P384" s="99">
        <v>0.19617021365867265</v>
      </c>
      <c r="Q384" s="100" t="s">
        <v>130</v>
      </c>
      <c r="R384" s="133" t="s">
        <v>130</v>
      </c>
      <c r="S384" s="134" t="s">
        <v>130</v>
      </c>
      <c r="T384" s="131" t="s">
        <v>130</v>
      </c>
      <c r="U384" s="129" t="s">
        <v>130</v>
      </c>
      <c r="V384" s="130" t="s">
        <v>130</v>
      </c>
      <c r="W384" s="131" t="s">
        <v>130</v>
      </c>
      <c r="X384" s="98" t="s">
        <v>130</v>
      </c>
      <c r="Y384" s="99">
        <v>6.1864149872924573E-2</v>
      </c>
      <c r="Z384" s="100" t="s">
        <v>468</v>
      </c>
      <c r="AA384" s="133" t="s">
        <v>130</v>
      </c>
      <c r="AB384" s="136" t="s">
        <v>130</v>
      </c>
      <c r="AC384" s="131" t="s">
        <v>130</v>
      </c>
    </row>
    <row r="385" spans="1:29" ht="15" customHeight="1" x14ac:dyDescent="0.35">
      <c r="A385" s="95" t="s">
        <v>707</v>
      </c>
      <c r="B385" s="1" t="s">
        <v>13</v>
      </c>
      <c r="C385" s="1">
        <v>45000</v>
      </c>
      <c r="E385" s="97">
        <v>45184</v>
      </c>
      <c r="F385" s="10"/>
      <c r="H385" s="129" t="s">
        <v>130</v>
      </c>
      <c r="I385" s="130" t="s">
        <v>130</v>
      </c>
      <c r="J385" s="131" t="s">
        <v>130</v>
      </c>
      <c r="K385" s="132" t="s">
        <v>130</v>
      </c>
      <c r="L385" s="129" t="s">
        <v>130</v>
      </c>
      <c r="M385" s="130" t="s">
        <v>130</v>
      </c>
      <c r="N385" s="131" t="s">
        <v>130</v>
      </c>
      <c r="O385" s="129" t="s">
        <v>130</v>
      </c>
      <c r="P385" s="130" t="s">
        <v>130</v>
      </c>
      <c r="Q385" s="131" t="s">
        <v>130</v>
      </c>
      <c r="R385" s="106">
        <v>35.339991258847625</v>
      </c>
      <c r="S385" s="107">
        <v>3.4591925552163576</v>
      </c>
      <c r="T385" s="100" t="s">
        <v>130</v>
      </c>
      <c r="U385" s="98">
        <v>0.2</v>
      </c>
      <c r="V385" s="99">
        <v>3.0848075583916043E-2</v>
      </c>
      <c r="W385" s="100" t="s">
        <v>733</v>
      </c>
      <c r="X385" s="129" t="s">
        <v>130</v>
      </c>
      <c r="Y385" s="130" t="s">
        <v>130</v>
      </c>
      <c r="Z385" s="131" t="s">
        <v>130</v>
      </c>
      <c r="AA385" s="106">
        <v>920</v>
      </c>
      <c r="AB385" s="108">
        <v>10.4</v>
      </c>
      <c r="AC385" s="100" t="s">
        <v>130</v>
      </c>
    </row>
    <row r="386" spans="1:29" ht="15" customHeight="1" x14ac:dyDescent="0.35">
      <c r="A386" s="95" t="s">
        <v>708</v>
      </c>
      <c r="B386" s="1" t="s">
        <v>13</v>
      </c>
      <c r="C386" s="1">
        <v>45000</v>
      </c>
      <c r="E386" s="97">
        <v>45184</v>
      </c>
      <c r="F386" s="10"/>
      <c r="H386" s="98">
        <v>0.42899999999999999</v>
      </c>
      <c r="I386" s="99">
        <v>0.12385965320310173</v>
      </c>
      <c r="J386" s="100" t="s">
        <v>409</v>
      </c>
      <c r="K386" s="132" t="s">
        <v>130</v>
      </c>
      <c r="L386" s="98">
        <v>0.124</v>
      </c>
      <c r="M386" s="99">
        <v>1.53740448573825E-2</v>
      </c>
      <c r="N386" s="100" t="s">
        <v>409</v>
      </c>
      <c r="O386" s="98">
        <v>2.0659999999999998</v>
      </c>
      <c r="P386" s="99">
        <v>0.19617021365867265</v>
      </c>
      <c r="Q386" s="100" t="s">
        <v>130</v>
      </c>
      <c r="R386" s="133" t="s">
        <v>130</v>
      </c>
      <c r="S386" s="134" t="s">
        <v>130</v>
      </c>
      <c r="T386" s="131" t="s">
        <v>130</v>
      </c>
      <c r="U386" s="129" t="s">
        <v>130</v>
      </c>
      <c r="V386" s="130" t="s">
        <v>130</v>
      </c>
      <c r="W386" s="131" t="s">
        <v>130</v>
      </c>
      <c r="X386" s="98">
        <v>2.3E-2</v>
      </c>
      <c r="Y386" s="99">
        <v>6.1864149872924573E-2</v>
      </c>
      <c r="Z386" s="100" t="s">
        <v>421</v>
      </c>
      <c r="AA386" s="133" t="s">
        <v>130</v>
      </c>
      <c r="AB386" s="136" t="s">
        <v>130</v>
      </c>
      <c r="AC386" s="131" t="s">
        <v>130</v>
      </c>
    </row>
    <row r="387" spans="1:29" ht="15" customHeight="1" x14ac:dyDescent="0.35">
      <c r="A387" s="95" t="s">
        <v>709</v>
      </c>
      <c r="B387" s="1" t="s">
        <v>18</v>
      </c>
      <c r="C387" s="1">
        <v>45000</v>
      </c>
      <c r="E387" s="97">
        <v>45184</v>
      </c>
      <c r="F387" s="10"/>
      <c r="H387" s="129" t="s">
        <v>130</v>
      </c>
      <c r="I387" s="130" t="s">
        <v>130</v>
      </c>
      <c r="J387" s="131" t="s">
        <v>130</v>
      </c>
      <c r="K387" s="132" t="s">
        <v>130</v>
      </c>
      <c r="L387" s="129" t="s">
        <v>130</v>
      </c>
      <c r="M387" s="130" t="s">
        <v>130</v>
      </c>
      <c r="N387" s="131" t="s">
        <v>130</v>
      </c>
      <c r="O387" s="129" t="s">
        <v>130</v>
      </c>
      <c r="P387" s="130" t="s">
        <v>130</v>
      </c>
      <c r="Q387" s="131" t="s">
        <v>130</v>
      </c>
      <c r="R387" s="106">
        <v>61.876392878087913</v>
      </c>
      <c r="S387" s="107">
        <v>3.4591925552163576</v>
      </c>
      <c r="T387" s="100" t="s">
        <v>130</v>
      </c>
      <c r="U387" s="98">
        <v>0.23699999999999999</v>
      </c>
      <c r="V387" s="99">
        <v>3.0848075583916043E-2</v>
      </c>
      <c r="W387" s="100" t="s">
        <v>733</v>
      </c>
      <c r="X387" s="129" t="s">
        <v>130</v>
      </c>
      <c r="Y387" s="130" t="s">
        <v>130</v>
      </c>
      <c r="Z387" s="131" t="s">
        <v>130</v>
      </c>
      <c r="AA387" s="109">
        <v>1533</v>
      </c>
      <c r="AB387" s="108">
        <v>10.4</v>
      </c>
      <c r="AC387" s="100" t="s">
        <v>130</v>
      </c>
    </row>
    <row r="388" spans="1:29" ht="15" customHeight="1" x14ac:dyDescent="0.35">
      <c r="A388" s="95" t="s">
        <v>710</v>
      </c>
      <c r="B388" s="1" t="s">
        <v>18</v>
      </c>
      <c r="C388" s="1">
        <v>45000</v>
      </c>
      <c r="E388" s="97">
        <v>45184</v>
      </c>
      <c r="F388" s="10"/>
      <c r="H388" s="98">
        <v>1.4E-2</v>
      </c>
      <c r="I388" s="99">
        <v>0.12385965320310173</v>
      </c>
      <c r="J388" s="100" t="s">
        <v>421</v>
      </c>
      <c r="K388" s="132" t="s">
        <v>130</v>
      </c>
      <c r="L388" s="98">
        <v>1.6999999999999998E-2</v>
      </c>
      <c r="M388" s="99">
        <v>1.53740448573825E-2</v>
      </c>
      <c r="N388" s="100" t="s">
        <v>409</v>
      </c>
      <c r="O388" s="98">
        <v>1.506</v>
      </c>
      <c r="P388" s="99">
        <v>0.19617021365867265</v>
      </c>
      <c r="Q388" s="100" t="s">
        <v>130</v>
      </c>
      <c r="R388" s="133" t="s">
        <v>130</v>
      </c>
      <c r="S388" s="134" t="s">
        <v>130</v>
      </c>
      <c r="T388" s="131" t="s">
        <v>130</v>
      </c>
      <c r="U388" s="129" t="s">
        <v>130</v>
      </c>
      <c r="V388" s="130" t="s">
        <v>130</v>
      </c>
      <c r="W388" s="131" t="s">
        <v>130</v>
      </c>
      <c r="X388" s="98">
        <v>3.6999999999999998E-2</v>
      </c>
      <c r="Y388" s="99">
        <v>6.1864149872924573E-2</v>
      </c>
      <c r="Z388" s="100" t="s">
        <v>421</v>
      </c>
      <c r="AA388" s="135" t="s">
        <v>130</v>
      </c>
      <c r="AB388" s="136" t="s">
        <v>130</v>
      </c>
      <c r="AC388" s="131" t="s">
        <v>130</v>
      </c>
    </row>
    <row r="389" spans="1:29" ht="15" customHeight="1" x14ac:dyDescent="0.35">
      <c r="A389" s="95" t="s">
        <v>711</v>
      </c>
      <c r="B389" s="1" t="s">
        <v>19</v>
      </c>
      <c r="C389" s="1">
        <v>45000</v>
      </c>
      <c r="E389" s="97">
        <v>45184</v>
      </c>
      <c r="F389" s="10"/>
      <c r="H389" s="129" t="s">
        <v>130</v>
      </c>
      <c r="I389" s="130" t="s">
        <v>130</v>
      </c>
      <c r="J389" s="131" t="s">
        <v>130</v>
      </c>
      <c r="K389" s="132" t="s">
        <v>130</v>
      </c>
      <c r="L389" s="129" t="s">
        <v>130</v>
      </c>
      <c r="M389" s="130" t="s">
        <v>130</v>
      </c>
      <c r="N389" s="131" t="s">
        <v>130</v>
      </c>
      <c r="O389" s="129" t="s">
        <v>130</v>
      </c>
      <c r="P389" s="130" t="s">
        <v>130</v>
      </c>
      <c r="Q389" s="131" t="s">
        <v>130</v>
      </c>
      <c r="R389" s="106">
        <v>56.133742416184482</v>
      </c>
      <c r="S389" s="107">
        <v>3.4591925552163576</v>
      </c>
      <c r="T389" s="100" t="s">
        <v>130</v>
      </c>
      <c r="U389" s="98">
        <v>0.218</v>
      </c>
      <c r="V389" s="99">
        <v>3.0848075583916043E-2</v>
      </c>
      <c r="W389" s="100" t="s">
        <v>733</v>
      </c>
      <c r="X389" s="129" t="s">
        <v>130</v>
      </c>
      <c r="Y389" s="130" t="s">
        <v>130</v>
      </c>
      <c r="Z389" s="131" t="s">
        <v>130</v>
      </c>
      <c r="AA389" s="109">
        <v>1208</v>
      </c>
      <c r="AB389" s="108">
        <v>10.4</v>
      </c>
      <c r="AC389" s="100" t="s">
        <v>130</v>
      </c>
    </row>
    <row r="390" spans="1:29" ht="15" customHeight="1" x14ac:dyDescent="0.35">
      <c r="A390" s="95" t="s">
        <v>712</v>
      </c>
      <c r="B390" s="1" t="s">
        <v>19</v>
      </c>
      <c r="C390" s="1">
        <v>45000</v>
      </c>
      <c r="E390" s="97">
        <v>45184</v>
      </c>
      <c r="F390" s="10"/>
      <c r="H390" s="98">
        <v>1.7000000000000001E-2</v>
      </c>
      <c r="I390" s="99">
        <v>0.12385965320310173</v>
      </c>
      <c r="J390" s="100" t="s">
        <v>421</v>
      </c>
      <c r="K390" s="132" t="s">
        <v>130</v>
      </c>
      <c r="L390" s="98">
        <v>2.7000000000000003E-2</v>
      </c>
      <c r="M390" s="99">
        <v>1.53740448573825E-2</v>
      </c>
      <c r="N390" s="100" t="s">
        <v>409</v>
      </c>
      <c r="O390" s="98">
        <v>2.2829999999999999</v>
      </c>
      <c r="P390" s="99">
        <v>0.19617021365867265</v>
      </c>
      <c r="Q390" s="100" t="s">
        <v>130</v>
      </c>
      <c r="R390" s="133" t="s">
        <v>130</v>
      </c>
      <c r="S390" s="134" t="s">
        <v>130</v>
      </c>
      <c r="T390" s="131" t="s">
        <v>130</v>
      </c>
      <c r="U390" s="129" t="s">
        <v>130</v>
      </c>
      <c r="V390" s="130" t="s">
        <v>130</v>
      </c>
      <c r="W390" s="131" t="s">
        <v>130</v>
      </c>
      <c r="X390" s="98">
        <v>1.2999999999999999E-2</v>
      </c>
      <c r="Y390" s="99">
        <v>6.1864149872924573E-2</v>
      </c>
      <c r="Z390" s="100" t="s">
        <v>421</v>
      </c>
      <c r="AA390" s="135" t="s">
        <v>130</v>
      </c>
      <c r="AB390" s="136" t="s">
        <v>130</v>
      </c>
      <c r="AC390" s="131" t="s">
        <v>130</v>
      </c>
    </row>
    <row r="391" spans="1:29" ht="15" customHeight="1" x14ac:dyDescent="0.35">
      <c r="A391" s="95" t="s">
        <v>713</v>
      </c>
      <c r="B391" s="1" t="s">
        <v>20</v>
      </c>
      <c r="C391" s="1">
        <v>45000</v>
      </c>
      <c r="E391" s="97">
        <v>45184</v>
      </c>
      <c r="F391" s="10"/>
      <c r="H391" s="129" t="s">
        <v>130</v>
      </c>
      <c r="I391" s="130" t="s">
        <v>130</v>
      </c>
      <c r="J391" s="131" t="s">
        <v>130</v>
      </c>
      <c r="K391" s="132" t="s">
        <v>130</v>
      </c>
      <c r="L391" s="129" t="s">
        <v>130</v>
      </c>
      <c r="M391" s="130" t="s">
        <v>130</v>
      </c>
      <c r="N391" s="131" t="s">
        <v>130</v>
      </c>
      <c r="O391" s="129" t="s">
        <v>130</v>
      </c>
      <c r="P391" s="130" t="s">
        <v>130</v>
      </c>
      <c r="Q391" s="131" t="s">
        <v>130</v>
      </c>
      <c r="R391" s="106">
        <v>40.839731343295263</v>
      </c>
      <c r="S391" s="107">
        <v>3.4591925552163576</v>
      </c>
      <c r="T391" s="100" t="s">
        <v>130</v>
      </c>
      <c r="U391" s="98">
        <v>0.23400000000000001</v>
      </c>
      <c r="V391" s="99">
        <v>3.0848075583916043E-2</v>
      </c>
      <c r="W391" s="100" t="s">
        <v>733</v>
      </c>
      <c r="X391" s="129" t="s">
        <v>130</v>
      </c>
      <c r="Y391" s="130" t="s">
        <v>130</v>
      </c>
      <c r="Z391" s="131" t="s">
        <v>130</v>
      </c>
      <c r="AA391" s="109">
        <v>1111</v>
      </c>
      <c r="AB391" s="108">
        <v>10.4</v>
      </c>
      <c r="AC391" s="100" t="s">
        <v>130</v>
      </c>
    </row>
    <row r="392" spans="1:29" ht="15" customHeight="1" x14ac:dyDescent="0.35">
      <c r="A392" s="95" t="s">
        <v>714</v>
      </c>
      <c r="B392" s="1" t="s">
        <v>20</v>
      </c>
      <c r="C392" s="1">
        <v>45000</v>
      </c>
      <c r="E392" s="97">
        <v>45184</v>
      </c>
      <c r="F392" s="10"/>
      <c r="H392" s="98">
        <v>2.4E-2</v>
      </c>
      <c r="I392" s="99">
        <v>0.12385965320310173</v>
      </c>
      <c r="J392" s="100" t="s">
        <v>421</v>
      </c>
      <c r="K392" s="132" t="s">
        <v>130</v>
      </c>
      <c r="L392" s="98">
        <v>1.2999999999999998E-2</v>
      </c>
      <c r="M392" s="99">
        <v>1.53740448573825E-2</v>
      </c>
      <c r="N392" s="100" t="s">
        <v>421</v>
      </c>
      <c r="O392" s="98">
        <v>0.58699999999999997</v>
      </c>
      <c r="P392" s="99">
        <v>0.19617021365867265</v>
      </c>
      <c r="Q392" s="100" t="s">
        <v>409</v>
      </c>
      <c r="R392" s="133" t="s">
        <v>130</v>
      </c>
      <c r="S392" s="134" t="s">
        <v>130</v>
      </c>
      <c r="T392" s="131" t="s">
        <v>130</v>
      </c>
      <c r="U392" s="129" t="s">
        <v>130</v>
      </c>
      <c r="V392" s="130" t="s">
        <v>130</v>
      </c>
      <c r="W392" s="131" t="s">
        <v>130</v>
      </c>
      <c r="X392" s="98">
        <v>1.2E-2</v>
      </c>
      <c r="Y392" s="99">
        <v>6.1864149872924573E-2</v>
      </c>
      <c r="Z392" s="100" t="s">
        <v>421</v>
      </c>
      <c r="AA392" s="135" t="s">
        <v>130</v>
      </c>
      <c r="AB392" s="136" t="s">
        <v>130</v>
      </c>
      <c r="AC392" s="131" t="s">
        <v>130</v>
      </c>
    </row>
    <row r="393" spans="1:29" ht="15" customHeight="1" x14ac:dyDescent="0.35">
      <c r="A393" s="95" t="s">
        <v>715</v>
      </c>
      <c r="B393" s="1" t="s">
        <v>21</v>
      </c>
      <c r="C393" s="1">
        <v>45000</v>
      </c>
      <c r="E393" s="97">
        <v>45184</v>
      </c>
      <c r="F393" s="10"/>
      <c r="H393" s="129" t="s">
        <v>130</v>
      </c>
      <c r="I393" s="130" t="s">
        <v>130</v>
      </c>
      <c r="J393" s="131" t="s">
        <v>130</v>
      </c>
      <c r="K393" s="132" t="s">
        <v>130</v>
      </c>
      <c r="L393" s="129" t="s">
        <v>130</v>
      </c>
      <c r="M393" s="130" t="s">
        <v>130</v>
      </c>
      <c r="N393" s="131" t="s">
        <v>130</v>
      </c>
      <c r="O393" s="129" t="s">
        <v>130</v>
      </c>
      <c r="P393" s="130" t="s">
        <v>130</v>
      </c>
      <c r="Q393" s="131" t="s">
        <v>130</v>
      </c>
      <c r="R393" s="106">
        <v>48.955429338805203</v>
      </c>
      <c r="S393" s="107">
        <v>3.4591925552163576</v>
      </c>
      <c r="T393" s="100" t="s">
        <v>130</v>
      </c>
      <c r="U393" s="98">
        <v>0.24</v>
      </c>
      <c r="V393" s="99">
        <v>3.0848075583916043E-2</v>
      </c>
      <c r="W393" s="100" t="s">
        <v>733</v>
      </c>
      <c r="X393" s="129" t="s">
        <v>130</v>
      </c>
      <c r="Y393" s="130" t="s">
        <v>130</v>
      </c>
      <c r="Z393" s="131" t="s">
        <v>130</v>
      </c>
      <c r="AA393" s="109">
        <v>1142</v>
      </c>
      <c r="AB393" s="108">
        <v>10.4</v>
      </c>
      <c r="AC393" s="100" t="s">
        <v>130</v>
      </c>
    </row>
    <row r="394" spans="1:29" ht="15" customHeight="1" x14ac:dyDescent="0.35">
      <c r="A394" s="95" t="s">
        <v>716</v>
      </c>
      <c r="B394" s="1" t="s">
        <v>21</v>
      </c>
      <c r="C394" s="1">
        <v>45000</v>
      </c>
      <c r="E394" s="97">
        <v>45184</v>
      </c>
      <c r="F394" s="10"/>
      <c r="H394" s="98">
        <v>1.2999999999999999E-2</v>
      </c>
      <c r="I394" s="99">
        <v>0.12385965320310173</v>
      </c>
      <c r="J394" s="100" t="s">
        <v>421</v>
      </c>
      <c r="K394" s="132" t="s">
        <v>130</v>
      </c>
      <c r="L394" s="98">
        <v>2.3E-2</v>
      </c>
      <c r="M394" s="99">
        <v>1.53740448573825E-2</v>
      </c>
      <c r="N394" s="100" t="s">
        <v>409</v>
      </c>
      <c r="O394" s="98">
        <v>6.0620000000000003</v>
      </c>
      <c r="P394" s="99">
        <v>0.19617021365867265</v>
      </c>
      <c r="Q394" s="100" t="s">
        <v>130</v>
      </c>
      <c r="R394" s="133" t="s">
        <v>130</v>
      </c>
      <c r="S394" s="134" t="s">
        <v>130</v>
      </c>
      <c r="T394" s="131" t="s">
        <v>130</v>
      </c>
      <c r="U394" s="129" t="s">
        <v>130</v>
      </c>
      <c r="V394" s="130" t="s">
        <v>130</v>
      </c>
      <c r="W394" s="131" t="s">
        <v>130</v>
      </c>
      <c r="X394" s="98">
        <v>0.01</v>
      </c>
      <c r="Y394" s="99">
        <v>6.1864149872924573E-2</v>
      </c>
      <c r="Z394" s="100" t="s">
        <v>421</v>
      </c>
      <c r="AA394" s="135" t="s">
        <v>130</v>
      </c>
      <c r="AB394" s="136" t="s">
        <v>130</v>
      </c>
      <c r="AC394" s="131" t="s">
        <v>130</v>
      </c>
    </row>
    <row r="395" spans="1:29" ht="15" customHeight="1" x14ac:dyDescent="0.35">
      <c r="A395" s="95" t="s">
        <v>717</v>
      </c>
      <c r="B395" s="1" t="s">
        <v>57</v>
      </c>
      <c r="C395" s="1">
        <v>45000</v>
      </c>
      <c r="E395" s="97">
        <v>45184</v>
      </c>
      <c r="F395" s="10"/>
      <c r="H395" s="129" t="s">
        <v>130</v>
      </c>
      <c r="I395" s="130" t="s">
        <v>130</v>
      </c>
      <c r="J395" s="131" t="s">
        <v>130</v>
      </c>
      <c r="K395" s="132" t="s">
        <v>130</v>
      </c>
      <c r="L395" s="129" t="s">
        <v>130</v>
      </c>
      <c r="M395" s="130" t="s">
        <v>130</v>
      </c>
      <c r="N395" s="131" t="s">
        <v>130</v>
      </c>
      <c r="O395" s="129" t="s">
        <v>130</v>
      </c>
      <c r="P395" s="130" t="s">
        <v>130</v>
      </c>
      <c r="Q395" s="131" t="s">
        <v>130</v>
      </c>
      <c r="R395" s="106">
        <v>64.701004574913497</v>
      </c>
      <c r="S395" s="107">
        <v>3.4591925552163576</v>
      </c>
      <c r="T395" s="100" t="s">
        <v>130</v>
      </c>
      <c r="U395" s="98">
        <v>0.42299999999999999</v>
      </c>
      <c r="V395" s="99">
        <v>3.0848075583916043E-2</v>
      </c>
      <c r="W395" s="100" t="s">
        <v>733</v>
      </c>
      <c r="X395" s="129" t="s">
        <v>130</v>
      </c>
      <c r="Y395" s="130" t="s">
        <v>130</v>
      </c>
      <c r="Z395" s="131" t="s">
        <v>130</v>
      </c>
      <c r="AA395" s="109">
        <v>1418</v>
      </c>
      <c r="AB395" s="108">
        <v>10.4</v>
      </c>
      <c r="AC395" s="100" t="s">
        <v>130</v>
      </c>
    </row>
    <row r="396" spans="1:29" ht="15" customHeight="1" x14ac:dyDescent="0.35">
      <c r="A396" s="95" t="s">
        <v>718</v>
      </c>
      <c r="B396" s="1" t="s">
        <v>57</v>
      </c>
      <c r="C396" s="1">
        <v>45000</v>
      </c>
      <c r="E396" s="97">
        <v>45184</v>
      </c>
      <c r="H396" s="98">
        <v>1.917</v>
      </c>
      <c r="I396" s="99">
        <v>0.12385965320310173</v>
      </c>
      <c r="J396" s="100" t="s">
        <v>130</v>
      </c>
      <c r="K396" s="132" t="s">
        <v>130</v>
      </c>
      <c r="L396" s="98">
        <v>0.153</v>
      </c>
      <c r="M396" s="99">
        <v>1.53740448573825E-2</v>
      </c>
      <c r="N396" s="100" t="s">
        <v>409</v>
      </c>
      <c r="O396" s="98">
        <v>0.67900000000000005</v>
      </c>
      <c r="P396" s="99">
        <v>0.19617021365867265</v>
      </c>
      <c r="Q396" s="100" t="s">
        <v>409</v>
      </c>
      <c r="R396" s="133" t="s">
        <v>130</v>
      </c>
      <c r="S396" s="134" t="s">
        <v>130</v>
      </c>
      <c r="T396" s="131" t="s">
        <v>130</v>
      </c>
      <c r="U396" s="129" t="s">
        <v>130</v>
      </c>
      <c r="V396" s="130" t="s">
        <v>130</v>
      </c>
      <c r="W396" s="131" t="s">
        <v>130</v>
      </c>
      <c r="X396" s="98" t="s">
        <v>130</v>
      </c>
      <c r="Y396" s="99">
        <v>0</v>
      </c>
      <c r="Z396" s="100" t="s">
        <v>468</v>
      </c>
      <c r="AA396" s="133" t="s">
        <v>130</v>
      </c>
      <c r="AB396" s="136" t="s">
        <v>130</v>
      </c>
      <c r="AC396" s="131" t="s">
        <v>130</v>
      </c>
    </row>
    <row r="397" spans="1:29" ht="15" customHeight="1" x14ac:dyDescent="0.35">
      <c r="A397" s="95" t="s">
        <v>719</v>
      </c>
      <c r="B397" s="1" t="s">
        <v>22</v>
      </c>
      <c r="C397" s="1">
        <v>45000</v>
      </c>
      <c r="E397" s="97">
        <v>45184</v>
      </c>
      <c r="H397" s="129" t="s">
        <v>130</v>
      </c>
      <c r="I397" s="130" t="s">
        <v>130</v>
      </c>
      <c r="J397" s="131" t="s">
        <v>130</v>
      </c>
      <c r="K397" s="132" t="s">
        <v>130</v>
      </c>
      <c r="L397" s="129" t="s">
        <v>130</v>
      </c>
      <c r="M397" s="130" t="s">
        <v>130</v>
      </c>
      <c r="N397" s="131" t="s">
        <v>130</v>
      </c>
      <c r="O397" s="129" t="s">
        <v>130</v>
      </c>
      <c r="P397" s="130" t="s">
        <v>130</v>
      </c>
      <c r="Q397" s="131" t="s">
        <v>130</v>
      </c>
      <c r="R397" s="106">
        <v>33.253453401214607</v>
      </c>
      <c r="S397" s="107">
        <v>3.4591925552163576</v>
      </c>
      <c r="T397" s="100" t="s">
        <v>130</v>
      </c>
      <c r="U397" s="98">
        <v>0.187</v>
      </c>
      <c r="V397" s="99">
        <v>3.0848075583916043E-2</v>
      </c>
      <c r="W397" s="100" t="s">
        <v>733</v>
      </c>
      <c r="X397" s="129" t="s">
        <v>130</v>
      </c>
      <c r="Y397" s="130" t="s">
        <v>130</v>
      </c>
      <c r="Z397" s="131" t="s">
        <v>130</v>
      </c>
      <c r="AA397" s="106">
        <v>965.8</v>
      </c>
      <c r="AB397" s="108">
        <v>10.4</v>
      </c>
      <c r="AC397" s="100" t="s">
        <v>130</v>
      </c>
    </row>
    <row r="398" spans="1:29" ht="15" customHeight="1" x14ac:dyDescent="0.35">
      <c r="A398" s="95" t="s">
        <v>720</v>
      </c>
      <c r="B398" s="1" t="s">
        <v>22</v>
      </c>
      <c r="C398" s="1">
        <v>45000</v>
      </c>
      <c r="E398" s="97">
        <v>45184</v>
      </c>
      <c r="H398" s="98">
        <v>3.2000000000000001E-2</v>
      </c>
      <c r="I398" s="99">
        <v>0.12385965320310173</v>
      </c>
      <c r="J398" s="100" t="s">
        <v>421</v>
      </c>
      <c r="K398" s="132" t="s">
        <v>130</v>
      </c>
      <c r="L398" s="98">
        <v>1.2E-2</v>
      </c>
      <c r="M398" s="99">
        <v>1.53740448573825E-2</v>
      </c>
      <c r="N398" s="100" t="s">
        <v>421</v>
      </c>
      <c r="O398" s="98">
        <v>0.36</v>
      </c>
      <c r="P398" s="99">
        <v>0.19617021365867265</v>
      </c>
      <c r="Q398" s="100" t="s">
        <v>409</v>
      </c>
      <c r="R398" s="133" t="s">
        <v>130</v>
      </c>
      <c r="S398" s="134" t="s">
        <v>130</v>
      </c>
      <c r="T398" s="131" t="s">
        <v>130</v>
      </c>
      <c r="U398" s="129" t="s">
        <v>130</v>
      </c>
      <c r="V398" s="130" t="s">
        <v>130</v>
      </c>
      <c r="W398" s="131" t="s">
        <v>130</v>
      </c>
      <c r="X398" s="98">
        <v>2.5999999999999999E-2</v>
      </c>
      <c r="Y398" s="99">
        <v>6.1864149872924573E-2</v>
      </c>
      <c r="Z398" s="100" t="s">
        <v>421</v>
      </c>
      <c r="AA398" s="133" t="s">
        <v>130</v>
      </c>
      <c r="AB398" s="136" t="s">
        <v>130</v>
      </c>
      <c r="AC398" s="131" t="s">
        <v>130</v>
      </c>
    </row>
    <row r="399" spans="1:29" ht="15" customHeight="1" x14ac:dyDescent="0.35">
      <c r="A399" s="95" t="s">
        <v>721</v>
      </c>
      <c r="B399" s="1" t="s">
        <v>39</v>
      </c>
      <c r="C399" s="1">
        <v>45000</v>
      </c>
      <c r="E399" s="97">
        <v>45196</v>
      </c>
      <c r="H399" s="129" t="s">
        <v>130</v>
      </c>
      <c r="I399" s="130" t="s">
        <v>130</v>
      </c>
      <c r="J399" s="131" t="s">
        <v>130</v>
      </c>
      <c r="K399" s="132" t="s">
        <v>130</v>
      </c>
      <c r="L399" s="129" t="s">
        <v>130</v>
      </c>
      <c r="M399" s="130" t="s">
        <v>130</v>
      </c>
      <c r="N399" s="131" t="s">
        <v>130</v>
      </c>
      <c r="O399" s="129" t="s">
        <v>130</v>
      </c>
      <c r="P399" s="130" t="s">
        <v>130</v>
      </c>
      <c r="Q399" s="131" t="s">
        <v>130</v>
      </c>
      <c r="R399" s="106">
        <v>84.993363799296773</v>
      </c>
      <c r="S399" s="107">
        <v>3.4591925552163576</v>
      </c>
      <c r="T399" s="100" t="s">
        <v>130</v>
      </c>
      <c r="U399" s="98">
        <v>1.1579999999999999</v>
      </c>
      <c r="V399" s="99">
        <v>2.7749990667804949E-2</v>
      </c>
      <c r="W399" s="100" t="s">
        <v>733</v>
      </c>
      <c r="X399" s="129" t="s">
        <v>130</v>
      </c>
      <c r="Y399" s="130" t="s">
        <v>130</v>
      </c>
      <c r="Z399" s="131" t="s">
        <v>130</v>
      </c>
      <c r="AA399" s="109">
        <v>1420</v>
      </c>
      <c r="AB399" s="108">
        <v>10.4</v>
      </c>
      <c r="AC399" s="100" t="s">
        <v>130</v>
      </c>
    </row>
    <row r="400" spans="1:29" ht="15" customHeight="1" x14ac:dyDescent="0.35">
      <c r="A400" s="95" t="s">
        <v>722</v>
      </c>
      <c r="B400" s="1" t="s">
        <v>39</v>
      </c>
      <c r="C400" s="1">
        <v>45000</v>
      </c>
      <c r="E400" s="97">
        <v>45196</v>
      </c>
      <c r="H400" s="98">
        <v>0.155</v>
      </c>
      <c r="I400" s="99">
        <v>0.12997332098075642</v>
      </c>
      <c r="J400" s="100" t="s">
        <v>409</v>
      </c>
      <c r="K400" s="132" t="s">
        <v>130</v>
      </c>
      <c r="L400" s="98">
        <v>6.7000000000000004E-2</v>
      </c>
      <c r="M400" s="99">
        <v>1.2978895462142594E-2</v>
      </c>
      <c r="N400" s="100" t="s">
        <v>409</v>
      </c>
      <c r="O400" s="98">
        <v>5.1070000000000002</v>
      </c>
      <c r="P400" s="99">
        <v>0.17943008158362678</v>
      </c>
      <c r="Q400" s="100" t="s">
        <v>130</v>
      </c>
      <c r="R400" s="133" t="s">
        <v>130</v>
      </c>
      <c r="S400" s="134" t="s">
        <v>130</v>
      </c>
      <c r="T400" s="131" t="s">
        <v>130</v>
      </c>
      <c r="U400" s="129" t="s">
        <v>130</v>
      </c>
      <c r="V400" s="130" t="s">
        <v>130</v>
      </c>
      <c r="W400" s="131" t="s">
        <v>130</v>
      </c>
      <c r="X400" s="98">
        <v>1.4999999999999999E-2</v>
      </c>
      <c r="Y400" s="99">
        <v>4.5628866304919032E-2</v>
      </c>
      <c r="Z400" s="100" t="s">
        <v>421</v>
      </c>
      <c r="AA400" s="135" t="s">
        <v>130</v>
      </c>
      <c r="AB400" s="136" t="s">
        <v>130</v>
      </c>
      <c r="AC400" s="131" t="s">
        <v>130</v>
      </c>
    </row>
    <row r="401" spans="1:29" ht="15" customHeight="1" x14ac:dyDescent="0.35">
      <c r="A401" s="95" t="s">
        <v>723</v>
      </c>
      <c r="B401" s="1" t="s">
        <v>38</v>
      </c>
      <c r="C401" s="1">
        <v>45000</v>
      </c>
      <c r="E401" s="97">
        <v>45196</v>
      </c>
      <c r="H401" s="129" t="s">
        <v>130</v>
      </c>
      <c r="I401" s="130" t="s">
        <v>130</v>
      </c>
      <c r="J401" s="131" t="s">
        <v>130</v>
      </c>
      <c r="K401" s="132" t="s">
        <v>130</v>
      </c>
      <c r="L401" s="129" t="s">
        <v>130</v>
      </c>
      <c r="M401" s="130" t="s">
        <v>130</v>
      </c>
      <c r="N401" s="131" t="s">
        <v>130</v>
      </c>
      <c r="O401" s="129" t="s">
        <v>130</v>
      </c>
      <c r="P401" s="130" t="s">
        <v>130</v>
      </c>
      <c r="Q401" s="131" t="s">
        <v>130</v>
      </c>
      <c r="R401" s="106">
        <v>72.794902921164592</v>
      </c>
      <c r="S401" s="107">
        <v>3.4591925552163576</v>
      </c>
      <c r="T401" s="100" t="s">
        <v>130</v>
      </c>
      <c r="U401" s="98">
        <v>1.1160000000000001</v>
      </c>
      <c r="V401" s="99">
        <v>3.0848075583916043E-2</v>
      </c>
      <c r="W401" s="100" t="s">
        <v>733</v>
      </c>
      <c r="X401" s="129" t="s">
        <v>130</v>
      </c>
      <c r="Y401" s="130" t="s">
        <v>130</v>
      </c>
      <c r="Z401" s="131" t="s">
        <v>130</v>
      </c>
      <c r="AA401" s="109">
        <v>1803</v>
      </c>
      <c r="AB401" s="108">
        <v>10.4</v>
      </c>
      <c r="AC401" s="100" t="s">
        <v>130</v>
      </c>
    </row>
    <row r="402" spans="1:29" ht="15" customHeight="1" x14ac:dyDescent="0.35">
      <c r="A402" s="95" t="s">
        <v>724</v>
      </c>
      <c r="B402" s="1" t="s">
        <v>38</v>
      </c>
      <c r="C402" s="1">
        <v>45000</v>
      </c>
      <c r="E402" s="97">
        <v>45196</v>
      </c>
      <c r="H402" s="98">
        <v>0.98299999999999998</v>
      </c>
      <c r="I402" s="99">
        <v>0.12385965320310173</v>
      </c>
      <c r="J402" s="100" t="s">
        <v>130</v>
      </c>
      <c r="K402" s="101">
        <v>0.751</v>
      </c>
      <c r="L402" s="98">
        <v>0.23200000000000001</v>
      </c>
      <c r="M402" s="99">
        <v>1.53740448573825E-2</v>
      </c>
      <c r="N402" s="100" t="s">
        <v>130</v>
      </c>
      <c r="O402" s="98">
        <v>1.643</v>
      </c>
      <c r="P402" s="99">
        <v>0.19617021365867265</v>
      </c>
      <c r="Q402" s="100" t="s">
        <v>130</v>
      </c>
      <c r="R402" s="133" t="s">
        <v>130</v>
      </c>
      <c r="S402" s="134" t="s">
        <v>130</v>
      </c>
      <c r="T402" s="131" t="s">
        <v>130</v>
      </c>
      <c r="U402" s="129" t="s">
        <v>130</v>
      </c>
      <c r="V402" s="130" t="s">
        <v>130</v>
      </c>
      <c r="W402" s="131" t="s">
        <v>130</v>
      </c>
      <c r="X402" s="98">
        <v>5.0000000000000001E-3</v>
      </c>
      <c r="Y402" s="99">
        <v>6.1864149872924573E-2</v>
      </c>
      <c r="Z402" s="100" t="s">
        <v>421</v>
      </c>
      <c r="AA402" s="135" t="s">
        <v>130</v>
      </c>
      <c r="AB402" s="136" t="s">
        <v>130</v>
      </c>
      <c r="AC402" s="131" t="s">
        <v>130</v>
      </c>
    </row>
    <row r="403" spans="1:29" ht="15" customHeight="1" x14ac:dyDescent="0.35">
      <c r="A403" s="95" t="s">
        <v>725</v>
      </c>
      <c r="B403" s="1" t="s">
        <v>32</v>
      </c>
      <c r="C403" s="1">
        <v>45000</v>
      </c>
      <c r="E403" s="97">
        <v>45195</v>
      </c>
      <c r="H403" s="129" t="s">
        <v>130</v>
      </c>
      <c r="I403" s="130" t="s">
        <v>130</v>
      </c>
      <c r="J403" s="131" t="s">
        <v>130</v>
      </c>
      <c r="K403" s="132" t="s">
        <v>130</v>
      </c>
      <c r="L403" s="129" t="s">
        <v>130</v>
      </c>
      <c r="M403" s="130" t="s">
        <v>130</v>
      </c>
      <c r="N403" s="131" t="s">
        <v>130</v>
      </c>
      <c r="O403" s="129" t="s">
        <v>130</v>
      </c>
      <c r="P403" s="130" t="s">
        <v>130</v>
      </c>
      <c r="Q403" s="131" t="s">
        <v>130</v>
      </c>
      <c r="R403" s="106">
        <v>107.71171256262946</v>
      </c>
      <c r="S403" s="107">
        <v>3.4591925552163576</v>
      </c>
      <c r="T403" s="100" t="s">
        <v>130</v>
      </c>
      <c r="U403" s="98">
        <v>5.4359999999999999</v>
      </c>
      <c r="V403" s="99">
        <v>9.9343516731067033E-2</v>
      </c>
      <c r="W403" s="100" t="s">
        <v>733</v>
      </c>
      <c r="X403" s="129" t="s">
        <v>130</v>
      </c>
      <c r="Y403" s="130" t="s">
        <v>130</v>
      </c>
      <c r="Z403" s="131" t="s">
        <v>130</v>
      </c>
      <c r="AA403" s="109">
        <v>2165</v>
      </c>
      <c r="AB403" s="108">
        <v>20.8</v>
      </c>
      <c r="AC403" s="100" t="s">
        <v>130</v>
      </c>
    </row>
    <row r="404" spans="1:29" ht="15" customHeight="1" x14ac:dyDescent="0.35">
      <c r="A404" s="95" t="s">
        <v>726</v>
      </c>
      <c r="B404" s="1" t="s">
        <v>32</v>
      </c>
      <c r="C404" s="1">
        <v>45000</v>
      </c>
      <c r="E404" s="97">
        <v>45195</v>
      </c>
      <c r="H404" s="98">
        <v>1.724</v>
      </c>
      <c r="I404" s="99">
        <v>0.12385965320310173</v>
      </c>
      <c r="J404" s="100" t="s">
        <v>130</v>
      </c>
      <c r="K404" s="101">
        <v>1.4239999999999999</v>
      </c>
      <c r="L404" s="98">
        <v>0.3</v>
      </c>
      <c r="M404" s="99">
        <v>1.53740448573825E-2</v>
      </c>
      <c r="N404" s="100" t="s">
        <v>130</v>
      </c>
      <c r="O404" s="98">
        <v>1.4850000000000001</v>
      </c>
      <c r="P404" s="99">
        <v>0.19617021365867265</v>
      </c>
      <c r="Q404" s="100" t="s">
        <v>130</v>
      </c>
      <c r="R404" s="133" t="s">
        <v>130</v>
      </c>
      <c r="S404" s="134" t="s">
        <v>130</v>
      </c>
      <c r="T404" s="131" t="s">
        <v>130</v>
      </c>
      <c r="U404" s="129" t="s">
        <v>130</v>
      </c>
      <c r="V404" s="130" t="s">
        <v>130</v>
      </c>
      <c r="W404" s="131" t="s">
        <v>130</v>
      </c>
      <c r="X404" s="98">
        <v>3.7999999999999999E-2</v>
      </c>
      <c r="Y404" s="99">
        <v>6.1864149872924573E-2</v>
      </c>
      <c r="Z404" s="100" t="s">
        <v>421</v>
      </c>
      <c r="AA404" s="135" t="s">
        <v>130</v>
      </c>
      <c r="AB404" s="136" t="s">
        <v>130</v>
      </c>
      <c r="AC404" s="131" t="s">
        <v>130</v>
      </c>
    </row>
    <row r="405" spans="1:29" ht="15" customHeight="1" x14ac:dyDescent="0.35">
      <c r="A405" s="95" t="s">
        <v>727</v>
      </c>
      <c r="B405" s="1" t="s">
        <v>30</v>
      </c>
      <c r="C405" s="1">
        <v>45000</v>
      </c>
      <c r="E405" s="97">
        <v>45195</v>
      </c>
      <c r="H405" s="129" t="s">
        <v>130</v>
      </c>
      <c r="I405" s="130" t="s">
        <v>130</v>
      </c>
      <c r="J405" s="131" t="s">
        <v>130</v>
      </c>
      <c r="K405" s="132" t="s">
        <v>130</v>
      </c>
      <c r="L405" s="129" t="s">
        <v>130</v>
      </c>
      <c r="M405" s="130" t="s">
        <v>130</v>
      </c>
      <c r="N405" s="131" t="s">
        <v>130</v>
      </c>
      <c r="O405" s="129" t="s">
        <v>130</v>
      </c>
      <c r="P405" s="130" t="s">
        <v>130</v>
      </c>
      <c r="Q405" s="131" t="s">
        <v>130</v>
      </c>
      <c r="R405" s="106">
        <v>95.074144463711846</v>
      </c>
      <c r="S405" s="107">
        <v>3.4591925552163576</v>
      </c>
      <c r="T405" s="100" t="s">
        <v>130</v>
      </c>
      <c r="U405" s="98">
        <v>2.399</v>
      </c>
      <c r="V405" s="99">
        <v>9.9343516731067033E-2</v>
      </c>
      <c r="W405" s="100" t="s">
        <v>733</v>
      </c>
      <c r="X405" s="129" t="s">
        <v>130</v>
      </c>
      <c r="Y405" s="130" t="s">
        <v>130</v>
      </c>
      <c r="Z405" s="131" t="s">
        <v>130</v>
      </c>
      <c r="AA405" s="109">
        <v>2001</v>
      </c>
      <c r="AB405" s="108">
        <v>20.8</v>
      </c>
      <c r="AC405" s="100" t="s">
        <v>130</v>
      </c>
    </row>
    <row r="406" spans="1:29" ht="15" customHeight="1" x14ac:dyDescent="0.35">
      <c r="A406" s="95" t="s">
        <v>728</v>
      </c>
      <c r="B406" s="1" t="s">
        <v>30</v>
      </c>
      <c r="C406" s="1">
        <v>45000</v>
      </c>
      <c r="E406" s="97">
        <v>45195</v>
      </c>
      <c r="H406" s="98">
        <v>1.2150000000000001</v>
      </c>
      <c r="I406" s="99">
        <v>0.12385965320310173</v>
      </c>
      <c r="J406" s="100" t="s">
        <v>130</v>
      </c>
      <c r="K406" s="101">
        <v>0.95700000000000007</v>
      </c>
      <c r="L406" s="98">
        <v>0.25800000000000001</v>
      </c>
      <c r="M406" s="99">
        <v>1.53740448573825E-2</v>
      </c>
      <c r="N406" s="100" t="s">
        <v>130</v>
      </c>
      <c r="O406" s="98">
        <v>14.493000000000002</v>
      </c>
      <c r="P406" s="99">
        <v>0.58851064097601791</v>
      </c>
      <c r="Q406" s="100" t="s">
        <v>130</v>
      </c>
      <c r="R406" s="133" t="s">
        <v>130</v>
      </c>
      <c r="S406" s="134" t="s">
        <v>130</v>
      </c>
      <c r="T406" s="131" t="s">
        <v>130</v>
      </c>
      <c r="U406" s="129" t="s">
        <v>130</v>
      </c>
      <c r="V406" s="130" t="s">
        <v>130</v>
      </c>
      <c r="W406" s="131" t="s">
        <v>130</v>
      </c>
      <c r="X406" s="98">
        <v>6.2E-2</v>
      </c>
      <c r="Y406" s="99">
        <v>6.1864149872924573E-2</v>
      </c>
      <c r="Z406" s="100" t="s">
        <v>409</v>
      </c>
      <c r="AA406" s="135" t="s">
        <v>130</v>
      </c>
      <c r="AB406" s="136" t="s">
        <v>130</v>
      </c>
      <c r="AC406" s="131" t="s">
        <v>130</v>
      </c>
    </row>
    <row r="407" spans="1:29" ht="15" customHeight="1" x14ac:dyDescent="0.35">
      <c r="A407" s="95" t="s">
        <v>729</v>
      </c>
      <c r="B407" s="1" t="s">
        <v>28</v>
      </c>
      <c r="C407" s="1">
        <v>45000</v>
      </c>
      <c r="E407" s="97">
        <v>45195</v>
      </c>
      <c r="H407" s="129" t="s">
        <v>130</v>
      </c>
      <c r="I407" s="130" t="s">
        <v>130</v>
      </c>
      <c r="J407" s="131" t="s">
        <v>130</v>
      </c>
      <c r="K407" s="132" t="s">
        <v>130</v>
      </c>
      <c r="L407" s="129" t="s">
        <v>130</v>
      </c>
      <c r="M407" s="130" t="s">
        <v>130</v>
      </c>
      <c r="N407" s="131" t="s">
        <v>130</v>
      </c>
      <c r="O407" s="129" t="s">
        <v>130</v>
      </c>
      <c r="P407" s="130" t="s">
        <v>130</v>
      </c>
      <c r="Q407" s="131" t="s">
        <v>130</v>
      </c>
      <c r="R407" s="106">
        <v>75.348576120058738</v>
      </c>
      <c r="S407" s="107">
        <v>3.4591925552163576</v>
      </c>
      <c r="T407" s="100" t="s">
        <v>130</v>
      </c>
      <c r="U407" s="98">
        <v>3.1339999999999999</v>
      </c>
      <c r="V407" s="99">
        <v>9.9343516731067033E-2</v>
      </c>
      <c r="W407" s="100" t="s">
        <v>733</v>
      </c>
      <c r="X407" s="129" t="s">
        <v>130</v>
      </c>
      <c r="Y407" s="130" t="s">
        <v>130</v>
      </c>
      <c r="Z407" s="131" t="s">
        <v>130</v>
      </c>
      <c r="AA407" s="109">
        <v>1878</v>
      </c>
      <c r="AB407" s="108">
        <v>10.4</v>
      </c>
      <c r="AC407" s="100" t="s">
        <v>130</v>
      </c>
    </row>
    <row r="408" spans="1:29" ht="15" customHeight="1" x14ac:dyDescent="0.35">
      <c r="A408" s="95" t="s">
        <v>730</v>
      </c>
      <c r="B408" s="1" t="s">
        <v>28</v>
      </c>
      <c r="C408" s="1">
        <v>45000</v>
      </c>
      <c r="E408" s="97">
        <v>45195</v>
      </c>
      <c r="H408" s="98">
        <v>0.28699999999999998</v>
      </c>
      <c r="I408" s="99">
        <v>0.12385965320310173</v>
      </c>
      <c r="J408" s="100" t="s">
        <v>409</v>
      </c>
      <c r="K408" s="132" t="s">
        <v>130</v>
      </c>
      <c r="L408" s="98">
        <v>0.10100000000000003</v>
      </c>
      <c r="M408" s="99">
        <v>1.53740448573825E-2</v>
      </c>
      <c r="N408" s="100" t="s">
        <v>409</v>
      </c>
      <c r="O408" s="98">
        <v>0.78300000000000003</v>
      </c>
      <c r="P408" s="99">
        <v>0.19617021365867265</v>
      </c>
      <c r="Q408" s="100" t="s">
        <v>409</v>
      </c>
      <c r="R408" s="133" t="s">
        <v>130</v>
      </c>
      <c r="S408" s="134" t="s">
        <v>130</v>
      </c>
      <c r="T408" s="131" t="s">
        <v>130</v>
      </c>
      <c r="U408" s="129" t="s">
        <v>130</v>
      </c>
      <c r="V408" s="130" t="s">
        <v>130</v>
      </c>
      <c r="W408" s="131" t="s">
        <v>130</v>
      </c>
      <c r="X408" s="98">
        <v>0.3</v>
      </c>
      <c r="Y408" s="99">
        <v>6.1864149872924573E-2</v>
      </c>
      <c r="Z408" s="100" t="s">
        <v>409</v>
      </c>
      <c r="AA408" s="135" t="s">
        <v>130</v>
      </c>
      <c r="AB408" s="136" t="s">
        <v>130</v>
      </c>
      <c r="AC408" s="131" t="s">
        <v>130</v>
      </c>
    </row>
    <row r="409" spans="1:29" ht="15" customHeight="1" x14ac:dyDescent="0.35">
      <c r="A409" s="95" t="s">
        <v>731</v>
      </c>
      <c r="B409" s="1" t="s">
        <v>47</v>
      </c>
      <c r="C409" s="1">
        <v>45000</v>
      </c>
      <c r="E409" s="97">
        <v>45199</v>
      </c>
      <c r="H409" s="129" t="s">
        <v>130</v>
      </c>
      <c r="I409" s="130" t="s">
        <v>130</v>
      </c>
      <c r="J409" s="131" t="s">
        <v>130</v>
      </c>
      <c r="K409" s="132" t="s">
        <v>130</v>
      </c>
      <c r="L409" s="129" t="s">
        <v>130</v>
      </c>
      <c r="M409" s="130" t="s">
        <v>130</v>
      </c>
      <c r="N409" s="131" t="s">
        <v>130</v>
      </c>
      <c r="O409" s="129" t="s">
        <v>130</v>
      </c>
      <c r="P409" s="130" t="s">
        <v>130</v>
      </c>
      <c r="Q409" s="131" t="s">
        <v>130</v>
      </c>
      <c r="R409" s="106">
        <v>66.62560218090934</v>
      </c>
      <c r="S409" s="107">
        <v>3.4591925552163576</v>
      </c>
      <c r="T409" s="100" t="s">
        <v>130</v>
      </c>
      <c r="U409" s="98">
        <v>2.903</v>
      </c>
      <c r="V409" s="99">
        <v>0.15097676949513356</v>
      </c>
      <c r="W409" s="100" t="s">
        <v>733</v>
      </c>
      <c r="X409" s="129" t="s">
        <v>130</v>
      </c>
      <c r="Y409" s="130" t="s">
        <v>130</v>
      </c>
      <c r="Z409" s="131" t="s">
        <v>130</v>
      </c>
      <c r="AA409" s="109">
        <v>1628</v>
      </c>
      <c r="AB409" s="108">
        <v>10.4</v>
      </c>
      <c r="AC409" s="100" t="s">
        <v>130</v>
      </c>
    </row>
    <row r="410" spans="1:29" ht="15" customHeight="1" x14ac:dyDescent="0.35">
      <c r="A410" s="95" t="s">
        <v>732</v>
      </c>
      <c r="B410" s="1" t="s">
        <v>47</v>
      </c>
      <c r="C410" s="1">
        <v>45000</v>
      </c>
      <c r="E410" s="97">
        <v>45199</v>
      </c>
      <c r="H410" s="98">
        <v>0.29699999999999999</v>
      </c>
      <c r="I410" s="99">
        <v>0.12997332098075642</v>
      </c>
      <c r="J410" s="100" t="s">
        <v>409</v>
      </c>
      <c r="K410" s="132" t="s">
        <v>130</v>
      </c>
      <c r="L410" s="98">
        <v>0.124</v>
      </c>
      <c r="M410" s="99">
        <v>1.2978895462142594E-2</v>
      </c>
      <c r="N410" s="100" t="s">
        <v>409</v>
      </c>
      <c r="O410" s="98">
        <v>6.8970000000000002</v>
      </c>
      <c r="P410" s="99">
        <v>0.17943008158362678</v>
      </c>
      <c r="Q410" s="100" t="s">
        <v>130</v>
      </c>
      <c r="R410" s="133" t="s">
        <v>130</v>
      </c>
      <c r="S410" s="134" t="s">
        <v>130</v>
      </c>
      <c r="T410" s="131" t="s">
        <v>130</v>
      </c>
      <c r="U410" s="129" t="s">
        <v>130</v>
      </c>
      <c r="V410" s="130" t="s">
        <v>130</v>
      </c>
      <c r="W410" s="131" t="s">
        <v>130</v>
      </c>
      <c r="X410" s="98">
        <v>0.309</v>
      </c>
      <c r="Y410" s="99">
        <v>4.5628866304919032E-2</v>
      </c>
      <c r="Z410" s="100" t="s">
        <v>409</v>
      </c>
      <c r="AA410" s="136" t="s">
        <v>130</v>
      </c>
      <c r="AB410" s="136" t="s">
        <v>130</v>
      </c>
      <c r="AC410" s="131" t="s">
        <v>130</v>
      </c>
    </row>
    <row r="411" spans="1:29" ht="15" customHeight="1" x14ac:dyDescent="0.35">
      <c r="J411" s="100"/>
      <c r="K411" s="99"/>
      <c r="N411" s="100"/>
      <c r="Q411" s="100"/>
      <c r="R411" s="110"/>
      <c r="S411" s="111"/>
      <c r="T411" s="104"/>
      <c r="U411" s="102"/>
      <c r="V411" s="103"/>
    </row>
    <row r="412" spans="1:29" ht="15" customHeight="1" x14ac:dyDescent="0.35">
      <c r="J412" s="100"/>
      <c r="K412" s="99"/>
      <c r="N412" s="100"/>
      <c r="Q412" s="100"/>
      <c r="R412" s="110"/>
      <c r="S412" s="111"/>
      <c r="T412" s="104"/>
      <c r="U412" s="102"/>
      <c r="V412" s="103"/>
    </row>
    <row r="413" spans="1:29" ht="15" customHeight="1" x14ac:dyDescent="0.35">
      <c r="J413" s="100"/>
      <c r="K413" s="99"/>
      <c r="N413" s="100"/>
      <c r="Q413" s="100"/>
      <c r="R413" s="110"/>
      <c r="S413" s="111"/>
      <c r="T413" s="104"/>
      <c r="U413" s="102"/>
      <c r="V413" s="103"/>
    </row>
    <row r="414" spans="1:29" ht="15" customHeight="1" x14ac:dyDescent="0.35">
      <c r="J414" s="100"/>
      <c r="K414" s="99"/>
      <c r="N414" s="100"/>
      <c r="Q414" s="100"/>
      <c r="R414" s="110"/>
      <c r="S414" s="111"/>
      <c r="T414" s="104"/>
      <c r="U414" s="102"/>
      <c r="V414" s="103"/>
    </row>
    <row r="415" spans="1:29" ht="15" customHeight="1" x14ac:dyDescent="0.35">
      <c r="J415" s="100"/>
      <c r="K415" s="99"/>
      <c r="N415" s="100"/>
      <c r="Q415" s="100"/>
      <c r="R415" s="110"/>
      <c r="S415" s="111"/>
      <c r="T415" s="104"/>
      <c r="U415" s="102"/>
      <c r="V415" s="103"/>
    </row>
    <row r="416" spans="1:29" ht="15" customHeight="1" x14ac:dyDescent="0.35">
      <c r="J416" s="100"/>
      <c r="K416" s="99"/>
      <c r="N416" s="100"/>
      <c r="Q416" s="100"/>
      <c r="R416" s="110"/>
      <c r="S416" s="111"/>
      <c r="T416" s="104"/>
      <c r="U416" s="102"/>
      <c r="V416" s="103"/>
    </row>
    <row r="417" spans="10:22" ht="15" customHeight="1" x14ac:dyDescent="0.35">
      <c r="J417" s="100"/>
      <c r="K417" s="99"/>
      <c r="N417" s="100"/>
      <c r="Q417" s="100"/>
      <c r="R417" s="110"/>
      <c r="S417" s="111"/>
      <c r="T417" s="104"/>
      <c r="U417" s="102"/>
      <c r="V417" s="103"/>
    </row>
    <row r="418" spans="10:22" ht="15" customHeight="1" x14ac:dyDescent="0.35">
      <c r="J418" s="100"/>
      <c r="K418" s="99"/>
      <c r="N418" s="100"/>
      <c r="Q418" s="100"/>
      <c r="R418" s="110"/>
      <c r="S418" s="111"/>
      <c r="T418" s="104"/>
      <c r="U418" s="102"/>
      <c r="V418" s="103"/>
    </row>
    <row r="419" spans="10:22" ht="15" customHeight="1" x14ac:dyDescent="0.35">
      <c r="J419" s="100"/>
      <c r="K419" s="99"/>
      <c r="N419" s="100"/>
      <c r="Q419" s="100"/>
      <c r="R419" s="110"/>
      <c r="S419" s="111"/>
      <c r="T419" s="104"/>
      <c r="U419" s="102"/>
      <c r="V419" s="103"/>
    </row>
    <row r="420" spans="10:22" ht="15" customHeight="1" x14ac:dyDescent="0.35">
      <c r="J420" s="100"/>
      <c r="K420" s="99"/>
      <c r="N420" s="100"/>
      <c r="Q420" s="100"/>
      <c r="R420" s="110"/>
      <c r="S420" s="111"/>
      <c r="T420" s="104"/>
      <c r="U420" s="102"/>
      <c r="V420" s="103"/>
    </row>
    <row r="421" spans="10:22" ht="15" customHeight="1" x14ac:dyDescent="0.35">
      <c r="J421" s="100"/>
      <c r="K421" s="99"/>
      <c r="N421" s="100"/>
      <c r="Q421" s="100"/>
      <c r="R421" s="110"/>
      <c r="S421" s="111"/>
      <c r="T421" s="104"/>
      <c r="U421" s="102"/>
      <c r="V421" s="103"/>
    </row>
    <row r="422" spans="10:22" ht="15" customHeight="1" x14ac:dyDescent="0.35">
      <c r="J422" s="100"/>
      <c r="K422" s="99"/>
      <c r="N422" s="100"/>
      <c r="Q422" s="100"/>
      <c r="R422" s="110"/>
      <c r="S422" s="111"/>
      <c r="T422" s="104"/>
      <c r="U422" s="102"/>
      <c r="V422" s="103"/>
    </row>
    <row r="423" spans="10:22" ht="15" customHeight="1" x14ac:dyDescent="0.35">
      <c r="J423" s="100"/>
      <c r="K423" s="99"/>
      <c r="N423" s="100"/>
      <c r="Q423" s="100"/>
      <c r="R423" s="110"/>
      <c r="S423" s="111"/>
      <c r="T423" s="104"/>
      <c r="U423" s="102"/>
      <c r="V423" s="103"/>
    </row>
    <row r="424" spans="10:22" ht="15" customHeight="1" x14ac:dyDescent="0.35">
      <c r="J424" s="100"/>
      <c r="K424" s="99"/>
      <c r="N424" s="100"/>
      <c r="Q424" s="100"/>
      <c r="R424" s="110"/>
      <c r="S424" s="111"/>
      <c r="T424" s="104"/>
      <c r="U424" s="102"/>
      <c r="V424" s="103"/>
    </row>
    <row r="425" spans="10:22" ht="15" customHeight="1" x14ac:dyDescent="0.35">
      <c r="J425" s="100"/>
      <c r="K425" s="99"/>
      <c r="N425" s="100"/>
      <c r="Q425" s="100"/>
      <c r="R425" s="110"/>
      <c r="S425" s="111"/>
      <c r="T425" s="104"/>
      <c r="U425" s="102"/>
      <c r="V425" s="103"/>
    </row>
    <row r="426" spans="10:22" ht="15" customHeight="1" x14ac:dyDescent="0.35">
      <c r="J426" s="100"/>
      <c r="K426" s="99"/>
      <c r="N426" s="100"/>
      <c r="Q426" s="100"/>
      <c r="R426" s="110"/>
      <c r="S426" s="111"/>
      <c r="T426" s="104"/>
      <c r="U426" s="102"/>
      <c r="V426" s="103"/>
    </row>
    <row r="427" spans="10:22" ht="15" customHeight="1" x14ac:dyDescent="0.35">
      <c r="J427" s="100"/>
      <c r="K427" s="99"/>
      <c r="N427" s="100"/>
      <c r="Q427" s="100"/>
      <c r="R427" s="110"/>
      <c r="S427" s="111"/>
      <c r="T427" s="104"/>
      <c r="U427" s="102"/>
      <c r="V427" s="103"/>
    </row>
    <row r="428" spans="10:22" ht="15" customHeight="1" x14ac:dyDescent="0.35">
      <c r="J428" s="100"/>
      <c r="K428" s="99"/>
      <c r="N428" s="100"/>
      <c r="Q428" s="100"/>
      <c r="R428" s="110"/>
      <c r="S428" s="111"/>
      <c r="T428" s="104"/>
      <c r="U428" s="102"/>
      <c r="V428" s="103"/>
    </row>
    <row r="429" spans="10:22" ht="15" customHeight="1" x14ac:dyDescent="0.35">
      <c r="J429" s="100"/>
      <c r="K429" s="99"/>
      <c r="N429" s="100"/>
      <c r="Q429" s="100"/>
      <c r="R429" s="110"/>
      <c r="S429" s="111"/>
      <c r="T429" s="104"/>
      <c r="U429" s="102"/>
      <c r="V429" s="103"/>
    </row>
    <row r="430" spans="10:22" ht="15" customHeight="1" x14ac:dyDescent="0.35">
      <c r="J430" s="100"/>
      <c r="K430" s="99"/>
      <c r="N430" s="100"/>
      <c r="Q430" s="100"/>
      <c r="R430" s="110"/>
      <c r="S430" s="111"/>
      <c r="T430" s="104"/>
      <c r="U430" s="102"/>
      <c r="V430" s="103"/>
    </row>
    <row r="431" spans="10:22" ht="15" customHeight="1" x14ac:dyDescent="0.35">
      <c r="J431" s="100"/>
      <c r="K431" s="99"/>
      <c r="N431" s="100"/>
      <c r="Q431" s="100"/>
      <c r="R431" s="110"/>
      <c r="S431" s="111"/>
      <c r="T431" s="104"/>
      <c r="U431" s="102"/>
      <c r="V431" s="103"/>
    </row>
    <row r="432" spans="10:22" ht="15" customHeight="1" x14ac:dyDescent="0.35">
      <c r="J432" s="100"/>
      <c r="K432" s="99"/>
      <c r="N432" s="100"/>
      <c r="Q432" s="100"/>
      <c r="R432" s="110"/>
      <c r="S432" s="111"/>
      <c r="T432" s="104"/>
      <c r="U432" s="102"/>
      <c r="V432" s="103"/>
    </row>
    <row r="433" spans="10:22" ht="15" customHeight="1" x14ac:dyDescent="0.35">
      <c r="J433" s="100"/>
      <c r="K433" s="99"/>
      <c r="N433" s="100"/>
      <c r="Q433" s="100"/>
      <c r="R433" s="110"/>
      <c r="S433" s="111"/>
      <c r="T433" s="104"/>
      <c r="U433" s="102"/>
      <c r="V433" s="103"/>
    </row>
    <row r="434" spans="10:22" ht="15" customHeight="1" x14ac:dyDescent="0.35">
      <c r="J434" s="100"/>
      <c r="K434" s="99"/>
      <c r="N434" s="100"/>
      <c r="Q434" s="100"/>
      <c r="R434" s="110"/>
      <c r="S434" s="111"/>
      <c r="T434" s="104"/>
      <c r="U434" s="102"/>
      <c r="V434" s="103"/>
    </row>
    <row r="435" spans="10:22" ht="15" customHeight="1" x14ac:dyDescent="0.35">
      <c r="J435" s="100"/>
      <c r="K435" s="99"/>
      <c r="N435" s="100"/>
      <c r="Q435" s="100"/>
      <c r="R435" s="110"/>
      <c r="S435" s="111"/>
      <c r="T435" s="104"/>
      <c r="U435" s="102"/>
      <c r="V435" s="103"/>
    </row>
    <row r="436" spans="10:22" ht="15" customHeight="1" x14ac:dyDescent="0.35">
      <c r="J436" s="100"/>
      <c r="K436" s="99"/>
      <c r="N436" s="100"/>
      <c r="Q436" s="100"/>
      <c r="R436" s="110"/>
      <c r="S436" s="111"/>
      <c r="T436" s="104"/>
      <c r="U436" s="102"/>
      <c r="V436" s="103"/>
    </row>
    <row r="437" spans="10:22" ht="15" customHeight="1" x14ac:dyDescent="0.35">
      <c r="J437" s="100"/>
      <c r="K437" s="99"/>
      <c r="N437" s="100"/>
      <c r="Q437" s="100"/>
      <c r="R437" s="110"/>
      <c r="S437" s="111"/>
      <c r="T437" s="104"/>
      <c r="U437" s="102"/>
      <c r="V437" s="103"/>
    </row>
    <row r="438" spans="10:22" ht="15" customHeight="1" x14ac:dyDescent="0.35">
      <c r="J438" s="100"/>
      <c r="K438" s="99"/>
      <c r="N438" s="100"/>
      <c r="Q438" s="100"/>
      <c r="R438" s="110"/>
      <c r="S438" s="111"/>
      <c r="T438" s="104"/>
      <c r="U438" s="102"/>
      <c r="V438" s="103"/>
    </row>
    <row r="439" spans="10:22" ht="15" customHeight="1" x14ac:dyDescent="0.35">
      <c r="J439" s="100"/>
      <c r="K439" s="99"/>
      <c r="N439" s="100"/>
      <c r="Q439" s="100"/>
      <c r="R439" s="110"/>
      <c r="S439" s="111"/>
      <c r="T439" s="104"/>
      <c r="U439" s="102"/>
      <c r="V439" s="103"/>
    </row>
    <row r="440" spans="10:22" ht="15" customHeight="1" x14ac:dyDescent="0.35">
      <c r="J440" s="100"/>
      <c r="K440" s="99"/>
      <c r="N440" s="100"/>
      <c r="Q440" s="100"/>
      <c r="R440" s="110"/>
      <c r="S440" s="111"/>
      <c r="T440" s="104"/>
      <c r="U440" s="102"/>
      <c r="V440" s="103"/>
    </row>
    <row r="441" spans="10:22" ht="15" customHeight="1" x14ac:dyDescent="0.35">
      <c r="J441" s="100"/>
      <c r="K441" s="99"/>
      <c r="N441" s="100"/>
      <c r="Q441" s="100"/>
      <c r="R441" s="110"/>
      <c r="S441" s="111"/>
      <c r="T441" s="104"/>
      <c r="U441" s="102"/>
      <c r="V441" s="103"/>
    </row>
    <row r="442" spans="10:22" ht="15" customHeight="1" x14ac:dyDescent="0.35">
      <c r="J442" s="100"/>
      <c r="K442" s="99"/>
      <c r="N442" s="100"/>
      <c r="Q442" s="100"/>
      <c r="R442" s="110"/>
      <c r="S442" s="111"/>
      <c r="T442" s="104"/>
      <c r="U442" s="102"/>
      <c r="V442" s="103"/>
    </row>
    <row r="443" spans="10:22" ht="15" customHeight="1" x14ac:dyDescent="0.35">
      <c r="J443" s="100"/>
      <c r="K443" s="99"/>
      <c r="N443" s="100"/>
      <c r="Q443" s="100"/>
      <c r="R443" s="110"/>
      <c r="S443" s="111"/>
      <c r="T443" s="104"/>
      <c r="U443" s="102"/>
      <c r="V443" s="103"/>
    </row>
    <row r="444" spans="10:22" ht="15" customHeight="1" x14ac:dyDescent="0.35">
      <c r="J444" s="100"/>
      <c r="K444" s="99"/>
      <c r="N444" s="100"/>
      <c r="Q444" s="100"/>
      <c r="R444" s="110"/>
      <c r="S444" s="111"/>
      <c r="T444" s="104"/>
      <c r="U444" s="102"/>
      <c r="V444" s="103"/>
    </row>
    <row r="445" spans="10:22" ht="15" customHeight="1" x14ac:dyDescent="0.35">
      <c r="J445" s="100"/>
      <c r="K445" s="99"/>
      <c r="N445" s="100"/>
      <c r="Q445" s="100"/>
      <c r="R445" s="110"/>
      <c r="S445" s="111"/>
      <c r="T445" s="104"/>
      <c r="U445" s="102"/>
      <c r="V445" s="103"/>
    </row>
    <row r="446" spans="10:22" ht="15" customHeight="1" x14ac:dyDescent="0.35">
      <c r="J446" s="100"/>
      <c r="K446" s="99"/>
      <c r="N446" s="100"/>
      <c r="Q446" s="100"/>
      <c r="R446" s="110"/>
      <c r="S446" s="111"/>
      <c r="T446" s="104"/>
      <c r="U446" s="102"/>
      <c r="V446" s="103"/>
    </row>
    <row r="447" spans="10:22" ht="15" customHeight="1" x14ac:dyDescent="0.35">
      <c r="J447" s="100"/>
      <c r="K447" s="99"/>
      <c r="N447" s="100"/>
      <c r="Q447" s="100"/>
      <c r="R447" s="110"/>
      <c r="S447" s="111"/>
      <c r="T447" s="104"/>
      <c r="U447" s="102"/>
      <c r="V447" s="103"/>
    </row>
    <row r="448" spans="10:22" ht="15" customHeight="1" x14ac:dyDescent="0.35">
      <c r="J448" s="100"/>
      <c r="K448" s="99"/>
      <c r="N448" s="100"/>
      <c r="Q448" s="100"/>
      <c r="R448" s="110"/>
      <c r="S448" s="111"/>
      <c r="T448" s="104"/>
      <c r="U448" s="102"/>
      <c r="V448" s="103"/>
    </row>
    <row r="449" spans="1:22" ht="15" customHeight="1" x14ac:dyDescent="0.35">
      <c r="J449" s="100"/>
      <c r="K449" s="99"/>
      <c r="N449" s="100"/>
      <c r="Q449" s="100"/>
      <c r="R449" s="110"/>
      <c r="S449" s="111"/>
      <c r="T449" s="104"/>
      <c r="U449" s="102"/>
      <c r="V449" s="103"/>
    </row>
    <row r="450" spans="1:22" ht="15" customHeight="1" x14ac:dyDescent="0.35">
      <c r="J450" s="100"/>
      <c r="K450" s="99"/>
      <c r="N450" s="100"/>
      <c r="Q450" s="100"/>
      <c r="R450" s="110"/>
      <c r="S450" s="111"/>
      <c r="T450" s="104"/>
      <c r="U450" s="102"/>
      <c r="V450" s="103"/>
    </row>
    <row r="451" spans="1:22" ht="15" customHeight="1" x14ac:dyDescent="0.35">
      <c r="J451" s="100"/>
      <c r="K451" s="99"/>
      <c r="N451" s="100"/>
      <c r="Q451" s="100"/>
      <c r="R451" s="110"/>
      <c r="S451" s="111"/>
      <c r="T451" s="104"/>
      <c r="U451" s="102"/>
      <c r="V451" s="103"/>
    </row>
    <row r="452" spans="1:22" ht="15" customHeight="1" x14ac:dyDescent="0.35">
      <c r="J452" s="100"/>
      <c r="K452" s="99"/>
      <c r="N452" s="100"/>
      <c r="Q452" s="100"/>
      <c r="R452" s="110"/>
      <c r="S452" s="111"/>
      <c r="T452" s="104"/>
      <c r="U452" s="102"/>
      <c r="V452" s="103"/>
    </row>
    <row r="453" spans="1:22" ht="15" customHeight="1" x14ac:dyDescent="0.35">
      <c r="J453" s="100"/>
      <c r="K453" s="99"/>
      <c r="N453" s="100"/>
      <c r="Q453" s="100"/>
      <c r="R453" s="110"/>
      <c r="S453" s="111"/>
      <c r="T453" s="104"/>
      <c r="U453" s="102"/>
      <c r="V453" s="103"/>
    </row>
    <row r="454" spans="1:22" ht="15" customHeight="1" x14ac:dyDescent="0.35">
      <c r="J454" s="100"/>
      <c r="K454" s="99"/>
      <c r="N454" s="100"/>
      <c r="Q454" s="100"/>
      <c r="R454" s="110"/>
      <c r="S454" s="111"/>
      <c r="T454" s="104"/>
      <c r="U454" s="102"/>
      <c r="V454" s="103"/>
    </row>
    <row r="455" spans="1:22" ht="15" customHeight="1" x14ac:dyDescent="0.35">
      <c r="J455" s="100"/>
      <c r="K455" s="99"/>
      <c r="N455" s="100"/>
      <c r="Q455" s="100"/>
      <c r="R455" s="110"/>
      <c r="S455" s="111"/>
      <c r="T455" s="104"/>
      <c r="U455" s="102"/>
      <c r="V455" s="103"/>
    </row>
    <row r="456" spans="1:22" ht="15" customHeight="1" x14ac:dyDescent="0.35">
      <c r="J456" s="100"/>
      <c r="K456" s="99"/>
      <c r="N456" s="100"/>
      <c r="Q456" s="100"/>
      <c r="R456" s="110"/>
      <c r="S456" s="111"/>
      <c r="T456" s="104"/>
      <c r="U456" s="102"/>
      <c r="V456" s="103"/>
    </row>
    <row r="457" spans="1:22" ht="15" customHeight="1" x14ac:dyDescent="0.35">
      <c r="J457" s="100"/>
      <c r="K457" s="99"/>
      <c r="N457" s="100"/>
      <c r="Q457" s="100"/>
      <c r="R457" s="110"/>
      <c r="S457" s="111"/>
      <c r="T457" s="104"/>
      <c r="U457" s="102"/>
      <c r="V457" s="103"/>
    </row>
    <row r="458" spans="1:22" ht="15" customHeight="1" x14ac:dyDescent="0.35">
      <c r="J458" s="100"/>
      <c r="K458" s="99"/>
      <c r="N458" s="100"/>
      <c r="Q458" s="100"/>
      <c r="R458" s="110"/>
      <c r="S458" s="111"/>
      <c r="T458" s="104"/>
      <c r="U458" s="102"/>
      <c r="V458" s="103"/>
    </row>
    <row r="459" spans="1:22" ht="15" customHeight="1" x14ac:dyDescent="0.35">
      <c r="J459" s="100"/>
      <c r="K459" s="99"/>
      <c r="N459" s="100"/>
      <c r="Q459" s="100"/>
      <c r="R459" s="110"/>
      <c r="S459" s="111"/>
      <c r="T459" s="104"/>
      <c r="U459" s="102"/>
      <c r="V459" s="103"/>
    </row>
    <row r="460" spans="1:22" ht="15" customHeight="1" x14ac:dyDescent="0.35">
      <c r="J460" s="100"/>
      <c r="K460" s="99"/>
      <c r="N460" s="100"/>
      <c r="Q460" s="100"/>
      <c r="R460" s="110"/>
      <c r="S460" s="111"/>
      <c r="T460" s="104"/>
      <c r="U460" s="102"/>
      <c r="V460" s="103"/>
    </row>
    <row r="461" spans="1:22" ht="15" customHeight="1" x14ac:dyDescent="0.35">
      <c r="J461" s="100"/>
      <c r="K461" s="99"/>
      <c r="N461" s="100"/>
      <c r="Q461" s="100"/>
      <c r="R461" s="110"/>
      <c r="S461" s="111"/>
      <c r="T461" s="104"/>
      <c r="U461" s="102"/>
      <c r="V461" s="103"/>
    </row>
    <row r="462" spans="1:22" ht="15" customHeight="1" x14ac:dyDescent="0.35">
      <c r="J462" s="100"/>
      <c r="K462" s="99"/>
      <c r="N462" s="100"/>
      <c r="Q462" s="100"/>
      <c r="R462" s="110"/>
      <c r="S462" s="111"/>
      <c r="T462" s="104"/>
      <c r="U462" s="102"/>
      <c r="V462" s="103"/>
    </row>
    <row r="463" spans="1:22" ht="15" customHeight="1" x14ac:dyDescent="0.35">
      <c r="A463" s="43"/>
      <c r="J463" s="100"/>
      <c r="K463" s="99"/>
      <c r="N463" s="100"/>
      <c r="Q463" s="100"/>
      <c r="R463" s="110"/>
      <c r="S463" s="111"/>
      <c r="T463" s="104"/>
      <c r="U463" s="102"/>
      <c r="V463" s="103"/>
    </row>
    <row r="464" spans="1:22" ht="15" customHeight="1" x14ac:dyDescent="0.35">
      <c r="A464" s="43"/>
      <c r="J464" s="100"/>
      <c r="K464" s="99"/>
      <c r="N464" s="100"/>
      <c r="Q464" s="100"/>
      <c r="R464" s="110"/>
      <c r="S464" s="111"/>
      <c r="T464" s="104"/>
      <c r="U464" s="102"/>
      <c r="V464" s="103"/>
    </row>
    <row r="465" spans="1:22" ht="15" customHeight="1" x14ac:dyDescent="0.35">
      <c r="A465" s="43"/>
      <c r="J465" s="100"/>
      <c r="K465" s="99"/>
      <c r="N465" s="100"/>
      <c r="Q465" s="100"/>
      <c r="R465" s="110"/>
      <c r="S465" s="111"/>
      <c r="T465" s="104"/>
      <c r="U465" s="102"/>
      <c r="V465" s="103"/>
    </row>
    <row r="466" spans="1:22" ht="15" customHeight="1" x14ac:dyDescent="0.35">
      <c r="A466" s="43"/>
      <c r="J466" s="100"/>
      <c r="K466" s="99"/>
      <c r="N466" s="100"/>
      <c r="Q466" s="100"/>
      <c r="R466" s="110"/>
      <c r="S466" s="111"/>
      <c r="T466" s="104"/>
      <c r="U466" s="102"/>
      <c r="V466" s="103"/>
    </row>
    <row r="467" spans="1:22" ht="15" customHeight="1" x14ac:dyDescent="0.35">
      <c r="A467" s="43"/>
      <c r="J467" s="100"/>
      <c r="K467" s="99"/>
      <c r="N467" s="100"/>
      <c r="Q467" s="100"/>
      <c r="R467" s="110"/>
      <c r="S467" s="111"/>
      <c r="T467" s="104"/>
      <c r="U467" s="102"/>
      <c r="V467" s="103"/>
    </row>
    <row r="468" spans="1:22" ht="15" customHeight="1" x14ac:dyDescent="0.35">
      <c r="A468" s="43"/>
      <c r="J468" s="100"/>
      <c r="K468" s="99"/>
      <c r="N468" s="100"/>
      <c r="Q468" s="100"/>
      <c r="R468" s="110"/>
      <c r="S468" s="111"/>
      <c r="T468" s="104"/>
      <c r="U468" s="102"/>
      <c r="V468" s="103"/>
    </row>
    <row r="469" spans="1:22" ht="15" customHeight="1" x14ac:dyDescent="0.35">
      <c r="A469" s="43"/>
      <c r="J469" s="100"/>
      <c r="K469" s="99"/>
      <c r="N469" s="100"/>
      <c r="Q469" s="100"/>
      <c r="R469" s="110"/>
      <c r="S469" s="111"/>
      <c r="T469" s="104"/>
      <c r="U469" s="102"/>
      <c r="V469" s="103"/>
    </row>
    <row r="470" spans="1:22" ht="15" customHeight="1" x14ac:dyDescent="0.35">
      <c r="A470" s="43"/>
      <c r="J470" s="100"/>
      <c r="K470" s="99"/>
      <c r="N470" s="100"/>
      <c r="Q470" s="100"/>
      <c r="R470" s="110"/>
      <c r="S470" s="111"/>
      <c r="T470" s="104"/>
      <c r="U470" s="102"/>
      <c r="V470" s="103"/>
    </row>
    <row r="471" spans="1:22" ht="15" customHeight="1" x14ac:dyDescent="0.35">
      <c r="A471" s="43"/>
      <c r="J471" s="100"/>
      <c r="K471" s="99"/>
      <c r="N471" s="100"/>
      <c r="Q471" s="100"/>
      <c r="R471" s="110"/>
      <c r="S471" s="111"/>
      <c r="T471" s="104"/>
      <c r="U471" s="102"/>
      <c r="V471" s="103"/>
    </row>
    <row r="472" spans="1:22" ht="15" customHeight="1" x14ac:dyDescent="0.35">
      <c r="A472" s="43"/>
      <c r="J472" s="100"/>
      <c r="K472" s="99"/>
      <c r="N472" s="100"/>
      <c r="Q472" s="100"/>
      <c r="R472" s="110"/>
      <c r="S472" s="111"/>
      <c r="T472" s="104"/>
      <c r="U472" s="102"/>
      <c r="V472" s="103"/>
    </row>
    <row r="473" spans="1:22" ht="15" customHeight="1" x14ac:dyDescent="0.35">
      <c r="A473" s="43"/>
      <c r="J473" s="100"/>
      <c r="K473" s="99"/>
      <c r="N473" s="100"/>
      <c r="Q473" s="100"/>
      <c r="R473" s="110"/>
      <c r="S473" s="111"/>
      <c r="T473" s="104"/>
      <c r="U473" s="102"/>
      <c r="V473" s="103"/>
    </row>
    <row r="474" spans="1:22" ht="15" customHeight="1" x14ac:dyDescent="0.35">
      <c r="A474" s="43"/>
      <c r="J474" s="100"/>
      <c r="K474" s="99"/>
      <c r="N474" s="100"/>
      <c r="Q474" s="100"/>
      <c r="R474" s="110"/>
      <c r="S474" s="111"/>
      <c r="T474" s="104"/>
      <c r="U474" s="102"/>
      <c r="V474" s="103"/>
    </row>
    <row r="475" spans="1:22" ht="15" customHeight="1" x14ac:dyDescent="0.35">
      <c r="A475" s="43"/>
      <c r="J475" s="100"/>
      <c r="K475" s="99"/>
      <c r="N475" s="100"/>
      <c r="Q475" s="100"/>
      <c r="R475" s="110"/>
      <c r="S475" s="111"/>
      <c r="T475" s="104"/>
      <c r="U475" s="102"/>
      <c r="V475" s="103"/>
    </row>
    <row r="476" spans="1:22" ht="15" customHeight="1" x14ac:dyDescent="0.35">
      <c r="E476" s="10"/>
      <c r="F476" s="10"/>
      <c r="J476" s="100"/>
      <c r="K476" s="99"/>
      <c r="N476" s="100"/>
      <c r="Q476" s="100"/>
      <c r="R476" s="110"/>
      <c r="S476" s="111"/>
      <c r="T476" s="104"/>
      <c r="U476" s="102"/>
      <c r="V476" s="103"/>
    </row>
    <row r="477" spans="1:22" ht="15" customHeight="1" x14ac:dyDescent="0.35">
      <c r="E477" s="10"/>
      <c r="F477" s="10"/>
      <c r="J477" s="100"/>
      <c r="K477" s="99"/>
      <c r="N477" s="100"/>
      <c r="Q477" s="100"/>
      <c r="R477" s="110"/>
      <c r="S477" s="111"/>
      <c r="T477" s="104"/>
      <c r="U477" s="102"/>
      <c r="V477" s="103"/>
    </row>
    <row r="478" spans="1:22" ht="15" customHeight="1" x14ac:dyDescent="0.35">
      <c r="E478" s="10"/>
      <c r="F478" s="10"/>
      <c r="J478" s="100"/>
      <c r="K478" s="99"/>
      <c r="N478" s="100"/>
      <c r="Q478" s="100"/>
      <c r="R478" s="110"/>
      <c r="S478" s="111"/>
      <c r="T478" s="104"/>
      <c r="U478" s="102"/>
      <c r="V478" s="103"/>
    </row>
    <row r="479" spans="1:22" ht="15" customHeight="1" x14ac:dyDescent="0.35">
      <c r="E479" s="10"/>
      <c r="F479" s="10"/>
      <c r="J479" s="100"/>
      <c r="K479" s="99"/>
      <c r="N479" s="100"/>
      <c r="Q479" s="100"/>
      <c r="R479" s="110"/>
      <c r="S479" s="111"/>
      <c r="T479" s="104"/>
      <c r="U479" s="102"/>
      <c r="V479" s="103"/>
    </row>
    <row r="480" spans="1:22" ht="15" customHeight="1" x14ac:dyDescent="0.35">
      <c r="J480" s="100"/>
      <c r="K480" s="99"/>
      <c r="N480" s="100"/>
      <c r="Q480" s="100"/>
      <c r="R480" s="110"/>
      <c r="S480" s="111"/>
      <c r="T480" s="104"/>
      <c r="U480" s="102"/>
      <c r="V480" s="103"/>
    </row>
    <row r="481" spans="10:22" ht="15" customHeight="1" x14ac:dyDescent="0.35">
      <c r="J481" s="100"/>
      <c r="K481" s="99"/>
      <c r="N481" s="100"/>
      <c r="Q481" s="100"/>
      <c r="R481" s="110"/>
      <c r="S481" s="111"/>
      <c r="T481" s="104"/>
      <c r="U481" s="102"/>
      <c r="V481" s="103"/>
    </row>
    <row r="482" spans="10:22" ht="15" customHeight="1" x14ac:dyDescent="0.35">
      <c r="J482" s="100"/>
      <c r="K482" s="99"/>
      <c r="N482" s="100"/>
      <c r="Q482" s="100"/>
      <c r="R482" s="110"/>
      <c r="S482" s="111"/>
      <c r="T482" s="104"/>
      <c r="U482" s="102"/>
      <c r="V482" s="103"/>
    </row>
    <row r="483" spans="10:22" ht="15" customHeight="1" x14ac:dyDescent="0.35">
      <c r="J483" s="100"/>
      <c r="K483" s="99"/>
      <c r="N483" s="100"/>
      <c r="Q483" s="100"/>
      <c r="R483" s="110"/>
      <c r="S483" s="111"/>
      <c r="T483" s="104"/>
      <c r="U483" s="102"/>
      <c r="V483" s="103"/>
    </row>
    <row r="484" spans="10:22" ht="15" customHeight="1" x14ac:dyDescent="0.35">
      <c r="J484" s="100"/>
      <c r="K484" s="99"/>
      <c r="N484" s="100"/>
      <c r="Q484" s="100"/>
      <c r="R484" s="110"/>
      <c r="S484" s="111"/>
      <c r="T484" s="104"/>
      <c r="U484" s="102"/>
      <c r="V484" s="103"/>
    </row>
    <row r="485" spans="10:22" ht="15" customHeight="1" x14ac:dyDescent="0.35">
      <c r="J485" s="100"/>
      <c r="K485" s="99"/>
      <c r="N485" s="100"/>
      <c r="Q485" s="100"/>
      <c r="R485" s="110"/>
      <c r="S485" s="111"/>
      <c r="T485" s="104"/>
      <c r="U485" s="102"/>
      <c r="V485" s="103"/>
    </row>
    <row r="486" spans="10:22" ht="15" customHeight="1" x14ac:dyDescent="0.35">
      <c r="J486" s="100"/>
      <c r="K486" s="99"/>
      <c r="N486" s="100"/>
      <c r="Q486" s="100"/>
      <c r="R486" s="110"/>
      <c r="S486" s="111"/>
      <c r="T486" s="104"/>
      <c r="U486" s="102"/>
      <c r="V486" s="103"/>
    </row>
    <row r="487" spans="10:22" ht="15" customHeight="1" x14ac:dyDescent="0.35">
      <c r="J487" s="100"/>
      <c r="K487" s="99"/>
      <c r="N487" s="100"/>
      <c r="Q487" s="100"/>
      <c r="R487" s="110"/>
      <c r="S487" s="111"/>
      <c r="T487" s="104"/>
      <c r="U487" s="102"/>
      <c r="V487" s="103"/>
    </row>
    <row r="488" spans="10:22" ht="15" customHeight="1" x14ac:dyDescent="0.35">
      <c r="J488" s="100"/>
      <c r="K488" s="99"/>
      <c r="N488" s="100"/>
      <c r="Q488" s="100"/>
      <c r="R488" s="110"/>
      <c r="S488" s="111"/>
      <c r="T488" s="104"/>
      <c r="U488" s="102"/>
      <c r="V488" s="103"/>
    </row>
    <row r="489" spans="10:22" ht="15" customHeight="1" x14ac:dyDescent="0.35">
      <c r="J489" s="100"/>
      <c r="K489" s="99"/>
      <c r="N489" s="100"/>
      <c r="Q489" s="100"/>
      <c r="R489" s="110"/>
      <c r="S489" s="111"/>
      <c r="T489" s="104"/>
      <c r="U489" s="102"/>
      <c r="V489" s="103"/>
    </row>
    <row r="490" spans="10:22" ht="15" customHeight="1" x14ac:dyDescent="0.35">
      <c r="J490" s="100"/>
      <c r="K490" s="99"/>
      <c r="N490" s="100"/>
      <c r="Q490" s="100"/>
      <c r="R490" s="110"/>
      <c r="S490" s="111"/>
      <c r="T490" s="104"/>
      <c r="U490" s="102"/>
      <c r="V490" s="103"/>
    </row>
    <row r="491" spans="10:22" ht="15" customHeight="1" x14ac:dyDescent="0.35">
      <c r="J491" s="100"/>
      <c r="K491" s="99"/>
      <c r="N491" s="100"/>
      <c r="Q491" s="100"/>
      <c r="R491" s="110"/>
      <c r="S491" s="111"/>
      <c r="T491" s="104"/>
      <c r="U491" s="102"/>
      <c r="V491" s="103"/>
    </row>
    <row r="492" spans="10:22" ht="15" customHeight="1" x14ac:dyDescent="0.35">
      <c r="J492" s="100"/>
      <c r="K492" s="99"/>
      <c r="N492" s="100"/>
      <c r="Q492" s="100"/>
      <c r="R492" s="110"/>
      <c r="S492" s="111"/>
      <c r="T492" s="104"/>
      <c r="U492" s="102"/>
      <c r="V492" s="103"/>
    </row>
    <row r="493" spans="10:22" ht="15" customHeight="1" x14ac:dyDescent="0.35">
      <c r="J493" s="100"/>
      <c r="K493" s="99"/>
      <c r="N493" s="100"/>
      <c r="Q493" s="100"/>
      <c r="R493" s="110"/>
      <c r="S493" s="111"/>
      <c r="T493" s="104"/>
      <c r="U493" s="102"/>
      <c r="V493" s="103"/>
    </row>
    <row r="494" spans="10:22" ht="15" customHeight="1" x14ac:dyDescent="0.35">
      <c r="J494" s="100"/>
      <c r="K494" s="99"/>
      <c r="N494" s="100"/>
      <c r="Q494" s="100"/>
      <c r="R494" s="110"/>
      <c r="S494" s="111"/>
      <c r="T494" s="104"/>
      <c r="U494" s="102"/>
      <c r="V494" s="103"/>
    </row>
    <row r="495" spans="10:22" ht="15" customHeight="1" x14ac:dyDescent="0.35">
      <c r="J495" s="100"/>
      <c r="K495" s="99"/>
      <c r="N495" s="100"/>
      <c r="Q495" s="100"/>
      <c r="R495" s="110"/>
      <c r="S495" s="111"/>
      <c r="T495" s="104"/>
      <c r="U495" s="102"/>
      <c r="V495" s="103"/>
    </row>
    <row r="496" spans="10:22" ht="15" customHeight="1" x14ac:dyDescent="0.35">
      <c r="J496" s="100"/>
      <c r="K496" s="99"/>
      <c r="N496" s="100"/>
      <c r="Q496" s="100"/>
      <c r="R496" s="110"/>
      <c r="S496" s="111"/>
      <c r="T496" s="104"/>
      <c r="U496" s="102"/>
      <c r="V496" s="103"/>
    </row>
    <row r="497" spans="5:22" ht="15" customHeight="1" x14ac:dyDescent="0.35">
      <c r="J497" s="100"/>
      <c r="K497" s="99"/>
      <c r="N497" s="100"/>
      <c r="Q497" s="100"/>
      <c r="R497" s="110"/>
      <c r="S497" s="111"/>
      <c r="T497" s="104"/>
      <c r="U497" s="102"/>
      <c r="V497" s="103"/>
    </row>
    <row r="498" spans="5:22" ht="15" customHeight="1" x14ac:dyDescent="0.35">
      <c r="J498" s="100"/>
      <c r="K498" s="99"/>
      <c r="N498" s="100"/>
      <c r="Q498" s="100"/>
      <c r="R498" s="110"/>
      <c r="S498" s="111"/>
      <c r="T498" s="104"/>
      <c r="U498" s="102"/>
      <c r="V498" s="103"/>
    </row>
    <row r="499" spans="5:22" ht="15" customHeight="1" x14ac:dyDescent="0.35">
      <c r="J499" s="100"/>
      <c r="K499" s="99"/>
      <c r="N499" s="100"/>
      <c r="Q499" s="100"/>
      <c r="R499" s="110"/>
      <c r="S499" s="111"/>
      <c r="T499" s="104"/>
      <c r="U499" s="102"/>
      <c r="V499" s="103"/>
    </row>
    <row r="500" spans="5:22" ht="15" customHeight="1" x14ac:dyDescent="0.35">
      <c r="J500" s="100"/>
      <c r="K500" s="99"/>
      <c r="N500" s="100"/>
      <c r="Q500" s="100"/>
      <c r="R500" s="110"/>
      <c r="S500" s="111"/>
      <c r="T500" s="104"/>
      <c r="U500" s="102"/>
      <c r="V500" s="103"/>
    </row>
    <row r="501" spans="5:22" ht="15" customHeight="1" x14ac:dyDescent="0.35">
      <c r="J501" s="100"/>
      <c r="K501" s="99"/>
      <c r="N501" s="100"/>
      <c r="Q501" s="100"/>
      <c r="R501" s="110"/>
      <c r="S501" s="111"/>
      <c r="T501" s="104"/>
      <c r="U501" s="102"/>
      <c r="V501" s="103"/>
    </row>
    <row r="502" spans="5:22" ht="15" customHeight="1" x14ac:dyDescent="0.35">
      <c r="E502" s="10"/>
      <c r="F502" s="10"/>
      <c r="J502" s="100"/>
      <c r="K502" s="99"/>
      <c r="N502" s="100"/>
      <c r="Q502" s="100"/>
      <c r="R502" s="110"/>
      <c r="S502" s="111"/>
      <c r="T502" s="104"/>
      <c r="U502" s="102"/>
      <c r="V502" s="103"/>
    </row>
    <row r="503" spans="5:22" ht="15" customHeight="1" x14ac:dyDescent="0.35">
      <c r="E503" s="10"/>
      <c r="F503" s="10"/>
      <c r="J503" s="100"/>
      <c r="K503" s="99"/>
      <c r="N503" s="100"/>
      <c r="Q503" s="100"/>
      <c r="R503" s="110"/>
      <c r="S503" s="111"/>
      <c r="T503" s="104"/>
      <c r="U503" s="102"/>
      <c r="V503" s="103"/>
    </row>
    <row r="504" spans="5:22" ht="15" customHeight="1" x14ac:dyDescent="0.35">
      <c r="E504" s="10"/>
      <c r="F504" s="10"/>
      <c r="J504" s="100"/>
      <c r="K504" s="99"/>
      <c r="N504" s="100"/>
      <c r="Q504" s="100"/>
      <c r="R504" s="110"/>
      <c r="S504" s="111"/>
      <c r="T504" s="104"/>
      <c r="U504" s="102"/>
      <c r="V504" s="103"/>
    </row>
    <row r="505" spans="5:22" ht="15" customHeight="1" x14ac:dyDescent="0.35">
      <c r="E505" s="10"/>
      <c r="F505" s="10"/>
      <c r="J505" s="100"/>
      <c r="K505" s="99"/>
      <c r="N505" s="100"/>
      <c r="Q505" s="100"/>
      <c r="R505" s="110"/>
      <c r="S505" s="111"/>
      <c r="T505" s="104"/>
      <c r="U505" s="102"/>
      <c r="V505" s="103"/>
    </row>
    <row r="506" spans="5:22" ht="15" customHeight="1" x14ac:dyDescent="0.35">
      <c r="E506" s="10"/>
      <c r="F506" s="10"/>
      <c r="J506" s="100"/>
      <c r="K506" s="99"/>
      <c r="N506" s="100"/>
      <c r="Q506" s="100"/>
      <c r="R506" s="110"/>
      <c r="S506" s="111"/>
      <c r="T506" s="104"/>
      <c r="U506" s="102"/>
      <c r="V506" s="103"/>
    </row>
    <row r="507" spans="5:22" ht="15" customHeight="1" x14ac:dyDescent="0.35">
      <c r="E507" s="10"/>
      <c r="F507" s="10"/>
      <c r="J507" s="100"/>
      <c r="K507" s="99"/>
      <c r="N507" s="100"/>
      <c r="Q507" s="100"/>
      <c r="R507" s="110"/>
      <c r="S507" s="111"/>
      <c r="T507" s="104"/>
      <c r="U507" s="102"/>
      <c r="V507" s="103"/>
    </row>
    <row r="508" spans="5:22" ht="15" customHeight="1" x14ac:dyDescent="0.35">
      <c r="E508" s="10"/>
      <c r="F508" s="10"/>
      <c r="J508" s="100"/>
      <c r="K508" s="99"/>
      <c r="N508" s="100"/>
      <c r="Q508" s="100"/>
      <c r="R508" s="110"/>
      <c r="S508" s="111"/>
      <c r="T508" s="104"/>
      <c r="U508" s="102"/>
      <c r="V508" s="103"/>
    </row>
    <row r="509" spans="5:22" ht="15" customHeight="1" x14ac:dyDescent="0.35">
      <c r="E509" s="10"/>
      <c r="F509" s="10"/>
      <c r="J509" s="100"/>
      <c r="K509" s="99"/>
      <c r="N509" s="100"/>
      <c r="Q509" s="100"/>
      <c r="R509" s="110"/>
      <c r="S509" s="111"/>
      <c r="T509" s="104"/>
      <c r="U509" s="102"/>
      <c r="V509" s="103"/>
    </row>
    <row r="510" spans="5:22" ht="15" customHeight="1" x14ac:dyDescent="0.35">
      <c r="E510" s="10"/>
      <c r="F510" s="10"/>
      <c r="J510" s="100"/>
      <c r="K510" s="99"/>
      <c r="N510" s="100"/>
      <c r="Q510" s="100"/>
      <c r="R510" s="110"/>
      <c r="S510" s="111"/>
      <c r="T510" s="104"/>
      <c r="U510" s="102"/>
      <c r="V510" s="103"/>
    </row>
    <row r="511" spans="5:22" ht="15" customHeight="1" x14ac:dyDescent="0.35">
      <c r="E511" s="10"/>
      <c r="F511" s="10"/>
      <c r="J511" s="100"/>
      <c r="K511" s="99"/>
      <c r="N511" s="100"/>
      <c r="Q511" s="100"/>
      <c r="R511" s="110"/>
      <c r="S511" s="111"/>
      <c r="T511" s="104"/>
      <c r="U511" s="102"/>
      <c r="V511" s="103"/>
    </row>
    <row r="512" spans="5:22" ht="15" customHeight="1" x14ac:dyDescent="0.35">
      <c r="E512" s="10"/>
      <c r="F512" s="10"/>
      <c r="J512" s="100"/>
      <c r="K512" s="99"/>
      <c r="N512" s="100"/>
      <c r="Q512" s="100"/>
      <c r="R512" s="110"/>
      <c r="S512" s="111"/>
      <c r="T512" s="104"/>
      <c r="U512" s="102"/>
      <c r="V512" s="103"/>
    </row>
    <row r="513" spans="5:22" ht="15" customHeight="1" x14ac:dyDescent="0.35">
      <c r="E513" s="10"/>
      <c r="F513" s="10"/>
      <c r="J513" s="100"/>
      <c r="K513" s="99"/>
      <c r="N513" s="100"/>
      <c r="Q513" s="100"/>
      <c r="R513" s="110"/>
      <c r="S513" s="111"/>
      <c r="T513" s="104"/>
      <c r="U513" s="102"/>
      <c r="V513" s="103"/>
    </row>
    <row r="514" spans="5:22" ht="15" customHeight="1" x14ac:dyDescent="0.35">
      <c r="E514" s="10"/>
      <c r="F514" s="10"/>
      <c r="J514" s="100"/>
      <c r="K514" s="99"/>
      <c r="N514" s="100"/>
      <c r="Q514" s="100"/>
      <c r="R514" s="110"/>
      <c r="S514" s="111"/>
      <c r="T514" s="104"/>
      <c r="U514" s="102"/>
      <c r="V514" s="103"/>
    </row>
    <row r="515" spans="5:22" ht="15" customHeight="1" x14ac:dyDescent="0.35">
      <c r="E515" s="10"/>
      <c r="F515" s="10"/>
      <c r="J515" s="100"/>
      <c r="K515" s="99"/>
      <c r="N515" s="100"/>
      <c r="Q515" s="100"/>
      <c r="R515" s="110"/>
      <c r="S515" s="111"/>
      <c r="T515" s="104"/>
      <c r="U515" s="102"/>
      <c r="V515" s="103"/>
    </row>
    <row r="516" spans="5:22" ht="15" customHeight="1" x14ac:dyDescent="0.35">
      <c r="E516" s="10"/>
      <c r="F516" s="10"/>
      <c r="J516" s="100"/>
      <c r="K516" s="99"/>
      <c r="N516" s="100"/>
      <c r="Q516" s="100"/>
      <c r="R516" s="110"/>
      <c r="S516" s="111"/>
      <c r="T516" s="104"/>
      <c r="U516" s="102"/>
      <c r="V516" s="103"/>
    </row>
    <row r="517" spans="5:22" ht="15" customHeight="1" x14ac:dyDescent="0.35">
      <c r="E517" s="10"/>
      <c r="F517" s="10"/>
      <c r="J517" s="100"/>
      <c r="K517" s="99"/>
      <c r="N517" s="100"/>
      <c r="Q517" s="100"/>
      <c r="R517" s="110"/>
      <c r="S517" s="111"/>
      <c r="T517" s="104"/>
      <c r="U517" s="102"/>
      <c r="V517" s="103"/>
    </row>
    <row r="518" spans="5:22" ht="15" customHeight="1" x14ac:dyDescent="0.35">
      <c r="J518" s="100"/>
      <c r="K518" s="99"/>
      <c r="N518" s="100"/>
      <c r="Q518" s="100"/>
      <c r="R518" s="110"/>
      <c r="S518" s="111"/>
      <c r="T518" s="104"/>
      <c r="U518" s="102"/>
      <c r="V518" s="103"/>
    </row>
    <row r="519" spans="5:22" ht="15" customHeight="1" x14ac:dyDescent="0.35">
      <c r="J519" s="100"/>
      <c r="K519" s="99"/>
      <c r="N519" s="100"/>
      <c r="Q519" s="100"/>
      <c r="R519" s="110"/>
      <c r="S519" s="111"/>
      <c r="T519" s="104"/>
      <c r="U519" s="102"/>
      <c r="V519" s="103"/>
    </row>
    <row r="520" spans="5:22" ht="15" customHeight="1" x14ac:dyDescent="0.35">
      <c r="J520" s="100"/>
      <c r="K520" s="99"/>
      <c r="N520" s="100"/>
      <c r="Q520" s="100"/>
      <c r="R520" s="110"/>
      <c r="S520" s="111"/>
      <c r="T520" s="104"/>
      <c r="U520" s="102"/>
      <c r="V520" s="103"/>
    </row>
    <row r="521" spans="5:22" ht="15" customHeight="1" x14ac:dyDescent="0.35">
      <c r="J521" s="100"/>
      <c r="K521" s="99"/>
      <c r="N521" s="100"/>
      <c r="Q521" s="100"/>
      <c r="R521" s="110"/>
      <c r="S521" s="111"/>
      <c r="T521" s="104"/>
      <c r="U521" s="102"/>
      <c r="V521" s="103"/>
    </row>
    <row r="522" spans="5:22" ht="15" customHeight="1" x14ac:dyDescent="0.35">
      <c r="J522" s="100"/>
      <c r="K522" s="99"/>
      <c r="N522" s="100"/>
      <c r="Q522" s="100"/>
      <c r="R522" s="110"/>
      <c r="S522" s="111"/>
      <c r="T522" s="104"/>
      <c r="U522" s="102"/>
      <c r="V522" s="103"/>
    </row>
    <row r="523" spans="5:22" ht="15" customHeight="1" x14ac:dyDescent="0.35">
      <c r="J523" s="100"/>
      <c r="K523" s="99"/>
      <c r="N523" s="100"/>
      <c r="Q523" s="100"/>
      <c r="R523" s="110"/>
      <c r="S523" s="111"/>
      <c r="T523" s="104"/>
      <c r="U523" s="102"/>
      <c r="V523" s="103"/>
    </row>
    <row r="524" spans="5:22" ht="15" customHeight="1" x14ac:dyDescent="0.35">
      <c r="J524" s="100"/>
      <c r="K524" s="99"/>
      <c r="N524" s="100"/>
      <c r="Q524" s="100"/>
      <c r="R524" s="110"/>
      <c r="S524" s="111"/>
      <c r="T524" s="104"/>
      <c r="U524" s="102"/>
      <c r="V524" s="103"/>
    </row>
    <row r="525" spans="5:22" ht="15" customHeight="1" x14ac:dyDescent="0.35">
      <c r="J525" s="100"/>
      <c r="K525" s="99"/>
      <c r="N525" s="100"/>
      <c r="Q525" s="100"/>
      <c r="R525" s="110"/>
      <c r="S525" s="111"/>
      <c r="T525" s="104"/>
      <c r="U525" s="102"/>
      <c r="V525" s="103"/>
    </row>
    <row r="526" spans="5:22" ht="15" customHeight="1" x14ac:dyDescent="0.35">
      <c r="J526" s="100"/>
      <c r="K526" s="99"/>
      <c r="N526" s="100"/>
      <c r="Q526" s="100"/>
      <c r="R526" s="110"/>
      <c r="S526" s="111"/>
      <c r="T526" s="104"/>
      <c r="U526" s="102"/>
      <c r="V526" s="103"/>
    </row>
    <row r="527" spans="5:22" ht="15" customHeight="1" x14ac:dyDescent="0.35">
      <c r="J527" s="100"/>
      <c r="K527" s="99"/>
      <c r="N527" s="100"/>
      <c r="Q527" s="100"/>
      <c r="R527" s="110"/>
      <c r="S527" s="111"/>
      <c r="T527" s="104"/>
      <c r="U527" s="102"/>
      <c r="V527" s="103"/>
    </row>
    <row r="528" spans="5:22" ht="15" customHeight="1" x14ac:dyDescent="0.35">
      <c r="J528" s="100"/>
      <c r="K528" s="99"/>
      <c r="N528" s="100"/>
      <c r="Q528" s="100"/>
      <c r="R528" s="110"/>
      <c r="S528" s="111"/>
      <c r="T528" s="104"/>
      <c r="U528" s="102"/>
      <c r="V528" s="103"/>
    </row>
    <row r="529" spans="5:22" ht="15" customHeight="1" x14ac:dyDescent="0.35">
      <c r="J529" s="100"/>
      <c r="K529" s="99"/>
      <c r="N529" s="100"/>
      <c r="Q529" s="100"/>
      <c r="R529" s="110"/>
      <c r="S529" s="111"/>
      <c r="T529" s="104"/>
      <c r="U529" s="102"/>
      <c r="V529" s="103"/>
    </row>
    <row r="530" spans="5:22" ht="15" customHeight="1" x14ac:dyDescent="0.35">
      <c r="J530" s="100"/>
      <c r="K530" s="99"/>
      <c r="N530" s="100"/>
      <c r="Q530" s="100"/>
      <c r="R530" s="110"/>
      <c r="S530" s="111"/>
      <c r="T530" s="104"/>
      <c r="U530" s="102"/>
      <c r="V530" s="103"/>
    </row>
    <row r="531" spans="5:22" ht="15" customHeight="1" x14ac:dyDescent="0.35">
      <c r="J531" s="100"/>
      <c r="K531" s="99"/>
      <c r="N531" s="100"/>
      <c r="Q531" s="100"/>
      <c r="R531" s="110"/>
      <c r="S531" s="111"/>
      <c r="T531" s="104"/>
      <c r="U531" s="102"/>
      <c r="V531" s="103"/>
    </row>
    <row r="532" spans="5:22" ht="15" customHeight="1" x14ac:dyDescent="0.35">
      <c r="J532" s="100"/>
      <c r="K532" s="99"/>
      <c r="N532" s="100"/>
      <c r="Q532" s="100"/>
      <c r="R532" s="110"/>
      <c r="S532" s="111"/>
      <c r="T532" s="104"/>
      <c r="U532" s="102"/>
      <c r="V532" s="103"/>
    </row>
    <row r="533" spans="5:22" ht="15" customHeight="1" x14ac:dyDescent="0.35">
      <c r="J533" s="100"/>
      <c r="K533" s="99"/>
      <c r="N533" s="100"/>
      <c r="Q533" s="100"/>
      <c r="R533" s="110"/>
      <c r="S533" s="111"/>
      <c r="T533" s="104"/>
      <c r="U533" s="102"/>
      <c r="V533" s="103"/>
    </row>
    <row r="534" spans="5:22" ht="15" customHeight="1" x14ac:dyDescent="0.35">
      <c r="E534" s="10"/>
      <c r="F534" s="10"/>
      <c r="J534" s="100"/>
      <c r="K534" s="99"/>
      <c r="N534" s="100"/>
      <c r="Q534" s="100"/>
      <c r="R534" s="110"/>
      <c r="S534" s="111"/>
      <c r="T534" s="104"/>
      <c r="U534" s="102"/>
      <c r="V534" s="103"/>
    </row>
    <row r="535" spans="5:22" ht="15" customHeight="1" x14ac:dyDescent="0.35">
      <c r="E535" s="10"/>
      <c r="F535" s="10"/>
      <c r="J535" s="100"/>
      <c r="K535" s="99"/>
      <c r="N535" s="100"/>
      <c r="Q535" s="100"/>
      <c r="R535" s="110"/>
      <c r="S535" s="111"/>
      <c r="T535" s="104"/>
      <c r="U535" s="102"/>
      <c r="V535" s="103"/>
    </row>
    <row r="536" spans="5:22" ht="15" customHeight="1" x14ac:dyDescent="0.35">
      <c r="E536" s="10"/>
      <c r="F536" s="10"/>
      <c r="J536" s="100"/>
      <c r="K536" s="99"/>
      <c r="N536" s="100"/>
      <c r="Q536" s="100"/>
      <c r="R536" s="110"/>
      <c r="S536" s="111"/>
      <c r="T536" s="104"/>
      <c r="U536" s="102"/>
      <c r="V536" s="103"/>
    </row>
    <row r="537" spans="5:22" ht="15" customHeight="1" x14ac:dyDescent="0.35">
      <c r="E537" s="10"/>
      <c r="F537" s="10"/>
      <c r="J537" s="100"/>
      <c r="K537" s="99"/>
      <c r="N537" s="100"/>
      <c r="Q537" s="100"/>
      <c r="R537" s="110"/>
      <c r="S537" s="111"/>
      <c r="T537" s="104"/>
      <c r="U537" s="102"/>
      <c r="V537" s="103"/>
    </row>
    <row r="538" spans="5:22" ht="15" customHeight="1" x14ac:dyDescent="0.35">
      <c r="E538" s="10"/>
      <c r="F538" s="10"/>
      <c r="J538" s="100"/>
      <c r="K538" s="99"/>
      <c r="N538" s="100"/>
      <c r="Q538" s="100"/>
      <c r="R538" s="110"/>
      <c r="S538" s="111"/>
      <c r="T538" s="104"/>
      <c r="U538" s="102"/>
      <c r="V538" s="103"/>
    </row>
    <row r="539" spans="5:22" ht="15" customHeight="1" x14ac:dyDescent="0.35">
      <c r="E539" s="10"/>
      <c r="F539" s="10"/>
      <c r="J539" s="100"/>
      <c r="K539" s="99"/>
      <c r="N539" s="100"/>
      <c r="Q539" s="100"/>
      <c r="R539" s="110"/>
      <c r="S539" s="111"/>
      <c r="T539" s="104"/>
      <c r="U539" s="102"/>
      <c r="V539" s="103"/>
    </row>
    <row r="540" spans="5:22" ht="15" customHeight="1" x14ac:dyDescent="0.35">
      <c r="E540" s="10"/>
      <c r="F540" s="10"/>
      <c r="J540" s="100"/>
      <c r="K540" s="99"/>
      <c r="N540" s="100"/>
      <c r="Q540" s="100"/>
      <c r="R540" s="110"/>
      <c r="S540" s="111"/>
      <c r="T540" s="104"/>
      <c r="U540" s="102"/>
      <c r="V540" s="103"/>
    </row>
    <row r="541" spans="5:22" ht="15" customHeight="1" x14ac:dyDescent="0.35">
      <c r="E541" s="10"/>
      <c r="F541" s="10"/>
      <c r="J541" s="100"/>
      <c r="K541" s="99"/>
      <c r="N541" s="100"/>
      <c r="Q541" s="100"/>
      <c r="R541" s="110"/>
      <c r="S541" s="111"/>
      <c r="T541" s="104"/>
      <c r="U541" s="102"/>
      <c r="V541" s="103"/>
    </row>
    <row r="542" spans="5:22" ht="15" customHeight="1" x14ac:dyDescent="0.35">
      <c r="J542" s="100"/>
      <c r="K542" s="99"/>
      <c r="N542" s="100"/>
      <c r="Q542" s="100"/>
      <c r="R542" s="110"/>
      <c r="S542" s="111"/>
      <c r="T542" s="104"/>
      <c r="U542" s="102"/>
      <c r="V542" s="103"/>
    </row>
    <row r="543" spans="5:22" ht="15" customHeight="1" x14ac:dyDescent="0.35">
      <c r="J543" s="100"/>
      <c r="K543" s="99"/>
      <c r="N543" s="100"/>
      <c r="Q543" s="100"/>
      <c r="R543" s="110"/>
      <c r="S543" s="111"/>
      <c r="T543" s="104"/>
      <c r="U543" s="102"/>
      <c r="V543" s="103"/>
    </row>
    <row r="544" spans="5:22" ht="15" customHeight="1" x14ac:dyDescent="0.35">
      <c r="J544" s="100"/>
      <c r="K544" s="99"/>
      <c r="N544" s="100"/>
      <c r="Q544" s="100"/>
      <c r="R544" s="110"/>
      <c r="S544" s="111"/>
      <c r="T544" s="104"/>
      <c r="U544" s="102"/>
      <c r="V544" s="103"/>
    </row>
    <row r="545" spans="10:22" ht="15" customHeight="1" x14ac:dyDescent="0.35">
      <c r="J545" s="100"/>
      <c r="K545" s="99"/>
      <c r="N545" s="100"/>
      <c r="Q545" s="100"/>
      <c r="R545" s="110"/>
      <c r="S545" s="111"/>
      <c r="T545" s="104"/>
      <c r="U545" s="102"/>
      <c r="V545" s="103"/>
    </row>
    <row r="546" spans="10:22" ht="15" customHeight="1" x14ac:dyDescent="0.35">
      <c r="J546" s="100"/>
      <c r="K546" s="99"/>
      <c r="N546" s="100"/>
      <c r="Q546" s="100"/>
      <c r="R546" s="110"/>
      <c r="S546" s="111"/>
      <c r="T546" s="104"/>
      <c r="U546" s="102"/>
      <c r="V546" s="103"/>
    </row>
    <row r="547" spans="10:22" ht="15" customHeight="1" x14ac:dyDescent="0.35">
      <c r="J547" s="100"/>
      <c r="K547" s="99"/>
      <c r="N547" s="100"/>
      <c r="Q547" s="100"/>
      <c r="R547" s="110"/>
      <c r="S547" s="111"/>
      <c r="T547" s="104"/>
      <c r="U547" s="102"/>
      <c r="V547" s="103"/>
    </row>
    <row r="548" spans="10:22" ht="15" customHeight="1" x14ac:dyDescent="0.35">
      <c r="J548" s="100"/>
      <c r="K548" s="99"/>
      <c r="N548" s="100"/>
      <c r="Q548" s="100"/>
      <c r="R548" s="110"/>
      <c r="S548" s="111"/>
      <c r="T548" s="104"/>
      <c r="U548" s="102"/>
      <c r="V548" s="103"/>
    </row>
    <row r="549" spans="10:22" ht="15" customHeight="1" x14ac:dyDescent="0.35">
      <c r="J549" s="100"/>
      <c r="K549" s="99"/>
      <c r="N549" s="100"/>
      <c r="Q549" s="100"/>
      <c r="R549" s="110"/>
      <c r="S549" s="111"/>
      <c r="T549" s="104"/>
      <c r="U549" s="102"/>
      <c r="V549" s="103"/>
    </row>
    <row r="550" spans="10:22" ht="15" customHeight="1" x14ac:dyDescent="0.35">
      <c r="J550" s="100"/>
      <c r="K550" s="99"/>
      <c r="N550" s="100"/>
      <c r="Q550" s="100"/>
      <c r="R550" s="110"/>
      <c r="S550" s="111"/>
      <c r="T550" s="104"/>
      <c r="U550" s="102"/>
      <c r="V550" s="103"/>
    </row>
    <row r="551" spans="10:22" ht="15" customHeight="1" x14ac:dyDescent="0.35">
      <c r="J551" s="100"/>
      <c r="K551" s="99"/>
      <c r="N551" s="100"/>
      <c r="Q551" s="100"/>
      <c r="R551" s="110"/>
      <c r="S551" s="111"/>
      <c r="T551" s="104"/>
      <c r="U551" s="102"/>
      <c r="V551" s="103"/>
    </row>
    <row r="552" spans="10:22" ht="15" customHeight="1" x14ac:dyDescent="0.35">
      <c r="J552" s="100"/>
      <c r="K552" s="99"/>
      <c r="N552" s="100"/>
      <c r="Q552" s="100"/>
      <c r="R552" s="110"/>
      <c r="S552" s="111"/>
      <c r="T552" s="104"/>
      <c r="U552" s="102"/>
      <c r="V552" s="103"/>
    </row>
    <row r="553" spans="10:22" ht="15" customHeight="1" x14ac:dyDescent="0.35">
      <c r="J553" s="100"/>
      <c r="K553" s="99"/>
      <c r="N553" s="100"/>
      <c r="Q553" s="100"/>
      <c r="R553" s="110"/>
      <c r="S553" s="111"/>
      <c r="T553" s="104"/>
      <c r="U553" s="102"/>
      <c r="V553" s="103"/>
    </row>
    <row r="554" spans="10:22" ht="15" customHeight="1" x14ac:dyDescent="0.35">
      <c r="J554" s="100"/>
      <c r="K554" s="99"/>
      <c r="N554" s="100"/>
      <c r="Q554" s="100"/>
      <c r="R554" s="110"/>
      <c r="S554" s="111"/>
      <c r="T554" s="104"/>
      <c r="U554" s="102"/>
      <c r="V554" s="103"/>
    </row>
    <row r="555" spans="10:22" ht="15" customHeight="1" x14ac:dyDescent="0.35">
      <c r="J555" s="100"/>
      <c r="K555" s="99"/>
      <c r="N555" s="100"/>
      <c r="Q555" s="100"/>
      <c r="R555" s="110"/>
      <c r="S555" s="111"/>
      <c r="T555" s="104"/>
      <c r="U555" s="102"/>
      <c r="V555" s="103"/>
    </row>
    <row r="556" spans="10:22" ht="15" customHeight="1" x14ac:dyDescent="0.35">
      <c r="J556" s="100"/>
      <c r="K556" s="99"/>
      <c r="N556" s="100"/>
      <c r="Q556" s="100"/>
      <c r="R556" s="110"/>
      <c r="S556" s="111"/>
      <c r="T556" s="104"/>
      <c r="U556" s="102"/>
      <c r="V556" s="103"/>
    </row>
    <row r="557" spans="10:22" ht="15" customHeight="1" x14ac:dyDescent="0.35">
      <c r="J557" s="100"/>
      <c r="K557" s="99"/>
      <c r="N557" s="100"/>
      <c r="Q557" s="100"/>
      <c r="R557" s="110"/>
      <c r="S557" s="111"/>
      <c r="T557" s="104"/>
      <c r="U557" s="102"/>
      <c r="V557" s="103"/>
    </row>
    <row r="558" spans="10:22" ht="15" customHeight="1" x14ac:dyDescent="0.35">
      <c r="J558" s="100"/>
      <c r="K558" s="99"/>
      <c r="N558" s="100"/>
      <c r="Q558" s="100"/>
      <c r="R558" s="110"/>
      <c r="S558" s="111"/>
      <c r="T558" s="104"/>
      <c r="U558" s="102"/>
      <c r="V558" s="103"/>
    </row>
    <row r="559" spans="10:22" ht="15" customHeight="1" x14ac:dyDescent="0.35">
      <c r="J559" s="100"/>
      <c r="K559" s="99"/>
      <c r="N559" s="100"/>
      <c r="Q559" s="100"/>
      <c r="R559" s="110"/>
      <c r="S559" s="111"/>
      <c r="T559" s="104"/>
      <c r="U559" s="102"/>
      <c r="V559" s="103"/>
    </row>
    <row r="560" spans="10:22" ht="15" customHeight="1" x14ac:dyDescent="0.35">
      <c r="J560" s="100"/>
      <c r="K560" s="99"/>
      <c r="N560" s="100"/>
      <c r="Q560" s="100"/>
      <c r="R560" s="110"/>
      <c r="S560" s="111"/>
      <c r="T560" s="104"/>
      <c r="U560" s="102"/>
      <c r="V560" s="103"/>
    </row>
    <row r="561" spans="10:22" ht="15" customHeight="1" x14ac:dyDescent="0.35">
      <c r="J561" s="100"/>
      <c r="K561" s="99"/>
      <c r="N561" s="100"/>
      <c r="Q561" s="100"/>
      <c r="R561" s="110"/>
      <c r="S561" s="111"/>
      <c r="T561" s="104"/>
      <c r="U561" s="102"/>
      <c r="V561" s="103"/>
    </row>
    <row r="562" spans="10:22" ht="15" customHeight="1" x14ac:dyDescent="0.35">
      <c r="J562" s="100"/>
      <c r="K562" s="99"/>
      <c r="N562" s="100"/>
      <c r="Q562" s="100"/>
      <c r="R562" s="110"/>
      <c r="S562" s="111"/>
      <c r="T562" s="104"/>
      <c r="U562" s="102"/>
      <c r="V562" s="103"/>
    </row>
    <row r="563" spans="10:22" ht="15" customHeight="1" x14ac:dyDescent="0.35">
      <c r="J563" s="100"/>
      <c r="K563" s="99"/>
      <c r="N563" s="100"/>
      <c r="Q563" s="100"/>
      <c r="R563" s="110"/>
      <c r="S563" s="111"/>
      <c r="T563" s="104"/>
      <c r="U563" s="102"/>
      <c r="V563" s="103"/>
    </row>
    <row r="564" spans="10:22" ht="15" customHeight="1" x14ac:dyDescent="0.35">
      <c r="J564" s="100"/>
      <c r="K564" s="99"/>
      <c r="N564" s="100"/>
      <c r="Q564" s="100"/>
      <c r="R564" s="110"/>
      <c r="S564" s="111"/>
      <c r="T564" s="104"/>
      <c r="U564" s="102"/>
      <c r="V564" s="103"/>
    </row>
    <row r="565" spans="10:22" ht="15" customHeight="1" x14ac:dyDescent="0.35">
      <c r="J565" s="100"/>
      <c r="K565" s="99"/>
      <c r="N565" s="100"/>
      <c r="Q565" s="100"/>
      <c r="R565" s="110"/>
      <c r="S565" s="111"/>
      <c r="T565" s="104"/>
      <c r="U565" s="102"/>
      <c r="V565" s="103"/>
    </row>
    <row r="566" spans="10:22" ht="15" customHeight="1" x14ac:dyDescent="0.35">
      <c r="J566" s="100"/>
      <c r="K566" s="99"/>
      <c r="N566" s="100"/>
      <c r="Q566" s="100"/>
      <c r="R566" s="110"/>
      <c r="S566" s="111"/>
      <c r="T566" s="104"/>
      <c r="U566" s="102"/>
      <c r="V566" s="103"/>
    </row>
    <row r="567" spans="10:22" ht="15" customHeight="1" x14ac:dyDescent="0.35">
      <c r="J567" s="100"/>
      <c r="K567" s="99"/>
      <c r="N567" s="100"/>
      <c r="Q567" s="100"/>
      <c r="R567" s="110"/>
      <c r="S567" s="111"/>
      <c r="T567" s="104"/>
      <c r="U567" s="102"/>
      <c r="V567" s="103"/>
    </row>
    <row r="568" spans="10:22" ht="15" customHeight="1" x14ac:dyDescent="0.35">
      <c r="J568" s="100"/>
      <c r="K568" s="99"/>
      <c r="N568" s="100"/>
      <c r="Q568" s="100"/>
      <c r="R568" s="110"/>
      <c r="S568" s="111"/>
      <c r="T568" s="104"/>
      <c r="U568" s="102"/>
      <c r="V568" s="103"/>
    </row>
    <row r="569" spans="10:22" ht="15" customHeight="1" x14ac:dyDescent="0.35">
      <c r="J569" s="100"/>
      <c r="K569" s="99"/>
      <c r="N569" s="100"/>
      <c r="Q569" s="100"/>
      <c r="R569" s="110"/>
      <c r="S569" s="111"/>
      <c r="T569" s="104"/>
      <c r="U569" s="102"/>
      <c r="V569" s="103"/>
    </row>
    <row r="570" spans="10:22" ht="15" customHeight="1" x14ac:dyDescent="0.35">
      <c r="J570" s="100"/>
      <c r="K570" s="99"/>
      <c r="N570" s="100"/>
      <c r="Q570" s="100"/>
      <c r="R570" s="110"/>
      <c r="S570" s="111"/>
      <c r="T570" s="104"/>
      <c r="U570" s="102"/>
      <c r="V570" s="103"/>
    </row>
    <row r="571" spans="10:22" ht="15" customHeight="1" x14ac:dyDescent="0.35">
      <c r="J571" s="100"/>
      <c r="K571" s="99"/>
      <c r="N571" s="100"/>
      <c r="Q571" s="100"/>
      <c r="R571" s="110"/>
      <c r="S571" s="111"/>
      <c r="T571" s="104"/>
      <c r="U571" s="102"/>
      <c r="V571" s="103"/>
    </row>
    <row r="572" spans="10:22" ht="15" customHeight="1" x14ac:dyDescent="0.35">
      <c r="J572" s="100"/>
      <c r="K572" s="99"/>
      <c r="N572" s="100"/>
      <c r="Q572" s="100"/>
      <c r="R572" s="110"/>
      <c r="S572" s="111"/>
      <c r="T572" s="104"/>
      <c r="U572" s="102"/>
      <c r="V572" s="103"/>
    </row>
    <row r="573" spans="10:22" ht="15" customHeight="1" x14ac:dyDescent="0.35">
      <c r="J573" s="100"/>
      <c r="K573" s="99"/>
      <c r="N573" s="100"/>
      <c r="Q573" s="100"/>
      <c r="R573" s="110"/>
      <c r="S573" s="111"/>
      <c r="T573" s="104"/>
      <c r="U573" s="102"/>
      <c r="V573" s="103"/>
    </row>
    <row r="574" spans="10:22" ht="15" customHeight="1" x14ac:dyDescent="0.35">
      <c r="J574" s="100"/>
      <c r="K574" s="99"/>
      <c r="N574" s="100"/>
      <c r="Q574" s="100"/>
      <c r="R574" s="110"/>
      <c r="S574" s="111"/>
      <c r="T574" s="104"/>
      <c r="U574" s="102"/>
      <c r="V574" s="103"/>
    </row>
    <row r="575" spans="10:22" ht="15" customHeight="1" x14ac:dyDescent="0.35">
      <c r="J575" s="100"/>
      <c r="K575" s="99"/>
      <c r="N575" s="100"/>
      <c r="Q575" s="100"/>
      <c r="R575" s="110"/>
      <c r="S575" s="111"/>
      <c r="T575" s="104"/>
      <c r="U575" s="102"/>
      <c r="V575" s="103"/>
    </row>
    <row r="576" spans="10:22" ht="15" customHeight="1" x14ac:dyDescent="0.35">
      <c r="J576" s="100"/>
      <c r="K576" s="99"/>
      <c r="N576" s="100"/>
      <c r="Q576" s="100"/>
      <c r="R576" s="110"/>
      <c r="S576" s="111"/>
      <c r="T576" s="104"/>
      <c r="U576" s="102"/>
      <c r="V576" s="103"/>
    </row>
    <row r="577" spans="10:22" ht="15" customHeight="1" x14ac:dyDescent="0.35">
      <c r="J577" s="100"/>
      <c r="K577" s="99"/>
      <c r="N577" s="100"/>
      <c r="Q577" s="100"/>
      <c r="R577" s="110"/>
      <c r="S577" s="111"/>
      <c r="T577" s="104"/>
      <c r="U577" s="102"/>
      <c r="V577" s="103"/>
    </row>
    <row r="578" spans="10:22" ht="15" customHeight="1" x14ac:dyDescent="0.35">
      <c r="J578" s="100"/>
      <c r="K578" s="99"/>
      <c r="N578" s="100"/>
      <c r="Q578" s="100"/>
      <c r="R578" s="110"/>
      <c r="S578" s="111"/>
      <c r="T578" s="104"/>
      <c r="U578" s="102"/>
      <c r="V578" s="103"/>
    </row>
    <row r="579" spans="10:22" ht="15" customHeight="1" x14ac:dyDescent="0.35">
      <c r="J579" s="100"/>
      <c r="K579" s="99"/>
      <c r="N579" s="100"/>
      <c r="Q579" s="100"/>
      <c r="R579" s="110"/>
      <c r="S579" s="111"/>
      <c r="T579" s="104"/>
      <c r="U579" s="102"/>
      <c r="V579" s="103"/>
    </row>
    <row r="580" spans="10:22" ht="15" customHeight="1" x14ac:dyDescent="0.35">
      <c r="J580" s="100"/>
      <c r="K580" s="99"/>
      <c r="N580" s="100"/>
      <c r="Q580" s="100"/>
      <c r="R580" s="110"/>
      <c r="S580" s="111"/>
      <c r="T580" s="104"/>
      <c r="U580" s="102"/>
      <c r="V580" s="103"/>
    </row>
    <row r="581" spans="10:22" ht="15" customHeight="1" x14ac:dyDescent="0.35">
      <c r="J581" s="100"/>
      <c r="K581" s="99"/>
      <c r="N581" s="100"/>
      <c r="Q581" s="100"/>
      <c r="R581" s="110"/>
      <c r="S581" s="111"/>
      <c r="T581" s="104"/>
      <c r="U581" s="102"/>
      <c r="V581" s="103"/>
    </row>
    <row r="582" spans="10:22" ht="15" customHeight="1" x14ac:dyDescent="0.35">
      <c r="J582" s="100"/>
      <c r="K582" s="99"/>
      <c r="N582" s="100"/>
      <c r="Q582" s="100"/>
      <c r="R582" s="110"/>
      <c r="S582" s="111"/>
      <c r="T582" s="104"/>
      <c r="U582" s="102"/>
      <c r="V582" s="103"/>
    </row>
    <row r="583" spans="10:22" ht="15" customHeight="1" x14ac:dyDescent="0.35">
      <c r="J583" s="100"/>
      <c r="K583" s="99"/>
      <c r="N583" s="100"/>
      <c r="Q583" s="100"/>
      <c r="R583" s="110"/>
      <c r="S583" s="111"/>
      <c r="T583" s="104"/>
      <c r="U583" s="102"/>
      <c r="V583" s="103"/>
    </row>
    <row r="584" spans="10:22" ht="15" customHeight="1" x14ac:dyDescent="0.35">
      <c r="J584" s="100"/>
      <c r="K584" s="99"/>
      <c r="N584" s="100"/>
      <c r="Q584" s="100"/>
      <c r="R584" s="110"/>
      <c r="S584" s="111"/>
      <c r="T584" s="104"/>
      <c r="U584" s="102"/>
      <c r="V584" s="103"/>
    </row>
    <row r="585" spans="10:22" ht="15" customHeight="1" x14ac:dyDescent="0.35">
      <c r="J585" s="100"/>
      <c r="K585" s="99"/>
      <c r="N585" s="100"/>
      <c r="Q585" s="100"/>
      <c r="R585" s="110"/>
      <c r="S585" s="111"/>
      <c r="T585" s="104"/>
      <c r="U585" s="102"/>
      <c r="V585" s="103"/>
    </row>
    <row r="586" spans="10:22" ht="15" customHeight="1" x14ac:dyDescent="0.35">
      <c r="J586" s="100"/>
      <c r="K586" s="99"/>
      <c r="N586" s="100"/>
      <c r="Q586" s="100"/>
      <c r="R586" s="110"/>
      <c r="S586" s="111"/>
      <c r="T586" s="104"/>
      <c r="U586" s="102"/>
      <c r="V586" s="103"/>
    </row>
    <row r="587" spans="10:22" ht="15" customHeight="1" x14ac:dyDescent="0.35">
      <c r="J587" s="100"/>
      <c r="K587" s="99"/>
      <c r="N587" s="100"/>
      <c r="Q587" s="100"/>
      <c r="R587" s="110"/>
      <c r="S587" s="111"/>
      <c r="T587" s="104"/>
      <c r="U587" s="102"/>
      <c r="V587" s="103"/>
    </row>
    <row r="588" spans="10:22" ht="15" customHeight="1" x14ac:dyDescent="0.35">
      <c r="J588" s="100"/>
      <c r="K588" s="99"/>
      <c r="N588" s="100"/>
      <c r="Q588" s="100"/>
      <c r="R588" s="110"/>
      <c r="S588" s="111"/>
      <c r="T588" s="104"/>
      <c r="U588" s="102"/>
      <c r="V588" s="103"/>
    </row>
    <row r="589" spans="10:22" ht="15" customHeight="1" x14ac:dyDescent="0.35">
      <c r="J589" s="100"/>
      <c r="K589" s="99"/>
      <c r="N589" s="100"/>
      <c r="Q589" s="100"/>
      <c r="R589" s="110"/>
      <c r="S589" s="111"/>
      <c r="T589" s="104"/>
      <c r="U589" s="102"/>
      <c r="V589" s="103"/>
    </row>
    <row r="590" spans="10:22" ht="15" customHeight="1" x14ac:dyDescent="0.35">
      <c r="J590" s="100"/>
      <c r="K590" s="99"/>
      <c r="N590" s="100"/>
      <c r="Q590" s="100"/>
      <c r="R590" s="110"/>
      <c r="S590" s="111"/>
      <c r="T590" s="104"/>
      <c r="U590" s="102"/>
      <c r="V590" s="103"/>
    </row>
    <row r="591" spans="10:22" ht="15" customHeight="1" x14ac:dyDescent="0.35">
      <c r="J591" s="100"/>
      <c r="K591" s="99"/>
      <c r="N591" s="100"/>
      <c r="Q591" s="100"/>
      <c r="R591" s="110"/>
      <c r="S591" s="111"/>
      <c r="T591" s="104"/>
      <c r="U591" s="102"/>
      <c r="V591" s="103"/>
    </row>
    <row r="592" spans="10:22" ht="15" customHeight="1" x14ac:dyDescent="0.35">
      <c r="J592" s="100"/>
      <c r="K592" s="99"/>
      <c r="N592" s="100"/>
      <c r="Q592" s="100"/>
      <c r="R592" s="110"/>
      <c r="S592" s="111"/>
      <c r="T592" s="104"/>
      <c r="U592" s="102"/>
      <c r="V592" s="103"/>
    </row>
    <row r="593" spans="10:22" ht="15" customHeight="1" x14ac:dyDescent="0.35">
      <c r="J593" s="100"/>
      <c r="K593" s="99"/>
      <c r="N593" s="100"/>
      <c r="Q593" s="100"/>
      <c r="R593" s="110"/>
      <c r="S593" s="111"/>
      <c r="T593" s="104"/>
      <c r="U593" s="102"/>
      <c r="V593" s="103"/>
    </row>
    <row r="594" spans="10:22" ht="15" customHeight="1" x14ac:dyDescent="0.35">
      <c r="J594" s="100"/>
      <c r="K594" s="99"/>
      <c r="N594" s="100"/>
      <c r="Q594" s="100"/>
      <c r="R594" s="110"/>
      <c r="S594" s="111"/>
      <c r="T594" s="104"/>
      <c r="U594" s="102"/>
      <c r="V594" s="103"/>
    </row>
    <row r="595" spans="10:22" ht="15" customHeight="1" x14ac:dyDescent="0.35">
      <c r="J595" s="100"/>
      <c r="K595" s="99"/>
      <c r="N595" s="100"/>
      <c r="Q595" s="100"/>
      <c r="R595" s="110"/>
      <c r="S595" s="111"/>
      <c r="T595" s="104"/>
      <c r="U595" s="102"/>
      <c r="V595" s="103"/>
    </row>
    <row r="596" spans="10:22" ht="15" customHeight="1" x14ac:dyDescent="0.35">
      <c r="J596" s="100"/>
      <c r="K596" s="99"/>
      <c r="N596" s="100"/>
      <c r="Q596" s="100"/>
      <c r="R596" s="110"/>
      <c r="S596" s="111"/>
      <c r="T596" s="104"/>
      <c r="U596" s="102"/>
      <c r="V596" s="103"/>
    </row>
    <row r="597" spans="10:22" ht="15" customHeight="1" x14ac:dyDescent="0.35">
      <c r="J597" s="100"/>
      <c r="K597" s="99"/>
      <c r="N597" s="100"/>
      <c r="Q597" s="100"/>
      <c r="R597" s="110"/>
      <c r="S597" s="111"/>
      <c r="T597" s="104"/>
      <c r="U597" s="102"/>
      <c r="V597" s="103"/>
    </row>
    <row r="598" spans="10:22" ht="15" customHeight="1" x14ac:dyDescent="0.35">
      <c r="J598" s="100"/>
      <c r="K598" s="99"/>
      <c r="N598" s="100"/>
      <c r="Q598" s="100"/>
      <c r="R598" s="110"/>
      <c r="S598" s="111"/>
      <c r="T598" s="104"/>
      <c r="U598" s="102"/>
      <c r="V598" s="103"/>
    </row>
    <row r="599" spans="10:22" ht="15" customHeight="1" x14ac:dyDescent="0.35">
      <c r="J599" s="100"/>
      <c r="K599" s="99"/>
      <c r="N599" s="100"/>
      <c r="Q599" s="100"/>
      <c r="R599" s="110"/>
      <c r="S599" s="111"/>
      <c r="T599" s="104"/>
      <c r="U599" s="102"/>
      <c r="V599" s="103"/>
    </row>
    <row r="600" spans="10:22" ht="15" customHeight="1" x14ac:dyDescent="0.35">
      <c r="J600" s="100"/>
      <c r="K600" s="99"/>
      <c r="N600" s="100"/>
      <c r="Q600" s="100"/>
      <c r="R600" s="110"/>
      <c r="S600" s="111"/>
      <c r="T600" s="104"/>
      <c r="U600" s="102"/>
      <c r="V600" s="103"/>
    </row>
    <row r="601" spans="10:22" ht="15" customHeight="1" x14ac:dyDescent="0.35">
      <c r="J601" s="100"/>
      <c r="K601" s="99"/>
      <c r="N601" s="100"/>
      <c r="Q601" s="100"/>
      <c r="R601" s="110"/>
      <c r="S601" s="111"/>
      <c r="T601" s="104"/>
      <c r="U601" s="102"/>
      <c r="V601" s="103"/>
    </row>
    <row r="602" spans="10:22" ht="15" customHeight="1" x14ac:dyDescent="0.35">
      <c r="J602" s="100"/>
      <c r="K602" s="99"/>
      <c r="N602" s="100"/>
      <c r="Q602" s="100"/>
      <c r="R602" s="110"/>
      <c r="S602" s="111"/>
      <c r="T602" s="104"/>
      <c r="U602" s="102"/>
      <c r="V602" s="103"/>
    </row>
    <row r="603" spans="10:22" ht="15" customHeight="1" x14ac:dyDescent="0.35">
      <c r="J603" s="100"/>
      <c r="K603" s="99"/>
      <c r="N603" s="100"/>
      <c r="Q603" s="100"/>
      <c r="R603" s="110"/>
      <c r="S603" s="111"/>
      <c r="T603" s="104"/>
      <c r="U603" s="102"/>
      <c r="V603" s="103"/>
    </row>
    <row r="604" spans="10:22" ht="15" customHeight="1" x14ac:dyDescent="0.35">
      <c r="J604" s="100"/>
      <c r="K604" s="99"/>
      <c r="N604" s="100"/>
      <c r="Q604" s="100"/>
      <c r="R604" s="110"/>
      <c r="S604" s="111"/>
      <c r="T604" s="104"/>
      <c r="U604" s="102"/>
      <c r="V604" s="103"/>
    </row>
    <row r="605" spans="10:22" ht="15" customHeight="1" x14ac:dyDescent="0.35">
      <c r="J605" s="100"/>
      <c r="K605" s="99"/>
      <c r="N605" s="100"/>
      <c r="Q605" s="100"/>
      <c r="R605" s="110"/>
      <c r="S605" s="111"/>
      <c r="T605" s="104"/>
      <c r="U605" s="102"/>
      <c r="V605" s="103"/>
    </row>
    <row r="606" spans="10:22" ht="15" customHeight="1" x14ac:dyDescent="0.35">
      <c r="J606" s="100"/>
      <c r="K606" s="99"/>
      <c r="N606" s="100"/>
      <c r="Q606" s="100"/>
      <c r="R606" s="110"/>
      <c r="S606" s="111"/>
      <c r="T606" s="104"/>
      <c r="U606" s="102"/>
      <c r="V606" s="103"/>
    </row>
    <row r="607" spans="10:22" ht="15" customHeight="1" x14ac:dyDescent="0.35">
      <c r="J607" s="100"/>
      <c r="K607" s="99"/>
      <c r="N607" s="100"/>
      <c r="Q607" s="100"/>
      <c r="R607" s="110"/>
      <c r="S607" s="111"/>
      <c r="T607" s="104"/>
      <c r="U607" s="102"/>
      <c r="V607" s="103"/>
    </row>
    <row r="608" spans="10:22" ht="15" customHeight="1" x14ac:dyDescent="0.35">
      <c r="J608" s="100"/>
      <c r="K608" s="99"/>
      <c r="N608" s="100"/>
      <c r="Q608" s="100"/>
      <c r="R608" s="110"/>
      <c r="S608" s="111"/>
      <c r="T608" s="104"/>
      <c r="U608" s="102"/>
      <c r="V608" s="103"/>
    </row>
    <row r="609" spans="10:22" ht="15" customHeight="1" x14ac:dyDescent="0.35">
      <c r="J609" s="100"/>
      <c r="K609" s="99"/>
      <c r="N609" s="100"/>
      <c r="Q609" s="100"/>
      <c r="R609" s="110"/>
      <c r="S609" s="111"/>
      <c r="T609" s="104"/>
      <c r="U609" s="102"/>
      <c r="V609" s="103"/>
    </row>
    <row r="610" spans="10:22" ht="15" customHeight="1" x14ac:dyDescent="0.35">
      <c r="J610" s="100"/>
      <c r="K610" s="99"/>
      <c r="N610" s="100"/>
      <c r="Q610" s="100"/>
      <c r="R610" s="110"/>
      <c r="S610" s="111"/>
      <c r="T610" s="104"/>
      <c r="U610" s="102"/>
      <c r="V610" s="103"/>
    </row>
    <row r="611" spans="10:22" ht="15" customHeight="1" x14ac:dyDescent="0.35">
      <c r="J611" s="100"/>
      <c r="K611" s="99"/>
      <c r="N611" s="100"/>
      <c r="Q611" s="100"/>
      <c r="R611" s="110"/>
      <c r="S611" s="111"/>
      <c r="T611" s="104"/>
      <c r="U611" s="102"/>
      <c r="V611" s="103"/>
    </row>
    <row r="612" spans="10:22" ht="15" customHeight="1" x14ac:dyDescent="0.35">
      <c r="J612" s="100"/>
      <c r="K612" s="99"/>
      <c r="N612" s="100"/>
      <c r="Q612" s="100"/>
      <c r="R612" s="110"/>
      <c r="S612" s="111"/>
      <c r="T612" s="104"/>
      <c r="U612" s="102"/>
      <c r="V612" s="103"/>
    </row>
    <row r="613" spans="10:22" ht="15" customHeight="1" x14ac:dyDescent="0.35">
      <c r="J613" s="100"/>
      <c r="K613" s="99"/>
      <c r="N613" s="100"/>
      <c r="Q613" s="100"/>
      <c r="R613" s="110"/>
      <c r="S613" s="111"/>
      <c r="T613" s="104"/>
      <c r="U613" s="102"/>
      <c r="V613" s="103"/>
    </row>
    <row r="614" spans="10:22" ht="15" customHeight="1" x14ac:dyDescent="0.35">
      <c r="J614" s="100"/>
      <c r="K614" s="99"/>
      <c r="N614" s="100"/>
      <c r="Q614" s="100"/>
      <c r="R614" s="110"/>
      <c r="S614" s="111"/>
      <c r="T614" s="104"/>
      <c r="U614" s="102"/>
      <c r="V614" s="103"/>
    </row>
    <row r="615" spans="10:22" ht="15" customHeight="1" x14ac:dyDescent="0.35">
      <c r="J615" s="100"/>
      <c r="K615" s="99"/>
      <c r="N615" s="100"/>
      <c r="Q615" s="100"/>
      <c r="R615" s="110"/>
      <c r="S615" s="111"/>
      <c r="T615" s="104"/>
      <c r="U615" s="102"/>
      <c r="V615" s="103"/>
    </row>
    <row r="616" spans="10:22" ht="15" customHeight="1" x14ac:dyDescent="0.35">
      <c r="J616" s="100"/>
      <c r="K616" s="99"/>
      <c r="N616" s="100"/>
      <c r="Q616" s="100"/>
      <c r="R616" s="110"/>
      <c r="S616" s="111"/>
      <c r="T616" s="104"/>
      <c r="U616" s="102"/>
      <c r="V616" s="103"/>
    </row>
    <row r="617" spans="10:22" ht="15" customHeight="1" x14ac:dyDescent="0.35">
      <c r="J617" s="100"/>
      <c r="K617" s="99"/>
      <c r="N617" s="100"/>
      <c r="Q617" s="100"/>
      <c r="R617" s="110"/>
      <c r="S617" s="111"/>
      <c r="T617" s="104"/>
      <c r="U617" s="102"/>
      <c r="V617" s="103"/>
    </row>
    <row r="618" spans="10:22" ht="15" customHeight="1" x14ac:dyDescent="0.35">
      <c r="J618" s="100"/>
      <c r="K618" s="99"/>
      <c r="N618" s="100"/>
      <c r="Q618" s="100"/>
      <c r="R618" s="110"/>
      <c r="S618" s="111"/>
      <c r="T618" s="104"/>
      <c r="U618" s="102"/>
      <c r="V618" s="103"/>
    </row>
    <row r="619" spans="10:22" ht="15" customHeight="1" x14ac:dyDescent="0.35">
      <c r="J619" s="100"/>
      <c r="K619" s="99"/>
      <c r="N619" s="100"/>
      <c r="Q619" s="100"/>
      <c r="R619" s="110"/>
      <c r="S619" s="111"/>
      <c r="T619" s="104"/>
      <c r="U619" s="102"/>
      <c r="V619" s="103"/>
    </row>
    <row r="620" spans="10:22" ht="15" customHeight="1" x14ac:dyDescent="0.35">
      <c r="J620" s="100"/>
      <c r="K620" s="99"/>
      <c r="N620" s="100"/>
      <c r="Q620" s="100"/>
      <c r="R620" s="110"/>
      <c r="S620" s="111"/>
      <c r="T620" s="104"/>
      <c r="U620" s="102"/>
      <c r="V620" s="103"/>
    </row>
    <row r="621" spans="10:22" ht="15" customHeight="1" x14ac:dyDescent="0.35">
      <c r="J621" s="100"/>
      <c r="K621" s="99"/>
      <c r="N621" s="100"/>
      <c r="Q621" s="100"/>
      <c r="R621" s="110"/>
      <c r="S621" s="111"/>
      <c r="T621" s="104"/>
      <c r="U621" s="102"/>
      <c r="V621" s="103"/>
    </row>
    <row r="622" spans="10:22" ht="15" customHeight="1" x14ac:dyDescent="0.35">
      <c r="J622" s="100"/>
      <c r="K622" s="99"/>
      <c r="N622" s="100"/>
      <c r="Q622" s="100"/>
      <c r="R622" s="110"/>
      <c r="S622" s="111"/>
      <c r="T622" s="104"/>
      <c r="U622" s="102"/>
      <c r="V622" s="103"/>
    </row>
    <row r="623" spans="10:22" ht="15" customHeight="1" x14ac:dyDescent="0.35">
      <c r="J623" s="100"/>
      <c r="K623" s="99"/>
      <c r="N623" s="100"/>
      <c r="Q623" s="100"/>
      <c r="R623" s="110"/>
      <c r="S623" s="111"/>
      <c r="T623" s="104"/>
      <c r="U623" s="102"/>
      <c r="V623" s="103"/>
    </row>
    <row r="624" spans="10:22" ht="15" customHeight="1" x14ac:dyDescent="0.35">
      <c r="J624" s="100"/>
      <c r="K624" s="99"/>
      <c r="N624" s="100"/>
      <c r="Q624" s="100"/>
      <c r="R624" s="110"/>
      <c r="S624" s="111"/>
      <c r="T624" s="104"/>
      <c r="U624" s="102"/>
      <c r="V624" s="103"/>
    </row>
    <row r="625" spans="1:22" ht="15" customHeight="1" x14ac:dyDescent="0.35">
      <c r="J625" s="100"/>
      <c r="K625" s="99"/>
      <c r="N625" s="100"/>
      <c r="Q625" s="100"/>
      <c r="R625" s="110"/>
      <c r="S625" s="111"/>
      <c r="T625" s="104"/>
      <c r="U625" s="102"/>
      <c r="V625" s="103"/>
    </row>
    <row r="626" spans="1:22" ht="15" customHeight="1" x14ac:dyDescent="0.35">
      <c r="J626" s="100"/>
      <c r="K626" s="99"/>
      <c r="N626" s="100"/>
      <c r="Q626" s="100"/>
      <c r="R626" s="110"/>
      <c r="S626" s="111"/>
      <c r="T626" s="104"/>
      <c r="U626" s="102"/>
      <c r="V626" s="103"/>
    </row>
    <row r="627" spans="1:22" ht="15" customHeight="1" x14ac:dyDescent="0.35">
      <c r="J627" s="100"/>
      <c r="K627" s="99"/>
      <c r="N627" s="100"/>
      <c r="Q627" s="100"/>
      <c r="R627" s="110"/>
      <c r="S627" s="111"/>
      <c r="T627" s="104"/>
      <c r="U627" s="102"/>
      <c r="V627" s="103"/>
    </row>
    <row r="628" spans="1:22" ht="15" customHeight="1" x14ac:dyDescent="0.35">
      <c r="J628" s="100"/>
      <c r="K628" s="99"/>
      <c r="N628" s="100"/>
      <c r="Q628" s="100"/>
      <c r="R628" s="110"/>
      <c r="S628" s="111"/>
      <c r="T628" s="104"/>
      <c r="U628" s="102"/>
      <c r="V628" s="103"/>
    </row>
    <row r="629" spans="1:22" ht="15" customHeight="1" x14ac:dyDescent="0.35">
      <c r="J629" s="100"/>
      <c r="K629" s="99"/>
      <c r="N629" s="100"/>
      <c r="Q629" s="100"/>
      <c r="R629" s="110"/>
      <c r="S629" s="111"/>
      <c r="T629" s="104"/>
      <c r="U629" s="102"/>
      <c r="V629" s="103"/>
    </row>
    <row r="630" spans="1:22" ht="15" customHeight="1" x14ac:dyDescent="0.35">
      <c r="J630" s="100"/>
      <c r="K630" s="99"/>
      <c r="N630" s="100"/>
      <c r="Q630" s="100"/>
      <c r="R630" s="110"/>
      <c r="S630" s="111"/>
      <c r="T630" s="104"/>
      <c r="U630" s="102"/>
      <c r="V630" s="103"/>
    </row>
    <row r="631" spans="1:22" ht="15" customHeight="1" x14ac:dyDescent="0.35">
      <c r="J631" s="100"/>
      <c r="K631" s="99"/>
      <c r="N631" s="100"/>
      <c r="Q631" s="100"/>
      <c r="R631" s="110"/>
      <c r="S631" s="111"/>
      <c r="T631" s="104"/>
      <c r="U631" s="102"/>
      <c r="V631" s="103"/>
    </row>
    <row r="632" spans="1:22" ht="15" customHeight="1" x14ac:dyDescent="0.35">
      <c r="J632" s="100"/>
      <c r="K632" s="99"/>
      <c r="N632" s="100"/>
      <c r="Q632" s="100"/>
      <c r="R632" s="110"/>
      <c r="S632" s="111"/>
      <c r="T632" s="104"/>
      <c r="U632" s="102"/>
      <c r="V632" s="103"/>
    </row>
    <row r="633" spans="1:22" ht="15" customHeight="1" x14ac:dyDescent="0.35">
      <c r="J633" s="100"/>
      <c r="K633" s="99"/>
      <c r="N633" s="100"/>
      <c r="Q633" s="100"/>
      <c r="R633" s="110"/>
      <c r="S633" s="111"/>
      <c r="T633" s="104"/>
      <c r="U633" s="102"/>
      <c r="V633" s="103"/>
    </row>
    <row r="634" spans="1:22" ht="15" customHeight="1" x14ac:dyDescent="0.35">
      <c r="J634" s="100"/>
      <c r="K634" s="99"/>
      <c r="N634" s="100"/>
      <c r="Q634" s="100"/>
      <c r="R634" s="110"/>
      <c r="S634" s="111"/>
      <c r="T634" s="104"/>
      <c r="U634" s="102"/>
      <c r="V634" s="103"/>
    </row>
    <row r="635" spans="1:22" ht="15" customHeight="1" x14ac:dyDescent="0.35">
      <c r="J635" s="100"/>
      <c r="K635" s="99"/>
      <c r="N635" s="100"/>
      <c r="Q635" s="100"/>
      <c r="R635" s="110"/>
      <c r="S635" s="111"/>
      <c r="T635" s="104"/>
      <c r="U635" s="102"/>
      <c r="V635" s="103"/>
    </row>
    <row r="636" spans="1:22" ht="15" customHeight="1" x14ac:dyDescent="0.35">
      <c r="J636" s="100"/>
      <c r="K636" s="99"/>
      <c r="N636" s="100"/>
      <c r="Q636" s="100"/>
      <c r="R636" s="110"/>
      <c r="S636" s="111"/>
      <c r="T636" s="104"/>
      <c r="U636" s="102"/>
      <c r="V636" s="103"/>
    </row>
    <row r="637" spans="1:22" ht="15" customHeight="1" x14ac:dyDescent="0.35">
      <c r="A637" s="43"/>
      <c r="J637" s="100"/>
      <c r="K637" s="99"/>
      <c r="N637" s="100"/>
      <c r="Q637" s="100"/>
      <c r="R637" s="110"/>
      <c r="S637" s="111"/>
      <c r="T637" s="104"/>
      <c r="U637" s="102"/>
      <c r="V637" s="103"/>
    </row>
    <row r="638" spans="1:22" ht="15" customHeight="1" x14ac:dyDescent="0.35">
      <c r="A638" s="43"/>
      <c r="J638" s="100"/>
      <c r="K638" s="99"/>
      <c r="N638" s="100"/>
      <c r="Q638" s="100"/>
      <c r="R638" s="110"/>
      <c r="S638" s="111"/>
      <c r="T638" s="104"/>
      <c r="U638" s="102"/>
      <c r="V638" s="103"/>
    </row>
    <row r="639" spans="1:22" ht="15" customHeight="1" x14ac:dyDescent="0.35">
      <c r="A639" s="43"/>
      <c r="J639" s="100"/>
      <c r="K639" s="99"/>
      <c r="N639" s="100"/>
      <c r="Q639" s="100"/>
      <c r="R639" s="110"/>
      <c r="S639" s="111"/>
      <c r="T639" s="104"/>
      <c r="U639" s="102"/>
      <c r="V639" s="103"/>
    </row>
    <row r="640" spans="1:22" ht="15" customHeight="1" x14ac:dyDescent="0.35">
      <c r="A640" s="43"/>
      <c r="J640" s="100"/>
      <c r="K640" s="99"/>
      <c r="N640" s="100"/>
      <c r="Q640" s="100"/>
      <c r="R640" s="110"/>
      <c r="S640" s="111"/>
      <c r="T640" s="104"/>
      <c r="U640" s="102"/>
      <c r="V640" s="103"/>
    </row>
    <row r="641" spans="1:22" ht="15" customHeight="1" x14ac:dyDescent="0.35">
      <c r="A641" s="43"/>
      <c r="J641" s="100"/>
      <c r="K641" s="99"/>
      <c r="N641" s="100"/>
      <c r="Q641" s="100"/>
      <c r="R641" s="110"/>
      <c r="S641" s="111"/>
      <c r="T641" s="104"/>
      <c r="U641" s="102"/>
      <c r="V641" s="103"/>
    </row>
    <row r="642" spans="1:22" ht="15" customHeight="1" x14ac:dyDescent="0.35">
      <c r="A642" s="43"/>
      <c r="J642" s="100"/>
      <c r="K642" s="99"/>
      <c r="N642" s="100"/>
      <c r="Q642" s="100"/>
      <c r="R642" s="110"/>
      <c r="S642" s="111"/>
      <c r="T642" s="104"/>
      <c r="U642" s="102"/>
      <c r="V642" s="103"/>
    </row>
    <row r="643" spans="1:22" ht="15" customHeight="1" x14ac:dyDescent="0.35">
      <c r="A643" s="43"/>
      <c r="J643" s="100"/>
      <c r="K643" s="99"/>
      <c r="N643" s="100"/>
      <c r="Q643" s="100"/>
      <c r="R643" s="110"/>
      <c r="S643" s="111"/>
      <c r="T643" s="104"/>
      <c r="U643" s="102"/>
      <c r="V643" s="103"/>
    </row>
    <row r="644" spans="1:22" ht="15" customHeight="1" x14ac:dyDescent="0.35">
      <c r="A644" s="43"/>
      <c r="J644" s="100"/>
      <c r="K644" s="99"/>
      <c r="N644" s="100"/>
      <c r="Q644" s="100"/>
      <c r="R644" s="110"/>
      <c r="S644" s="111"/>
      <c r="T644" s="104"/>
      <c r="U644" s="102"/>
      <c r="V644" s="103"/>
    </row>
    <row r="645" spans="1:22" ht="15" customHeight="1" x14ac:dyDescent="0.35">
      <c r="A645" s="43"/>
      <c r="J645" s="100"/>
      <c r="K645" s="99"/>
      <c r="N645" s="100"/>
      <c r="Q645" s="100"/>
      <c r="R645" s="110"/>
      <c r="S645" s="111"/>
      <c r="T645" s="104"/>
      <c r="U645" s="102"/>
      <c r="V645" s="103"/>
    </row>
    <row r="646" spans="1:22" ht="15" customHeight="1" x14ac:dyDescent="0.35">
      <c r="A646" s="43"/>
      <c r="J646" s="100"/>
      <c r="K646" s="99"/>
      <c r="N646" s="100"/>
      <c r="Q646" s="100"/>
      <c r="R646" s="110"/>
      <c r="S646" s="111"/>
      <c r="T646" s="104"/>
      <c r="U646" s="102"/>
      <c r="V646" s="103"/>
    </row>
    <row r="647" spans="1:22" ht="15" customHeight="1" x14ac:dyDescent="0.35">
      <c r="A647" s="43"/>
      <c r="J647" s="100"/>
      <c r="K647" s="99"/>
      <c r="N647" s="100"/>
      <c r="Q647" s="100"/>
      <c r="R647" s="110"/>
      <c r="S647" s="111"/>
      <c r="T647" s="104"/>
      <c r="U647" s="102"/>
      <c r="V647" s="103"/>
    </row>
    <row r="648" spans="1:22" ht="15" customHeight="1" x14ac:dyDescent="0.35">
      <c r="A648" s="43"/>
      <c r="J648" s="100"/>
      <c r="K648" s="99"/>
      <c r="N648" s="100"/>
      <c r="Q648" s="100"/>
      <c r="R648" s="110"/>
      <c r="S648" s="111"/>
      <c r="T648" s="104"/>
      <c r="U648" s="102"/>
      <c r="V648" s="103"/>
    </row>
    <row r="649" spans="1:22" ht="15" customHeight="1" x14ac:dyDescent="0.35">
      <c r="A649" s="43"/>
      <c r="J649" s="100"/>
      <c r="K649" s="99"/>
      <c r="N649" s="100"/>
      <c r="Q649" s="100"/>
      <c r="R649" s="110"/>
      <c r="S649" s="111"/>
      <c r="T649" s="104"/>
      <c r="U649" s="102"/>
      <c r="V649" s="103"/>
    </row>
    <row r="650" spans="1:22" ht="15" customHeight="1" x14ac:dyDescent="0.35">
      <c r="J650" s="100"/>
      <c r="K650" s="99"/>
      <c r="N650" s="100"/>
      <c r="Q650" s="100"/>
      <c r="R650" s="110"/>
      <c r="S650" s="111"/>
      <c r="T650" s="104"/>
      <c r="U650" s="102"/>
      <c r="V650" s="103"/>
    </row>
    <row r="651" spans="1:22" ht="15" customHeight="1" x14ac:dyDescent="0.35">
      <c r="J651" s="100"/>
      <c r="K651" s="99"/>
      <c r="N651" s="100"/>
      <c r="Q651" s="100"/>
      <c r="R651" s="110"/>
      <c r="S651" s="111"/>
      <c r="T651" s="104"/>
      <c r="U651" s="102"/>
      <c r="V651" s="103"/>
    </row>
    <row r="652" spans="1:22" ht="15" customHeight="1" x14ac:dyDescent="0.35">
      <c r="J652" s="100"/>
      <c r="K652" s="99"/>
      <c r="N652" s="100"/>
      <c r="Q652" s="100"/>
      <c r="R652" s="110"/>
      <c r="S652" s="111"/>
      <c r="T652" s="104"/>
      <c r="U652" s="102"/>
      <c r="V652" s="103"/>
    </row>
    <row r="653" spans="1:22" ht="15" customHeight="1" x14ac:dyDescent="0.35">
      <c r="J653" s="100"/>
      <c r="K653" s="99"/>
      <c r="N653" s="100"/>
      <c r="Q653" s="100"/>
      <c r="R653" s="110"/>
      <c r="S653" s="111"/>
      <c r="T653" s="104"/>
      <c r="U653" s="102"/>
      <c r="V653" s="103"/>
    </row>
    <row r="654" spans="1:22" ht="15" customHeight="1" x14ac:dyDescent="0.35">
      <c r="J654" s="100"/>
      <c r="K654" s="99"/>
      <c r="N654" s="100"/>
      <c r="Q654" s="100"/>
      <c r="R654" s="110"/>
      <c r="S654" s="111"/>
      <c r="T654" s="104"/>
      <c r="U654" s="102"/>
      <c r="V654" s="103"/>
    </row>
    <row r="655" spans="1:22" ht="15" customHeight="1" x14ac:dyDescent="0.35">
      <c r="J655" s="100"/>
      <c r="K655" s="99"/>
      <c r="N655" s="100"/>
      <c r="Q655" s="100"/>
      <c r="R655" s="110"/>
      <c r="S655" s="111"/>
      <c r="T655" s="104"/>
      <c r="U655" s="102"/>
      <c r="V655" s="103"/>
    </row>
    <row r="656" spans="1:22" ht="15" customHeight="1" x14ac:dyDescent="0.35">
      <c r="J656" s="100"/>
      <c r="K656" s="99"/>
      <c r="N656" s="100"/>
      <c r="Q656" s="100"/>
      <c r="R656" s="110"/>
      <c r="S656" s="111"/>
      <c r="T656" s="104"/>
      <c r="U656" s="102"/>
      <c r="V656" s="103"/>
    </row>
    <row r="657" spans="10:22" ht="15" customHeight="1" x14ac:dyDescent="0.35">
      <c r="J657" s="100"/>
      <c r="K657" s="99"/>
      <c r="N657" s="100"/>
      <c r="Q657" s="100"/>
      <c r="R657" s="110"/>
      <c r="S657" s="111"/>
      <c r="T657" s="104"/>
      <c r="U657" s="102"/>
      <c r="V657" s="103"/>
    </row>
    <row r="658" spans="10:22" ht="15" customHeight="1" x14ac:dyDescent="0.35">
      <c r="J658" s="100"/>
      <c r="K658" s="99"/>
      <c r="N658" s="100"/>
      <c r="Q658" s="100"/>
      <c r="R658" s="110"/>
      <c r="S658" s="111"/>
      <c r="T658" s="104"/>
      <c r="U658" s="102"/>
      <c r="V658" s="103"/>
    </row>
    <row r="659" spans="10:22" ht="15" customHeight="1" x14ac:dyDescent="0.35">
      <c r="J659" s="100"/>
      <c r="K659" s="99"/>
      <c r="N659" s="100"/>
      <c r="Q659" s="100"/>
      <c r="R659" s="110"/>
      <c r="S659" s="111"/>
      <c r="T659" s="104"/>
      <c r="U659" s="102"/>
      <c r="V659" s="103"/>
    </row>
    <row r="660" spans="10:22" ht="15" customHeight="1" x14ac:dyDescent="0.35">
      <c r="J660" s="100"/>
      <c r="K660" s="99"/>
      <c r="N660" s="100"/>
      <c r="Q660" s="100"/>
      <c r="R660" s="110"/>
      <c r="S660" s="111"/>
      <c r="T660" s="104"/>
      <c r="U660" s="102"/>
      <c r="V660" s="103"/>
    </row>
    <row r="661" spans="10:22" ht="15" customHeight="1" x14ac:dyDescent="0.35">
      <c r="J661" s="100"/>
      <c r="K661" s="99"/>
      <c r="N661" s="100"/>
      <c r="Q661" s="100"/>
      <c r="R661" s="110"/>
      <c r="S661" s="111"/>
      <c r="T661" s="104"/>
      <c r="U661" s="102"/>
      <c r="V661" s="103"/>
    </row>
    <row r="662" spans="10:22" ht="15" customHeight="1" x14ac:dyDescent="0.35">
      <c r="J662" s="100"/>
      <c r="K662" s="99"/>
      <c r="N662" s="100"/>
      <c r="Q662" s="100"/>
      <c r="R662" s="110"/>
      <c r="S662" s="111"/>
      <c r="T662" s="104"/>
      <c r="U662" s="102"/>
      <c r="V662" s="103"/>
    </row>
    <row r="663" spans="10:22" ht="15" customHeight="1" x14ac:dyDescent="0.35">
      <c r="J663" s="100"/>
      <c r="K663" s="99"/>
      <c r="N663" s="100"/>
      <c r="Q663" s="100"/>
      <c r="R663" s="110"/>
      <c r="S663" s="111"/>
      <c r="T663" s="104"/>
      <c r="U663" s="102"/>
      <c r="V663" s="103"/>
    </row>
    <row r="664" spans="10:22" ht="15" customHeight="1" x14ac:dyDescent="0.35">
      <c r="J664" s="100"/>
      <c r="K664" s="99"/>
      <c r="N664" s="100"/>
      <c r="Q664" s="100"/>
      <c r="R664" s="110"/>
      <c r="S664" s="111"/>
      <c r="T664" s="104"/>
      <c r="U664" s="102"/>
      <c r="V664" s="103"/>
    </row>
    <row r="665" spans="10:22" ht="15" customHeight="1" x14ac:dyDescent="0.35">
      <c r="J665" s="100"/>
      <c r="K665" s="99"/>
      <c r="N665" s="100"/>
      <c r="Q665" s="100"/>
      <c r="R665" s="110"/>
      <c r="S665" s="111"/>
      <c r="T665" s="104"/>
      <c r="U665" s="102"/>
      <c r="V665" s="103"/>
    </row>
    <row r="666" spans="10:22" ht="15" customHeight="1" x14ac:dyDescent="0.35">
      <c r="J666" s="100"/>
      <c r="K666" s="99"/>
      <c r="N666" s="100"/>
      <c r="Q666" s="100"/>
      <c r="R666" s="110"/>
      <c r="S666" s="111"/>
      <c r="T666" s="104"/>
      <c r="U666" s="102"/>
      <c r="V666" s="103"/>
    </row>
    <row r="667" spans="10:22" ht="15" customHeight="1" x14ac:dyDescent="0.35">
      <c r="J667" s="100"/>
      <c r="K667" s="99"/>
      <c r="N667" s="100"/>
      <c r="Q667" s="100"/>
      <c r="R667" s="110"/>
      <c r="S667" s="111"/>
      <c r="T667" s="104"/>
      <c r="U667" s="102"/>
      <c r="V667" s="103"/>
    </row>
    <row r="668" spans="10:22" ht="15" customHeight="1" x14ac:dyDescent="0.35">
      <c r="J668" s="100"/>
      <c r="K668" s="99"/>
      <c r="N668" s="100"/>
      <c r="Q668" s="100"/>
      <c r="R668" s="110"/>
      <c r="S668" s="111"/>
      <c r="T668" s="104"/>
      <c r="U668" s="102"/>
      <c r="V668" s="103"/>
    </row>
    <row r="669" spans="10:22" ht="15" customHeight="1" x14ac:dyDescent="0.35">
      <c r="J669" s="100"/>
      <c r="K669" s="99"/>
      <c r="N669" s="100"/>
      <c r="Q669" s="100"/>
      <c r="R669" s="110"/>
      <c r="S669" s="111"/>
      <c r="T669" s="104"/>
      <c r="U669" s="102"/>
      <c r="V669" s="103"/>
    </row>
    <row r="670" spans="10:22" ht="15" customHeight="1" x14ac:dyDescent="0.35">
      <c r="J670" s="100"/>
      <c r="K670" s="99"/>
      <c r="N670" s="100"/>
      <c r="Q670" s="100"/>
      <c r="R670" s="110"/>
      <c r="S670" s="111"/>
      <c r="T670" s="104"/>
      <c r="U670" s="102"/>
      <c r="V670" s="103"/>
    </row>
    <row r="671" spans="10:22" ht="15" customHeight="1" x14ac:dyDescent="0.35">
      <c r="J671" s="100"/>
      <c r="K671" s="99"/>
      <c r="N671" s="100"/>
      <c r="Q671" s="100"/>
      <c r="R671" s="110"/>
      <c r="S671" s="111"/>
      <c r="T671" s="104"/>
      <c r="U671" s="102"/>
      <c r="V671" s="103"/>
    </row>
    <row r="672" spans="10:22" ht="15" customHeight="1" x14ac:dyDescent="0.35">
      <c r="J672" s="100"/>
      <c r="K672" s="99"/>
      <c r="N672" s="100"/>
      <c r="Q672" s="100"/>
      <c r="R672" s="110"/>
      <c r="S672" s="111"/>
      <c r="T672" s="104"/>
      <c r="U672" s="102"/>
      <c r="V672" s="103"/>
    </row>
    <row r="673" spans="1:22" ht="15" customHeight="1" x14ac:dyDescent="0.35">
      <c r="J673" s="100"/>
      <c r="K673" s="99"/>
      <c r="N673" s="100"/>
      <c r="Q673" s="100"/>
      <c r="R673" s="110"/>
      <c r="S673" s="111"/>
      <c r="T673" s="104"/>
      <c r="U673" s="102"/>
      <c r="V673" s="103"/>
    </row>
    <row r="674" spans="1:22" ht="15" customHeight="1" x14ac:dyDescent="0.35">
      <c r="J674" s="100"/>
      <c r="K674" s="99"/>
      <c r="N674" s="100"/>
      <c r="Q674" s="100"/>
      <c r="R674" s="110"/>
      <c r="S674" s="111"/>
      <c r="T674" s="104"/>
      <c r="U674" s="102"/>
      <c r="V674" s="103"/>
    </row>
    <row r="675" spans="1:22" ht="15" customHeight="1" x14ac:dyDescent="0.35">
      <c r="J675" s="100"/>
      <c r="K675" s="99"/>
      <c r="N675" s="100"/>
      <c r="Q675" s="100"/>
      <c r="R675" s="110"/>
      <c r="S675" s="111"/>
      <c r="T675" s="104"/>
      <c r="U675" s="102"/>
      <c r="V675" s="103"/>
    </row>
    <row r="676" spans="1:22" ht="15" customHeight="1" x14ac:dyDescent="0.35">
      <c r="J676" s="100"/>
      <c r="K676" s="99"/>
      <c r="N676" s="100"/>
      <c r="Q676" s="100"/>
      <c r="R676" s="110"/>
      <c r="S676" s="111"/>
      <c r="T676" s="104"/>
      <c r="U676" s="102"/>
      <c r="V676" s="103"/>
    </row>
    <row r="677" spans="1:22" ht="15" customHeight="1" x14ac:dyDescent="0.35">
      <c r="J677" s="100"/>
      <c r="K677" s="99"/>
      <c r="N677" s="100"/>
      <c r="Q677" s="100"/>
      <c r="R677" s="110"/>
      <c r="S677" s="111"/>
      <c r="T677" s="104"/>
      <c r="U677" s="102"/>
      <c r="V677" s="103"/>
    </row>
    <row r="678" spans="1:22" ht="15" customHeight="1" x14ac:dyDescent="0.35">
      <c r="J678" s="100"/>
      <c r="K678" s="99"/>
      <c r="N678" s="100"/>
      <c r="Q678" s="100"/>
      <c r="R678" s="110"/>
      <c r="S678" s="111"/>
      <c r="T678" s="104"/>
      <c r="U678" s="102"/>
      <c r="V678" s="103"/>
    </row>
    <row r="679" spans="1:22" ht="15" customHeight="1" x14ac:dyDescent="0.35">
      <c r="J679" s="100"/>
      <c r="K679" s="99"/>
      <c r="N679" s="100"/>
      <c r="Q679" s="100"/>
      <c r="R679" s="110"/>
      <c r="S679" s="111"/>
      <c r="T679" s="104"/>
      <c r="U679" s="102"/>
      <c r="V679" s="103"/>
    </row>
    <row r="680" spans="1:22" ht="15" customHeight="1" x14ac:dyDescent="0.35">
      <c r="J680" s="100"/>
      <c r="K680" s="99"/>
      <c r="N680" s="100"/>
      <c r="Q680" s="100"/>
      <c r="R680" s="110"/>
      <c r="S680" s="111"/>
      <c r="T680" s="104"/>
      <c r="U680" s="102"/>
      <c r="V680" s="103"/>
    </row>
    <row r="681" spans="1:22" ht="15" customHeight="1" x14ac:dyDescent="0.35">
      <c r="A681" s="43"/>
      <c r="J681" s="100"/>
      <c r="K681" s="99"/>
      <c r="N681" s="100"/>
      <c r="Q681" s="100"/>
      <c r="R681" s="110"/>
      <c r="S681" s="111"/>
      <c r="T681" s="104"/>
      <c r="U681" s="102"/>
      <c r="V681" s="103"/>
    </row>
    <row r="682" spans="1:22" ht="15" customHeight="1" x14ac:dyDescent="0.35">
      <c r="A682" s="43"/>
      <c r="J682" s="100"/>
      <c r="K682" s="99"/>
      <c r="N682" s="100"/>
      <c r="Q682" s="100"/>
      <c r="R682" s="110"/>
      <c r="S682" s="111"/>
      <c r="T682" s="104"/>
      <c r="U682" s="102"/>
      <c r="V682" s="103"/>
    </row>
    <row r="683" spans="1:22" ht="15" customHeight="1" x14ac:dyDescent="0.35">
      <c r="A683" s="43"/>
      <c r="J683" s="100"/>
      <c r="K683" s="99"/>
      <c r="N683" s="100"/>
      <c r="Q683" s="100"/>
      <c r="R683" s="110"/>
      <c r="S683" s="111"/>
      <c r="T683" s="104"/>
      <c r="U683" s="102"/>
      <c r="V683" s="103"/>
    </row>
    <row r="684" spans="1:22" ht="15" customHeight="1" x14ac:dyDescent="0.35">
      <c r="A684" s="43"/>
      <c r="J684" s="100"/>
      <c r="K684" s="99"/>
      <c r="N684" s="100"/>
      <c r="Q684" s="100"/>
      <c r="R684" s="110"/>
      <c r="S684" s="111"/>
      <c r="T684" s="104"/>
      <c r="U684" s="102"/>
      <c r="V684" s="103"/>
    </row>
    <row r="685" spans="1:22" ht="15" customHeight="1" x14ac:dyDescent="0.35">
      <c r="A685" s="43"/>
      <c r="J685" s="100"/>
      <c r="K685" s="99"/>
      <c r="N685" s="100"/>
      <c r="Q685" s="100"/>
      <c r="R685" s="110"/>
      <c r="S685" s="111"/>
      <c r="T685" s="104"/>
      <c r="U685" s="102"/>
      <c r="V685" s="103"/>
    </row>
    <row r="686" spans="1:22" ht="15" customHeight="1" x14ac:dyDescent="0.35">
      <c r="A686" s="43"/>
      <c r="J686" s="100"/>
      <c r="K686" s="99"/>
      <c r="N686" s="100"/>
      <c r="Q686" s="100"/>
      <c r="R686" s="110"/>
      <c r="S686" s="111"/>
      <c r="T686" s="104"/>
      <c r="U686" s="102"/>
      <c r="V686" s="103"/>
    </row>
    <row r="687" spans="1:22" ht="15" customHeight="1" x14ac:dyDescent="0.35">
      <c r="A687" s="43"/>
      <c r="J687" s="100"/>
      <c r="K687" s="99"/>
      <c r="N687" s="100"/>
      <c r="Q687" s="100"/>
      <c r="R687" s="110"/>
      <c r="S687" s="111"/>
      <c r="T687" s="104"/>
      <c r="U687" s="102"/>
      <c r="V687" s="103"/>
    </row>
    <row r="688" spans="1:22" ht="15" customHeight="1" x14ac:dyDescent="0.35">
      <c r="A688" s="43"/>
      <c r="J688" s="100"/>
      <c r="K688" s="99"/>
      <c r="N688" s="100"/>
      <c r="Q688" s="100"/>
      <c r="R688" s="110"/>
      <c r="S688" s="111"/>
      <c r="T688" s="104"/>
      <c r="U688" s="102"/>
      <c r="V688" s="103"/>
    </row>
    <row r="689" spans="1:22" ht="15" customHeight="1" x14ac:dyDescent="0.35">
      <c r="A689" s="43"/>
      <c r="J689" s="100"/>
      <c r="K689" s="99"/>
      <c r="N689" s="100"/>
      <c r="Q689" s="100"/>
      <c r="R689" s="110"/>
      <c r="S689" s="111"/>
      <c r="T689" s="104"/>
      <c r="U689" s="102"/>
      <c r="V689" s="103"/>
    </row>
    <row r="690" spans="1:22" ht="15" customHeight="1" x14ac:dyDescent="0.35">
      <c r="A690" s="43"/>
      <c r="J690" s="100"/>
      <c r="K690" s="99"/>
      <c r="N690" s="100"/>
      <c r="Q690" s="100"/>
      <c r="R690" s="110"/>
      <c r="S690" s="111"/>
      <c r="T690" s="104"/>
      <c r="U690" s="102"/>
      <c r="V690" s="103"/>
    </row>
    <row r="691" spans="1:22" ht="15" customHeight="1" x14ac:dyDescent="0.35">
      <c r="A691" s="43"/>
      <c r="J691" s="100"/>
      <c r="K691" s="99"/>
      <c r="N691" s="100"/>
      <c r="Q691" s="100"/>
      <c r="R691" s="110"/>
      <c r="S691" s="111"/>
      <c r="T691" s="104"/>
      <c r="U691" s="102"/>
      <c r="V691" s="103"/>
    </row>
    <row r="692" spans="1:22" ht="15" customHeight="1" x14ac:dyDescent="0.35">
      <c r="A692" s="43"/>
      <c r="J692" s="100"/>
      <c r="K692" s="99"/>
      <c r="N692" s="100"/>
      <c r="Q692" s="100"/>
      <c r="R692" s="110"/>
      <c r="S692" s="111"/>
      <c r="T692" s="104"/>
      <c r="U692" s="102"/>
      <c r="V692" s="103"/>
    </row>
    <row r="693" spans="1:22" ht="15" customHeight="1" x14ac:dyDescent="0.35">
      <c r="A693" s="43"/>
      <c r="J693" s="100"/>
      <c r="K693" s="99"/>
      <c r="N693" s="100"/>
      <c r="Q693" s="100"/>
      <c r="R693" s="110"/>
      <c r="S693" s="111"/>
      <c r="T693" s="104"/>
      <c r="U693" s="102"/>
      <c r="V693" s="103"/>
    </row>
    <row r="694" spans="1:22" ht="15" customHeight="1" x14ac:dyDescent="0.35">
      <c r="J694" s="100"/>
      <c r="K694" s="99"/>
      <c r="N694" s="100"/>
      <c r="Q694" s="100"/>
      <c r="R694" s="110"/>
      <c r="S694" s="111"/>
      <c r="T694" s="104"/>
      <c r="U694" s="102"/>
      <c r="V694" s="103"/>
    </row>
    <row r="695" spans="1:22" ht="15" customHeight="1" x14ac:dyDescent="0.35">
      <c r="J695" s="100"/>
      <c r="K695" s="99"/>
      <c r="N695" s="100"/>
      <c r="Q695" s="100"/>
      <c r="R695" s="110"/>
      <c r="S695" s="111"/>
      <c r="T695" s="104"/>
      <c r="U695" s="102"/>
      <c r="V695" s="103"/>
    </row>
    <row r="696" spans="1:22" ht="15" customHeight="1" x14ac:dyDescent="0.35">
      <c r="J696" s="100"/>
      <c r="K696" s="99"/>
      <c r="N696" s="100"/>
      <c r="Q696" s="100"/>
      <c r="R696" s="110"/>
      <c r="S696" s="111"/>
      <c r="T696" s="104"/>
      <c r="U696" s="102"/>
      <c r="V696" s="103"/>
    </row>
    <row r="697" spans="1:22" ht="15" customHeight="1" x14ac:dyDescent="0.35">
      <c r="J697" s="100"/>
      <c r="K697" s="99"/>
      <c r="N697" s="100"/>
      <c r="Q697" s="100"/>
      <c r="R697" s="110"/>
      <c r="S697" s="111"/>
      <c r="T697" s="104"/>
      <c r="U697" s="102"/>
      <c r="V697" s="103"/>
    </row>
    <row r="698" spans="1:22" ht="15" customHeight="1" x14ac:dyDescent="0.35">
      <c r="J698" s="100"/>
      <c r="K698" s="99"/>
      <c r="N698" s="100"/>
      <c r="Q698" s="100"/>
      <c r="R698" s="110"/>
      <c r="S698" s="111"/>
      <c r="T698" s="104"/>
      <c r="U698" s="102"/>
      <c r="V698" s="103"/>
    </row>
    <row r="699" spans="1:22" ht="15" customHeight="1" x14ac:dyDescent="0.35">
      <c r="J699" s="100"/>
      <c r="K699" s="99"/>
      <c r="N699" s="100"/>
      <c r="Q699" s="100"/>
      <c r="R699" s="110"/>
      <c r="S699" s="111"/>
      <c r="T699" s="104"/>
      <c r="U699" s="102"/>
      <c r="V699" s="103"/>
    </row>
    <row r="700" spans="1:22" ht="15" customHeight="1" x14ac:dyDescent="0.35">
      <c r="J700" s="100"/>
      <c r="K700" s="99"/>
      <c r="N700" s="100"/>
      <c r="Q700" s="100"/>
      <c r="R700" s="110"/>
      <c r="S700" s="111"/>
      <c r="T700" s="104"/>
      <c r="U700" s="102"/>
      <c r="V700" s="103"/>
    </row>
    <row r="701" spans="1:22" ht="15" customHeight="1" x14ac:dyDescent="0.35">
      <c r="J701" s="100"/>
      <c r="K701" s="99"/>
      <c r="N701" s="100"/>
      <c r="Q701" s="100"/>
      <c r="R701" s="110"/>
      <c r="S701" s="111"/>
      <c r="T701" s="104"/>
      <c r="U701" s="102"/>
      <c r="V701" s="103"/>
    </row>
    <row r="702" spans="1:22" ht="15" customHeight="1" x14ac:dyDescent="0.35">
      <c r="J702" s="100"/>
      <c r="K702" s="99"/>
      <c r="N702" s="100"/>
      <c r="Q702" s="100"/>
      <c r="R702" s="110"/>
      <c r="S702" s="111"/>
      <c r="T702" s="104"/>
      <c r="U702" s="102"/>
      <c r="V702" s="103"/>
    </row>
    <row r="703" spans="1:22" ht="15" customHeight="1" x14ac:dyDescent="0.35">
      <c r="J703" s="100"/>
      <c r="K703" s="99"/>
      <c r="N703" s="100"/>
      <c r="Q703" s="100"/>
      <c r="R703" s="110"/>
      <c r="S703" s="111"/>
      <c r="T703" s="104"/>
      <c r="U703" s="102"/>
      <c r="V703" s="103"/>
    </row>
    <row r="704" spans="1:22" ht="15" customHeight="1" x14ac:dyDescent="0.35">
      <c r="J704" s="100"/>
      <c r="K704" s="99"/>
      <c r="N704" s="100"/>
      <c r="Q704" s="100"/>
      <c r="R704" s="110"/>
      <c r="S704" s="111"/>
      <c r="T704" s="104"/>
      <c r="U704" s="102"/>
      <c r="V704" s="103"/>
    </row>
    <row r="705" spans="10:22" ht="15" customHeight="1" x14ac:dyDescent="0.35">
      <c r="J705" s="100"/>
      <c r="K705" s="99"/>
      <c r="N705" s="100"/>
      <c r="Q705" s="100"/>
      <c r="R705" s="110"/>
      <c r="S705" s="111"/>
      <c r="T705" s="104"/>
      <c r="U705" s="102"/>
      <c r="V705" s="103"/>
    </row>
    <row r="706" spans="10:22" ht="15" customHeight="1" x14ac:dyDescent="0.35">
      <c r="J706" s="100"/>
      <c r="K706" s="99"/>
      <c r="N706" s="100"/>
      <c r="Q706" s="100"/>
      <c r="R706" s="110"/>
      <c r="S706" s="111"/>
      <c r="T706" s="104"/>
      <c r="U706" s="102"/>
      <c r="V706" s="103"/>
    </row>
    <row r="707" spans="10:22" ht="15" customHeight="1" x14ac:dyDescent="0.35">
      <c r="J707" s="100"/>
      <c r="K707" s="99"/>
      <c r="N707" s="100"/>
      <c r="Q707" s="100"/>
      <c r="R707" s="110"/>
      <c r="S707" s="111"/>
      <c r="T707" s="104"/>
      <c r="U707" s="102"/>
      <c r="V707" s="103"/>
    </row>
    <row r="708" spans="10:22" ht="15" customHeight="1" x14ac:dyDescent="0.35">
      <c r="J708" s="100"/>
      <c r="K708" s="99"/>
      <c r="N708" s="100"/>
      <c r="Q708" s="100"/>
      <c r="R708" s="110"/>
      <c r="S708" s="111"/>
      <c r="T708" s="104"/>
      <c r="U708" s="102"/>
      <c r="V708" s="103"/>
    </row>
    <row r="709" spans="10:22" ht="15" customHeight="1" x14ac:dyDescent="0.35">
      <c r="J709" s="100"/>
      <c r="K709" s="99"/>
      <c r="N709" s="100"/>
      <c r="Q709" s="100"/>
      <c r="R709" s="110"/>
      <c r="S709" s="111"/>
      <c r="T709" s="104"/>
      <c r="U709" s="102"/>
      <c r="V709" s="103"/>
    </row>
    <row r="710" spans="10:22" ht="15" customHeight="1" x14ac:dyDescent="0.35">
      <c r="J710" s="100"/>
      <c r="K710" s="99"/>
      <c r="N710" s="100"/>
      <c r="Q710" s="100"/>
      <c r="R710" s="110"/>
      <c r="S710" s="111"/>
      <c r="T710" s="104"/>
      <c r="U710" s="102"/>
      <c r="V710" s="103"/>
    </row>
    <row r="711" spans="10:22" ht="15" customHeight="1" x14ac:dyDescent="0.35">
      <c r="J711" s="100"/>
      <c r="K711" s="99"/>
      <c r="N711" s="100"/>
      <c r="Q711" s="100"/>
      <c r="R711" s="110"/>
      <c r="S711" s="111"/>
      <c r="T711" s="104"/>
      <c r="U711" s="102"/>
      <c r="V711" s="103"/>
    </row>
    <row r="712" spans="10:22" ht="15" customHeight="1" x14ac:dyDescent="0.35">
      <c r="J712" s="100"/>
      <c r="K712" s="99"/>
      <c r="N712" s="100"/>
      <c r="Q712" s="100"/>
      <c r="R712" s="110"/>
      <c r="S712" s="111"/>
      <c r="T712" s="104"/>
      <c r="U712" s="102"/>
      <c r="V712" s="103"/>
    </row>
    <row r="713" spans="10:22" ht="15" customHeight="1" x14ac:dyDescent="0.35">
      <c r="J713" s="100"/>
      <c r="K713" s="99"/>
      <c r="N713" s="100"/>
      <c r="Q713" s="100"/>
      <c r="R713" s="110"/>
      <c r="S713" s="111"/>
      <c r="T713" s="104"/>
      <c r="U713" s="102"/>
      <c r="V713" s="103"/>
    </row>
    <row r="714" spans="10:22" ht="15" customHeight="1" x14ac:dyDescent="0.35">
      <c r="J714" s="100"/>
      <c r="K714" s="99"/>
      <c r="N714" s="100"/>
      <c r="Q714" s="100"/>
      <c r="R714" s="110"/>
      <c r="S714" s="111"/>
      <c r="T714" s="104"/>
      <c r="U714" s="102"/>
      <c r="V714" s="103"/>
    </row>
    <row r="715" spans="10:22" ht="15" customHeight="1" x14ac:dyDescent="0.35">
      <c r="J715" s="100"/>
      <c r="K715" s="99"/>
      <c r="N715" s="100"/>
      <c r="Q715" s="100"/>
      <c r="R715" s="110"/>
      <c r="S715" s="111"/>
      <c r="T715" s="104"/>
      <c r="U715" s="102"/>
      <c r="V715" s="103"/>
    </row>
    <row r="716" spans="10:22" ht="15" customHeight="1" x14ac:dyDescent="0.35">
      <c r="J716" s="100"/>
      <c r="K716" s="99"/>
      <c r="N716" s="100"/>
      <c r="Q716" s="100"/>
      <c r="R716" s="110"/>
      <c r="S716" s="111"/>
      <c r="T716" s="104"/>
      <c r="U716" s="102"/>
      <c r="V716" s="103"/>
    </row>
    <row r="717" spans="10:22" ht="15" customHeight="1" x14ac:dyDescent="0.35">
      <c r="J717" s="100"/>
      <c r="K717" s="99"/>
      <c r="N717" s="100"/>
      <c r="Q717" s="100"/>
      <c r="R717" s="110"/>
      <c r="S717" s="111"/>
      <c r="T717" s="104"/>
      <c r="U717" s="102"/>
      <c r="V717" s="103"/>
    </row>
    <row r="718" spans="10:22" ht="15" customHeight="1" x14ac:dyDescent="0.35">
      <c r="J718" s="100"/>
      <c r="K718" s="99"/>
      <c r="N718" s="100"/>
      <c r="Q718" s="100"/>
      <c r="R718" s="110"/>
      <c r="S718" s="111"/>
      <c r="T718" s="104"/>
      <c r="U718" s="102"/>
      <c r="V718" s="103"/>
    </row>
    <row r="719" spans="10:22" ht="15" customHeight="1" x14ac:dyDescent="0.35">
      <c r="J719" s="100"/>
      <c r="K719" s="99"/>
      <c r="N719" s="100"/>
      <c r="Q719" s="100"/>
      <c r="R719" s="110"/>
      <c r="S719" s="111"/>
      <c r="T719" s="104"/>
      <c r="U719" s="102"/>
      <c r="V719" s="103"/>
    </row>
    <row r="720" spans="10:22" ht="15" customHeight="1" x14ac:dyDescent="0.35">
      <c r="J720" s="100"/>
      <c r="K720" s="99"/>
      <c r="N720" s="100"/>
      <c r="Q720" s="100"/>
      <c r="R720" s="110"/>
      <c r="S720" s="111"/>
      <c r="T720" s="104"/>
      <c r="U720" s="102"/>
      <c r="V720" s="103"/>
    </row>
    <row r="721" spans="1:22" ht="15" customHeight="1" x14ac:dyDescent="0.35">
      <c r="J721" s="100"/>
      <c r="K721" s="99"/>
      <c r="N721" s="100"/>
      <c r="Q721" s="100"/>
      <c r="R721" s="110"/>
      <c r="S721" s="111"/>
      <c r="T721" s="104"/>
      <c r="U721" s="102"/>
      <c r="V721" s="103"/>
    </row>
    <row r="722" spans="1:22" ht="15" customHeight="1" x14ac:dyDescent="0.35">
      <c r="J722" s="100"/>
      <c r="K722" s="99"/>
      <c r="N722" s="100"/>
      <c r="Q722" s="100"/>
      <c r="R722" s="110"/>
      <c r="S722" s="111"/>
      <c r="T722" s="104"/>
      <c r="U722" s="102"/>
      <c r="V722" s="103"/>
    </row>
    <row r="723" spans="1:22" ht="15" customHeight="1" x14ac:dyDescent="0.35">
      <c r="J723" s="100"/>
      <c r="K723" s="99"/>
      <c r="N723" s="100"/>
      <c r="Q723" s="100"/>
      <c r="R723" s="110"/>
      <c r="S723" s="111"/>
      <c r="T723" s="104"/>
      <c r="U723" s="102"/>
      <c r="V723" s="103"/>
    </row>
    <row r="724" spans="1:22" ht="15" customHeight="1" x14ac:dyDescent="0.35">
      <c r="J724" s="100"/>
      <c r="K724" s="99"/>
      <c r="N724" s="100"/>
      <c r="Q724" s="100"/>
      <c r="R724" s="110"/>
      <c r="S724" s="111"/>
      <c r="T724" s="104"/>
      <c r="U724" s="102"/>
      <c r="V724" s="103"/>
    </row>
    <row r="725" spans="1:22" ht="15" customHeight="1" x14ac:dyDescent="0.35">
      <c r="A725" s="43"/>
      <c r="J725" s="100"/>
      <c r="K725" s="99"/>
      <c r="N725" s="100"/>
      <c r="Q725" s="100"/>
      <c r="R725" s="110"/>
      <c r="S725" s="111"/>
      <c r="T725" s="104"/>
      <c r="U725" s="102"/>
      <c r="V725" s="103"/>
    </row>
    <row r="726" spans="1:22" ht="15" customHeight="1" x14ac:dyDescent="0.35">
      <c r="A726" s="43"/>
      <c r="J726" s="100"/>
      <c r="K726" s="99"/>
      <c r="N726" s="100"/>
      <c r="Q726" s="100"/>
      <c r="R726" s="110"/>
      <c r="S726" s="111"/>
      <c r="T726" s="104"/>
      <c r="U726" s="102"/>
      <c r="V726" s="103"/>
    </row>
    <row r="727" spans="1:22" ht="15" customHeight="1" x14ac:dyDescent="0.35">
      <c r="A727" s="43"/>
      <c r="J727" s="100"/>
      <c r="K727" s="99"/>
      <c r="N727" s="100"/>
      <c r="Q727" s="100"/>
      <c r="R727" s="110"/>
      <c r="S727" s="111"/>
      <c r="T727" s="104"/>
      <c r="U727" s="102"/>
      <c r="V727" s="103"/>
    </row>
    <row r="728" spans="1:22" ht="15" customHeight="1" x14ac:dyDescent="0.35">
      <c r="A728" s="43"/>
      <c r="J728" s="100"/>
      <c r="K728" s="99"/>
      <c r="N728" s="100"/>
      <c r="Q728" s="100"/>
      <c r="R728" s="110"/>
      <c r="S728" s="111"/>
      <c r="T728" s="104"/>
      <c r="U728" s="102"/>
      <c r="V728" s="103"/>
    </row>
    <row r="729" spans="1:22" ht="15" customHeight="1" x14ac:dyDescent="0.35">
      <c r="A729" s="43"/>
      <c r="J729" s="100"/>
      <c r="K729" s="99"/>
      <c r="N729" s="100"/>
      <c r="Q729" s="100"/>
      <c r="R729" s="110"/>
      <c r="S729" s="111"/>
      <c r="T729" s="104"/>
      <c r="U729" s="102"/>
      <c r="V729" s="103"/>
    </row>
    <row r="730" spans="1:22" ht="15" customHeight="1" x14ac:dyDescent="0.35">
      <c r="A730" s="43"/>
      <c r="J730" s="100"/>
      <c r="K730" s="99"/>
      <c r="N730" s="100"/>
      <c r="Q730" s="100"/>
      <c r="R730" s="110"/>
      <c r="S730" s="111"/>
      <c r="T730" s="104"/>
      <c r="U730" s="102"/>
      <c r="V730" s="103"/>
    </row>
    <row r="731" spans="1:22" ht="15" customHeight="1" x14ac:dyDescent="0.35">
      <c r="A731" s="43"/>
      <c r="J731" s="100"/>
      <c r="K731" s="99"/>
      <c r="N731" s="100"/>
      <c r="Q731" s="100"/>
      <c r="R731" s="110"/>
      <c r="S731" s="111"/>
      <c r="T731" s="104"/>
      <c r="U731" s="102"/>
      <c r="V731" s="103"/>
    </row>
    <row r="732" spans="1:22" ht="15" customHeight="1" x14ac:dyDescent="0.35">
      <c r="A732" s="43"/>
      <c r="J732" s="100"/>
      <c r="K732" s="99"/>
      <c r="N732" s="100"/>
      <c r="Q732" s="100"/>
      <c r="R732" s="110"/>
      <c r="S732" s="111"/>
      <c r="T732" s="104"/>
      <c r="U732" s="102"/>
      <c r="V732" s="103"/>
    </row>
    <row r="733" spans="1:22" ht="15" customHeight="1" x14ac:dyDescent="0.35">
      <c r="A733" s="43"/>
      <c r="J733" s="100"/>
      <c r="K733" s="99"/>
      <c r="N733" s="100"/>
      <c r="Q733" s="100"/>
      <c r="R733" s="110"/>
      <c r="S733" s="111"/>
      <c r="T733" s="104"/>
      <c r="U733" s="102"/>
      <c r="V733" s="103"/>
    </row>
    <row r="734" spans="1:22" ht="15" customHeight="1" x14ac:dyDescent="0.35">
      <c r="A734" s="43"/>
      <c r="J734" s="100"/>
      <c r="K734" s="99"/>
      <c r="N734" s="100"/>
      <c r="Q734" s="100"/>
      <c r="R734" s="110"/>
      <c r="S734" s="111"/>
      <c r="T734" s="104"/>
      <c r="U734" s="102"/>
      <c r="V734" s="103"/>
    </row>
    <row r="735" spans="1:22" ht="15" customHeight="1" x14ac:dyDescent="0.35">
      <c r="A735" s="43"/>
      <c r="J735" s="100"/>
      <c r="K735" s="99"/>
      <c r="N735" s="100"/>
      <c r="Q735" s="100"/>
      <c r="R735" s="110"/>
      <c r="S735" s="111"/>
      <c r="T735" s="104"/>
      <c r="U735" s="102"/>
      <c r="V735" s="103"/>
    </row>
    <row r="736" spans="1:22" ht="15" customHeight="1" x14ac:dyDescent="0.35">
      <c r="A736" s="43"/>
      <c r="J736" s="100"/>
      <c r="K736" s="99"/>
      <c r="N736" s="100"/>
      <c r="Q736" s="100"/>
      <c r="R736" s="110"/>
      <c r="S736" s="111"/>
      <c r="T736" s="104"/>
      <c r="U736" s="102"/>
      <c r="V736" s="103"/>
    </row>
    <row r="737" spans="1:22" ht="15" customHeight="1" x14ac:dyDescent="0.35">
      <c r="A737" s="43"/>
      <c r="J737" s="100"/>
      <c r="K737" s="99"/>
      <c r="N737" s="100"/>
      <c r="Q737" s="100"/>
      <c r="R737" s="110"/>
      <c r="S737" s="111"/>
      <c r="T737" s="104"/>
      <c r="U737" s="102"/>
      <c r="V737" s="103"/>
    </row>
  </sheetData>
  <autoFilter ref="A1:F737" xr:uid="{713063A5-9F71-4855-B110-A2F109B74238}">
    <sortState xmlns:xlrd2="http://schemas.microsoft.com/office/spreadsheetml/2017/richdata2" ref="A250:F649">
      <sortCondition ref="B1:B737"/>
    </sortState>
  </autoFilter>
  <phoneticPr fontId="1" type="noConversion"/>
  <conditionalFormatting sqref="K245:K300 K411:K737">
    <cfRule type="cellIs" dxfId="2" priority="3" stopIfTrue="1" operator="lessThan">
      <formula>0</formula>
    </cfRule>
  </conditionalFormatting>
  <conditionalFormatting sqref="K301:K344">
    <cfRule type="cellIs" dxfId="1" priority="2" stopIfTrue="1" operator="lessThan">
      <formula>0</formula>
    </cfRule>
  </conditionalFormatting>
  <conditionalFormatting sqref="K345:K410">
    <cfRule type="cellIs" dxfId="0" priority="1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9896-36CA-4D40-83AC-359BA6207B4A}">
  <dimension ref="A1:M141"/>
  <sheetViews>
    <sheetView workbookViewId="0">
      <pane ySplit="1" topLeftCell="A109" activePane="bottomLeft" state="frozen"/>
      <selection pane="bottomLeft" activeCell="F7" sqref="F7"/>
    </sheetView>
  </sheetViews>
  <sheetFormatPr defaultRowHeight="15" customHeight="1" x14ac:dyDescent="0.35"/>
  <cols>
    <col min="1" max="1" width="16.54296875" style="1" customWidth="1"/>
    <col min="2" max="2" width="15.453125" style="1" customWidth="1"/>
    <col min="3" max="5" width="20.54296875" style="1" customWidth="1"/>
    <col min="6" max="6" width="14.54296875" style="1" customWidth="1"/>
    <col min="7" max="7" width="16.81640625" style="1" customWidth="1"/>
    <col min="8" max="8" width="14" style="1" customWidth="1"/>
    <col min="9" max="9" width="14.54296875" style="1" customWidth="1"/>
    <col min="10" max="10" width="15.1796875" style="1" customWidth="1"/>
    <col min="11" max="11" width="12.54296875" style="1" customWidth="1"/>
    <col min="12" max="12" width="13.81640625" style="1" customWidth="1"/>
    <col min="13" max="13" width="14.81640625" style="1" customWidth="1"/>
  </cols>
  <sheetData>
    <row r="1" spans="1:13" s="7" customFormat="1" ht="14.5" x14ac:dyDescent="0.35">
      <c r="A1" s="8" t="s">
        <v>0</v>
      </c>
      <c r="B1" s="8" t="s">
        <v>1</v>
      </c>
      <c r="C1" s="8" t="s">
        <v>3</v>
      </c>
      <c r="D1" s="8" t="s">
        <v>4</v>
      </c>
      <c r="E1" s="8" t="s">
        <v>117</v>
      </c>
      <c r="F1" s="8" t="s">
        <v>118</v>
      </c>
      <c r="G1" s="8" t="s">
        <v>119</v>
      </c>
      <c r="H1" s="8" t="s">
        <v>120</v>
      </c>
      <c r="I1" s="8" t="s">
        <v>121</v>
      </c>
      <c r="J1" s="8" t="s">
        <v>122</v>
      </c>
      <c r="K1" s="8" t="s">
        <v>123</v>
      </c>
      <c r="L1" s="8" t="s">
        <v>124</v>
      </c>
      <c r="M1" s="8" t="s">
        <v>125</v>
      </c>
    </row>
    <row r="2" spans="1:13" ht="14.5" x14ac:dyDescent="0.35">
      <c r="A2" s="1" t="s">
        <v>13</v>
      </c>
      <c r="B2" s="1" t="s">
        <v>114</v>
      </c>
      <c r="C2" s="1" t="str">
        <f t="shared" ref="C2:C33" si="0">A2&amp;"_"&amp;B2&amp;"_"&amp;"WQ"</f>
        <v>P37_9_23_WQ</v>
      </c>
      <c r="D2" s="10">
        <v>45184</v>
      </c>
      <c r="E2" s="11">
        <v>0.40069444444444446</v>
      </c>
    </row>
    <row r="3" spans="1:13" ht="14.5" x14ac:dyDescent="0.35">
      <c r="A3" s="1" t="s">
        <v>18</v>
      </c>
      <c r="B3" s="1" t="s">
        <v>114</v>
      </c>
      <c r="C3" s="1" t="str">
        <f t="shared" si="0"/>
        <v>NCL_9_23_WQ</v>
      </c>
      <c r="D3" s="10">
        <v>45184</v>
      </c>
      <c r="E3" s="11">
        <v>0.44236111111111109</v>
      </c>
    </row>
    <row r="4" spans="1:13" ht="14.5" x14ac:dyDescent="0.35">
      <c r="A4" s="1" t="s">
        <v>19</v>
      </c>
      <c r="B4" s="1" t="s">
        <v>114</v>
      </c>
      <c r="C4" s="1" t="str">
        <f t="shared" si="0"/>
        <v>CP_9_23_WQ</v>
      </c>
      <c r="D4" s="10">
        <v>45184</v>
      </c>
      <c r="E4" s="11">
        <v>0.47569444444444442</v>
      </c>
    </row>
    <row r="5" spans="1:13" ht="14.5" x14ac:dyDescent="0.35">
      <c r="A5" s="1" t="s">
        <v>20</v>
      </c>
      <c r="B5" s="1" t="s">
        <v>114</v>
      </c>
      <c r="C5" s="1" t="str">
        <f t="shared" si="0"/>
        <v>EP146_9_23_WQ</v>
      </c>
      <c r="D5" s="10">
        <v>45184</v>
      </c>
      <c r="E5" s="11">
        <v>0.52708333333333335</v>
      </c>
    </row>
    <row r="6" spans="1:13" ht="14.5" x14ac:dyDescent="0.35">
      <c r="A6" s="1" t="s">
        <v>21</v>
      </c>
      <c r="B6" s="1" t="s">
        <v>114</v>
      </c>
      <c r="C6" s="1" t="str">
        <f t="shared" si="0"/>
        <v>OL_9_23_WQ</v>
      </c>
      <c r="D6" s="10">
        <v>45184</v>
      </c>
      <c r="E6" s="11">
        <v>0.55138888888888893</v>
      </c>
    </row>
    <row r="7" spans="1:13" ht="14.5" x14ac:dyDescent="0.35">
      <c r="A7" s="1" t="s">
        <v>57</v>
      </c>
      <c r="B7" s="1" t="s">
        <v>114</v>
      </c>
      <c r="C7" s="1" t="str">
        <f t="shared" si="0"/>
        <v>TSH_9_23_WQ</v>
      </c>
      <c r="D7" s="10">
        <v>45184</v>
      </c>
      <c r="E7" s="11">
        <v>0.57986111111111116</v>
      </c>
    </row>
    <row r="8" spans="1:13" ht="14.5" x14ac:dyDescent="0.35">
      <c r="A8" s="1" t="s">
        <v>22</v>
      </c>
      <c r="B8" s="1" t="s">
        <v>114</v>
      </c>
      <c r="C8" s="1" t="str">
        <f t="shared" si="0"/>
        <v>R127_9_23_WQ</v>
      </c>
      <c r="D8" s="10">
        <v>45184</v>
      </c>
      <c r="E8" s="11">
        <v>0.6020833333333333</v>
      </c>
    </row>
    <row r="9" spans="1:13" ht="14.5" x14ac:dyDescent="0.35">
      <c r="A9" s="1" t="s">
        <v>23</v>
      </c>
      <c r="B9" s="2" t="s">
        <v>14</v>
      </c>
      <c r="C9" s="1" t="str">
        <f t="shared" si="0"/>
        <v>ACS1_9-23_WQ</v>
      </c>
      <c r="D9" s="10">
        <v>45195</v>
      </c>
      <c r="E9" s="11">
        <v>0.33124999999999999</v>
      </c>
      <c r="F9" s="1">
        <v>29.152999999999999</v>
      </c>
      <c r="G9" s="1">
        <v>84.3</v>
      </c>
      <c r="H9" s="1">
        <v>6.02</v>
      </c>
      <c r="I9" s="1">
        <v>12.97</v>
      </c>
      <c r="J9" s="1">
        <v>8.01</v>
      </c>
      <c r="K9" s="1">
        <v>3.82</v>
      </c>
      <c r="L9" s="1">
        <v>45.67</v>
      </c>
      <c r="M9" s="1">
        <v>137.03</v>
      </c>
    </row>
    <row r="10" spans="1:13" ht="14.5" x14ac:dyDescent="0.35">
      <c r="A10" s="1" t="s">
        <v>24</v>
      </c>
      <c r="B10" s="2" t="s">
        <v>14</v>
      </c>
      <c r="C10" s="1" t="str">
        <f t="shared" si="0"/>
        <v>ACS2_9-23_WQ</v>
      </c>
      <c r="D10" s="10">
        <v>45195</v>
      </c>
      <c r="E10" s="11">
        <v>0.37013888888888891</v>
      </c>
      <c r="F10" s="1">
        <v>29.212</v>
      </c>
      <c r="G10" s="1">
        <v>81.2</v>
      </c>
      <c r="H10" s="1">
        <v>5.83</v>
      </c>
      <c r="I10" s="1">
        <v>11.73</v>
      </c>
      <c r="J10" s="1">
        <v>8</v>
      </c>
      <c r="K10" s="1">
        <v>3.91</v>
      </c>
      <c r="L10" s="1">
        <v>44.03</v>
      </c>
      <c r="M10" s="1">
        <v>134.80000000000001</v>
      </c>
    </row>
    <row r="11" spans="1:13" ht="14.5" x14ac:dyDescent="0.35">
      <c r="A11" s="1" t="s">
        <v>25</v>
      </c>
      <c r="B11" s="2" t="s">
        <v>14</v>
      </c>
      <c r="C11" s="1" t="str">
        <f t="shared" si="0"/>
        <v>ACS3_9-23_WQ</v>
      </c>
      <c r="D11" s="10">
        <v>45195</v>
      </c>
      <c r="E11" s="11">
        <v>0.39444444444444443</v>
      </c>
      <c r="F11" s="1">
        <v>29.082000000000001</v>
      </c>
      <c r="G11" s="1">
        <v>92.5</v>
      </c>
      <c r="H11" s="1">
        <v>6.68</v>
      </c>
      <c r="I11" s="1">
        <v>10.63</v>
      </c>
      <c r="J11" s="1">
        <v>8.44</v>
      </c>
      <c r="K11" s="1">
        <v>6.53</v>
      </c>
      <c r="L11" s="1">
        <v>29.84</v>
      </c>
      <c r="M11" s="1">
        <v>59.59</v>
      </c>
    </row>
    <row r="12" spans="1:13" ht="14.5" x14ac:dyDescent="0.35">
      <c r="A12" s="1" t="s">
        <v>26</v>
      </c>
      <c r="B12" s="2" t="s">
        <v>14</v>
      </c>
      <c r="C12" s="1" t="str">
        <f t="shared" si="0"/>
        <v>ACS4_9-23_WQ</v>
      </c>
      <c r="D12" s="10">
        <v>45195</v>
      </c>
      <c r="E12" s="11">
        <v>0.47083333333333333</v>
      </c>
      <c r="F12" s="1">
        <v>28.960999999999999</v>
      </c>
      <c r="G12" s="1">
        <v>62.5</v>
      </c>
      <c r="H12" s="1">
        <v>4.46</v>
      </c>
      <c r="I12" s="1">
        <v>12.86</v>
      </c>
      <c r="J12" s="1">
        <v>7.72</v>
      </c>
      <c r="K12" s="1">
        <v>4.1500000000000004</v>
      </c>
      <c r="L12" s="1">
        <v>45.63</v>
      </c>
      <c r="M12" s="1">
        <v>136.80000000000001</v>
      </c>
    </row>
    <row r="13" spans="1:13" ht="14.5" x14ac:dyDescent="0.35">
      <c r="A13" s="1" t="s">
        <v>27</v>
      </c>
      <c r="B13" s="2" t="s">
        <v>14</v>
      </c>
      <c r="C13" s="1" t="str">
        <f t="shared" si="0"/>
        <v>ACS5_9-23_WQ</v>
      </c>
      <c r="D13" s="10">
        <v>45195</v>
      </c>
      <c r="E13" s="11">
        <v>0.61736111111111114</v>
      </c>
      <c r="F13" s="1">
        <v>32.003999999999998</v>
      </c>
      <c r="G13" s="1">
        <v>78.099999999999994</v>
      </c>
      <c r="H13" s="1">
        <v>5.12</v>
      </c>
      <c r="I13" s="1">
        <v>20.12</v>
      </c>
      <c r="J13" s="1">
        <v>8</v>
      </c>
      <c r="K13" s="1">
        <v>20.55</v>
      </c>
      <c r="L13" s="1">
        <v>38.869999999999997</v>
      </c>
      <c r="M13" s="1">
        <v>116.6</v>
      </c>
    </row>
    <row r="14" spans="1:13" ht="14.5" x14ac:dyDescent="0.35">
      <c r="A14" s="1" t="s">
        <v>28</v>
      </c>
      <c r="B14" s="2" t="s">
        <v>14</v>
      </c>
      <c r="C14" s="1" t="str">
        <f t="shared" si="0"/>
        <v>GBHM_9-23_WQ</v>
      </c>
      <c r="D14" s="10">
        <v>45195</v>
      </c>
      <c r="E14" s="11">
        <v>0.62986111111111109</v>
      </c>
      <c r="I14" s="1">
        <v>14.6</v>
      </c>
    </row>
    <row r="15" spans="1:13" ht="14.5" x14ac:dyDescent="0.35">
      <c r="A15" s="1" t="s">
        <v>29</v>
      </c>
      <c r="B15" s="2" t="s">
        <v>14</v>
      </c>
      <c r="C15" s="1" t="str">
        <f t="shared" si="0"/>
        <v>DC1_9-23_WQ</v>
      </c>
      <c r="D15" s="10">
        <v>45195</v>
      </c>
      <c r="E15" s="11">
        <v>0.56180555555555556</v>
      </c>
      <c r="F15" s="1">
        <v>29.957999999999998</v>
      </c>
      <c r="G15" s="1">
        <v>34.6</v>
      </c>
      <c r="H15" s="1">
        <v>2.34</v>
      </c>
      <c r="I15" s="1">
        <v>19.77</v>
      </c>
      <c r="J15" s="1">
        <v>7.9</v>
      </c>
      <c r="K15" s="1">
        <v>20.100000000000001</v>
      </c>
      <c r="L15" s="1">
        <v>45.1</v>
      </c>
      <c r="M15" s="1">
        <v>135.27000000000001</v>
      </c>
    </row>
    <row r="16" spans="1:13" ht="14.5" x14ac:dyDescent="0.35">
      <c r="A16" s="1" t="s">
        <v>30</v>
      </c>
      <c r="B16" s="2" t="s">
        <v>14</v>
      </c>
      <c r="C16" s="1" t="str">
        <f t="shared" si="0"/>
        <v>DCM1_9-23_WQ</v>
      </c>
      <c r="D16" s="10">
        <v>45195</v>
      </c>
      <c r="E16" s="11">
        <v>0.58263888888888893</v>
      </c>
      <c r="I16" s="1">
        <v>14.4</v>
      </c>
    </row>
    <row r="17" spans="1:13" ht="14.5" x14ac:dyDescent="0.35">
      <c r="A17" s="1" t="s">
        <v>31</v>
      </c>
      <c r="B17" s="2" t="s">
        <v>14</v>
      </c>
      <c r="C17" s="1" t="str">
        <f t="shared" si="0"/>
        <v>DC2_9-23_WQ</v>
      </c>
      <c r="D17" s="10">
        <v>45195</v>
      </c>
      <c r="E17" s="11">
        <v>0.52430555555555558</v>
      </c>
      <c r="F17" s="1">
        <v>29.36</v>
      </c>
      <c r="G17" s="1">
        <v>29.3</v>
      </c>
      <c r="H17" s="1">
        <v>2.0299999999999998</v>
      </c>
      <c r="I17" s="1">
        <v>17.670000000000002</v>
      </c>
      <c r="J17" s="1">
        <v>7.67</v>
      </c>
      <c r="K17" s="1">
        <v>16.510000000000002</v>
      </c>
      <c r="L17" s="1">
        <v>45.42</v>
      </c>
      <c r="M17" s="1">
        <v>136.16999999999999</v>
      </c>
    </row>
    <row r="18" spans="1:13" ht="14.5" x14ac:dyDescent="0.35">
      <c r="A18" s="1" t="s">
        <v>32</v>
      </c>
      <c r="B18" s="2" t="s">
        <v>14</v>
      </c>
      <c r="C18" s="1" t="str">
        <f t="shared" si="0"/>
        <v>DCM2_9-23_WQ</v>
      </c>
      <c r="D18" s="10">
        <v>45195</v>
      </c>
      <c r="E18" s="11">
        <v>0.54166666666666663</v>
      </c>
      <c r="I18" s="1">
        <v>6.6</v>
      </c>
    </row>
    <row r="19" spans="1:13" ht="14.5" x14ac:dyDescent="0.35">
      <c r="A19" s="1" t="s">
        <v>33</v>
      </c>
      <c r="B19" s="2" t="s">
        <v>14</v>
      </c>
      <c r="C19" s="1" t="str">
        <f t="shared" si="0"/>
        <v>GB1_9-23_WQ</v>
      </c>
      <c r="D19" s="10">
        <v>45195</v>
      </c>
      <c r="E19" s="11">
        <v>0.60277777777777775</v>
      </c>
      <c r="F19" s="1">
        <v>30.731000000000002</v>
      </c>
      <c r="G19" s="1">
        <v>98.5</v>
      </c>
      <c r="H19" s="1">
        <v>6.32</v>
      </c>
      <c r="I19" s="1">
        <v>26.84</v>
      </c>
      <c r="J19" s="1">
        <v>8.18</v>
      </c>
      <c r="K19" s="1">
        <v>9.01</v>
      </c>
      <c r="L19" s="1">
        <v>29.6</v>
      </c>
      <c r="M19" s="1">
        <v>88.82</v>
      </c>
    </row>
    <row r="20" spans="1:13" ht="14.5" x14ac:dyDescent="0.35">
      <c r="A20" s="1" t="s">
        <v>34</v>
      </c>
      <c r="B20" s="2" t="s">
        <v>14</v>
      </c>
      <c r="C20" s="1" t="str">
        <f t="shared" si="0"/>
        <v>MCS1_9-23_WQ</v>
      </c>
      <c r="D20" s="10">
        <v>45196</v>
      </c>
      <c r="E20" s="11">
        <v>0.45069444444444445</v>
      </c>
      <c r="F20" s="1">
        <v>29.140999999999998</v>
      </c>
      <c r="G20" s="1">
        <v>95</v>
      </c>
      <c r="H20" s="1">
        <v>6.82</v>
      </c>
      <c r="I20" s="1">
        <v>12</v>
      </c>
      <c r="J20" s="1">
        <v>8.3699999999999992</v>
      </c>
      <c r="K20" s="1">
        <v>2.2799999999999998</v>
      </c>
      <c r="L20" s="1">
        <v>32.869999999999997</v>
      </c>
      <c r="M20" s="1">
        <v>98.63</v>
      </c>
    </row>
    <row r="21" spans="1:13" ht="14.5" x14ac:dyDescent="0.35">
      <c r="A21" s="1" t="s">
        <v>35</v>
      </c>
      <c r="B21" s="2" t="s">
        <v>14</v>
      </c>
      <c r="C21" s="1" t="str">
        <f t="shared" si="0"/>
        <v>MCS2_9-23_WQ</v>
      </c>
      <c r="D21" s="10">
        <v>45196</v>
      </c>
      <c r="E21" s="11">
        <v>0.46944444444444444</v>
      </c>
      <c r="F21" s="1">
        <v>29.314</v>
      </c>
      <c r="G21" s="1">
        <v>94.4</v>
      </c>
      <c r="H21" s="1">
        <v>6.72</v>
      </c>
      <c r="I21" s="1">
        <v>12.96</v>
      </c>
      <c r="J21" s="1">
        <v>8.1300000000000008</v>
      </c>
      <c r="K21" s="1">
        <v>3.99</v>
      </c>
      <c r="L21" s="1">
        <v>32.28</v>
      </c>
      <c r="M21" s="1">
        <v>96.88</v>
      </c>
    </row>
    <row r="22" spans="1:13" ht="14.5" x14ac:dyDescent="0.35">
      <c r="A22" s="1" t="s">
        <v>36</v>
      </c>
      <c r="B22" s="2" t="s">
        <v>14</v>
      </c>
      <c r="C22" s="1" t="str">
        <f t="shared" si="0"/>
        <v>MCS3_9-23_WQ</v>
      </c>
      <c r="D22" s="10">
        <v>45196</v>
      </c>
      <c r="E22" s="11">
        <v>0.48541666666666666</v>
      </c>
      <c r="F22" s="1">
        <v>29.199000000000002</v>
      </c>
      <c r="G22" s="1">
        <v>89</v>
      </c>
      <c r="H22" s="1">
        <v>6.24</v>
      </c>
      <c r="I22" s="1">
        <v>15.8</v>
      </c>
      <c r="J22" s="1">
        <v>8</v>
      </c>
      <c r="K22" s="1">
        <v>3.96</v>
      </c>
      <c r="L22" s="1">
        <v>36.56</v>
      </c>
      <c r="M22" s="1">
        <v>109.7</v>
      </c>
    </row>
    <row r="23" spans="1:13" ht="14.5" x14ac:dyDescent="0.35">
      <c r="A23" s="1" t="s">
        <v>37</v>
      </c>
      <c r="B23" s="2" t="s">
        <v>14</v>
      </c>
      <c r="C23" s="1" t="str">
        <f t="shared" si="0"/>
        <v>MCS4_9-23_WQ</v>
      </c>
      <c r="D23" s="10">
        <v>45196</v>
      </c>
      <c r="E23" s="11">
        <v>0.50624999999999998</v>
      </c>
      <c r="F23" s="1">
        <v>29.036000000000001</v>
      </c>
      <c r="G23" s="1">
        <v>65.5</v>
      </c>
      <c r="H23" s="1">
        <v>4.57</v>
      </c>
      <c r="I23" s="1">
        <v>17.45</v>
      </c>
      <c r="J23" s="1">
        <v>7.86</v>
      </c>
      <c r="K23" s="1">
        <v>8.49</v>
      </c>
      <c r="L23" s="1">
        <v>35.1</v>
      </c>
      <c r="M23" s="1">
        <v>105.13</v>
      </c>
    </row>
    <row r="24" spans="1:13" ht="14.5" x14ac:dyDescent="0.35">
      <c r="A24" s="1" t="s">
        <v>38</v>
      </c>
      <c r="B24" s="2" t="s">
        <v>14</v>
      </c>
      <c r="C24" s="1" t="str">
        <f t="shared" si="0"/>
        <v>TBHM_9-23_WQ</v>
      </c>
      <c r="D24" s="10">
        <v>45196</v>
      </c>
      <c r="E24" s="11">
        <v>0.52847222222222223</v>
      </c>
      <c r="I24" s="1">
        <v>12.6</v>
      </c>
    </row>
    <row r="25" spans="1:13" ht="14.5" x14ac:dyDescent="0.35">
      <c r="A25" s="1" t="s">
        <v>50</v>
      </c>
      <c r="B25" s="2" t="s">
        <v>14</v>
      </c>
      <c r="C25" s="1" t="str">
        <f t="shared" si="0"/>
        <v>TBC_9-23_WQ</v>
      </c>
      <c r="D25" s="10">
        <v>45196</v>
      </c>
      <c r="E25" s="11">
        <v>0.56736111111111109</v>
      </c>
      <c r="F25" s="1">
        <v>29.954000000000001</v>
      </c>
      <c r="G25" s="1">
        <v>81.3</v>
      </c>
      <c r="H25" s="1">
        <v>5.19</v>
      </c>
      <c r="I25" s="1">
        <v>30.67</v>
      </c>
      <c r="J25" s="1">
        <v>7.9</v>
      </c>
      <c r="K25" s="1">
        <v>21.54</v>
      </c>
      <c r="L25" s="1">
        <v>16.07</v>
      </c>
      <c r="M25" s="1">
        <v>48.24</v>
      </c>
    </row>
    <row r="26" spans="1:13" ht="14.5" x14ac:dyDescent="0.35">
      <c r="A26" s="1" t="s">
        <v>39</v>
      </c>
      <c r="B26" s="2" t="s">
        <v>14</v>
      </c>
      <c r="C26" s="1" t="str">
        <f t="shared" si="0"/>
        <v>TBCM_9-23_WQ</v>
      </c>
      <c r="D26" s="10">
        <v>45196</v>
      </c>
      <c r="E26" s="11">
        <v>0.59097222222222223</v>
      </c>
      <c r="I26" s="1">
        <v>28.2</v>
      </c>
    </row>
    <row r="27" spans="1:13" ht="14.5" x14ac:dyDescent="0.35">
      <c r="A27" s="1" t="s">
        <v>40</v>
      </c>
      <c r="B27" s="2" t="s">
        <v>14</v>
      </c>
      <c r="C27" s="1" t="str">
        <f t="shared" si="0"/>
        <v>TB1_9-23_WQ</v>
      </c>
      <c r="D27" s="10">
        <v>45196</v>
      </c>
      <c r="E27" s="11">
        <v>0.54374999999999996</v>
      </c>
      <c r="F27" s="1">
        <v>30.734000000000002</v>
      </c>
      <c r="G27" s="1">
        <v>65.400000000000006</v>
      </c>
      <c r="H27" s="1">
        <v>4.34</v>
      </c>
      <c r="I27" s="1">
        <v>21.43</v>
      </c>
      <c r="J27" s="1">
        <v>7.81</v>
      </c>
      <c r="K27" s="1">
        <v>8.73</v>
      </c>
      <c r="L27" s="1">
        <v>32.64</v>
      </c>
      <c r="M27" s="1">
        <v>97.94</v>
      </c>
    </row>
    <row r="28" spans="1:13" ht="14.5" x14ac:dyDescent="0.35">
      <c r="A28" s="1" t="s">
        <v>41</v>
      </c>
      <c r="B28" s="2" t="s">
        <v>14</v>
      </c>
      <c r="C28" s="1" t="str">
        <f t="shared" si="0"/>
        <v>TB2_9-23_WQ</v>
      </c>
      <c r="D28" s="10">
        <v>45196</v>
      </c>
      <c r="E28" s="11">
        <v>0.61041666666666672</v>
      </c>
      <c r="F28" s="1">
        <v>29.625</v>
      </c>
      <c r="G28" s="1">
        <v>93.9</v>
      </c>
      <c r="H28" s="1">
        <v>5.94</v>
      </c>
      <c r="I28" s="1">
        <v>34.17</v>
      </c>
      <c r="J28" s="1">
        <v>8.19</v>
      </c>
      <c r="K28" s="1">
        <v>5.36</v>
      </c>
      <c r="L28" s="1">
        <v>10.3</v>
      </c>
      <c r="M28" s="1">
        <v>31</v>
      </c>
    </row>
    <row r="29" spans="1:13" ht="14.5" x14ac:dyDescent="0.35">
      <c r="A29" s="1" t="s">
        <v>42</v>
      </c>
      <c r="B29" s="2" t="s">
        <v>14</v>
      </c>
      <c r="C29" s="1" t="str">
        <f t="shared" si="0"/>
        <v>GB2_9-23_WQ</v>
      </c>
      <c r="D29" s="10">
        <v>45196</v>
      </c>
      <c r="E29" s="11">
        <v>0.65138888888888891</v>
      </c>
      <c r="F29" s="1">
        <v>29.896999999999998</v>
      </c>
      <c r="G29" s="1">
        <v>111.1</v>
      </c>
      <c r="H29" s="1">
        <v>6.99</v>
      </c>
      <c r="I29" s="1">
        <v>33.67</v>
      </c>
      <c r="J29" s="1">
        <v>8.24</v>
      </c>
      <c r="K29" s="1">
        <v>11.51</v>
      </c>
      <c r="L29" s="1">
        <v>13.43</v>
      </c>
      <c r="M29" s="1">
        <v>40.299999999999997</v>
      </c>
    </row>
    <row r="30" spans="1:13" ht="14.5" x14ac:dyDescent="0.35">
      <c r="A30" s="1" t="s">
        <v>43</v>
      </c>
      <c r="B30" s="2" t="s">
        <v>14</v>
      </c>
      <c r="C30" s="1" t="str">
        <f t="shared" si="0"/>
        <v>RB_9-23_WQ</v>
      </c>
      <c r="D30" s="10">
        <v>45196</v>
      </c>
      <c r="E30" s="11">
        <v>0.62916666666666665</v>
      </c>
      <c r="F30" s="1">
        <v>29.484999999999999</v>
      </c>
      <c r="G30" s="1">
        <v>111.3</v>
      </c>
      <c r="H30" s="1">
        <v>6.97</v>
      </c>
      <c r="I30" s="1">
        <v>35.770000000000003</v>
      </c>
      <c r="J30" s="1">
        <v>8.2100000000000009</v>
      </c>
      <c r="K30" s="1">
        <v>1.9</v>
      </c>
      <c r="L30" s="1">
        <v>14.37</v>
      </c>
      <c r="M30" s="1">
        <v>43.15</v>
      </c>
    </row>
    <row r="31" spans="1:13" ht="14.5" x14ac:dyDescent="0.35">
      <c r="A31" s="1" t="s">
        <v>44</v>
      </c>
      <c r="B31" s="2" t="s">
        <v>14</v>
      </c>
      <c r="C31" s="1" t="str">
        <f t="shared" si="0"/>
        <v>TSM1_9-23_WQ</v>
      </c>
      <c r="D31" s="10">
        <v>45199</v>
      </c>
      <c r="E31" s="11">
        <v>0.44444444444444442</v>
      </c>
    </row>
    <row r="32" spans="1:13" ht="14.5" x14ac:dyDescent="0.35">
      <c r="A32" s="1" t="s">
        <v>45</v>
      </c>
      <c r="B32" s="2" t="s">
        <v>14</v>
      </c>
      <c r="C32" s="1" t="str">
        <f t="shared" si="0"/>
        <v>TSM3_9-23_WQ</v>
      </c>
      <c r="D32" s="10">
        <v>45199</v>
      </c>
      <c r="E32" s="11">
        <v>0.39930555555555558</v>
      </c>
    </row>
    <row r="33" spans="1:13" ht="14.5" x14ac:dyDescent="0.35">
      <c r="A33" s="1" t="s">
        <v>46</v>
      </c>
      <c r="B33" s="2" t="s">
        <v>14</v>
      </c>
      <c r="C33" s="1" t="str">
        <f t="shared" si="0"/>
        <v>TSM4_9-23_WQ</v>
      </c>
      <c r="D33" s="10">
        <v>45199</v>
      </c>
      <c r="E33" s="11">
        <v>0.38194444444444442</v>
      </c>
    </row>
    <row r="34" spans="1:13" ht="14.5" x14ac:dyDescent="0.35">
      <c r="A34" s="1" t="s">
        <v>47</v>
      </c>
      <c r="B34" s="2" t="s">
        <v>14</v>
      </c>
      <c r="C34" s="1" t="str">
        <f t="shared" ref="C34:C65" si="1">A34&amp;"_"&amp;B34&amp;"_"&amp;"WQ"</f>
        <v>SBT1_9-23_WQ</v>
      </c>
      <c r="D34" s="10">
        <v>45199</v>
      </c>
      <c r="E34" s="11">
        <v>0.34375</v>
      </c>
      <c r="I34" s="1">
        <v>28.3</v>
      </c>
    </row>
    <row r="35" spans="1:13" ht="14.5" x14ac:dyDescent="0.35">
      <c r="A35" s="1" t="s">
        <v>48</v>
      </c>
      <c r="B35" s="2" t="s">
        <v>14</v>
      </c>
      <c r="C35" s="1" t="str">
        <f t="shared" si="1"/>
        <v>SBT2_9-23_WQ</v>
      </c>
      <c r="D35" s="10">
        <v>45204</v>
      </c>
      <c r="E35" s="11">
        <v>0.37847222222222221</v>
      </c>
      <c r="F35" s="1">
        <v>28.196999999999999</v>
      </c>
      <c r="G35" s="1">
        <v>72.599999999999994</v>
      </c>
      <c r="H35" s="1">
        <v>4.5999999999999996</v>
      </c>
      <c r="I35" s="1">
        <v>36.89</v>
      </c>
      <c r="J35" s="1">
        <v>8.0399999999999991</v>
      </c>
      <c r="K35" s="1">
        <v>7.5</v>
      </c>
      <c r="L35" s="1">
        <v>11.51</v>
      </c>
      <c r="M35" s="1">
        <v>34.479999999999997</v>
      </c>
    </row>
    <row r="36" spans="1:13" ht="14.5" x14ac:dyDescent="0.35">
      <c r="A36" s="1" t="s">
        <v>51</v>
      </c>
      <c r="B36" s="2" t="s">
        <v>14</v>
      </c>
      <c r="C36" s="1" t="str">
        <f t="shared" si="1"/>
        <v>WB1_9-23_WQ</v>
      </c>
      <c r="D36" s="10">
        <v>45204</v>
      </c>
      <c r="E36" s="11">
        <v>0.42777777777777776</v>
      </c>
      <c r="F36" s="1">
        <v>28.192</v>
      </c>
      <c r="G36" s="1">
        <v>85.6</v>
      </c>
      <c r="H36" s="1">
        <v>5.48</v>
      </c>
      <c r="I36" s="1">
        <v>35.619999999999997</v>
      </c>
      <c r="J36" s="1">
        <v>8.0399999999999991</v>
      </c>
      <c r="K36" s="1">
        <v>1.56</v>
      </c>
      <c r="L36" s="1">
        <v>12.05</v>
      </c>
      <c r="M36" s="1">
        <v>36.14</v>
      </c>
    </row>
    <row r="37" spans="1:13" ht="14.5" x14ac:dyDescent="0.35">
      <c r="A37" s="1" t="s">
        <v>52</v>
      </c>
      <c r="B37" s="2" t="s">
        <v>14</v>
      </c>
      <c r="C37" s="1" t="str">
        <f t="shared" si="1"/>
        <v>WB2_9-23_WQ</v>
      </c>
      <c r="D37" s="10">
        <v>45204</v>
      </c>
      <c r="E37" s="11">
        <v>0.4513888888888889</v>
      </c>
      <c r="F37" s="1">
        <v>28.382000000000001</v>
      </c>
      <c r="G37" s="1">
        <v>104.8</v>
      </c>
      <c r="H37" s="1">
        <v>6.62</v>
      </c>
      <c r="I37" s="1">
        <v>37.409999999999997</v>
      </c>
      <c r="J37" s="1">
        <v>8.24</v>
      </c>
      <c r="K37" s="1">
        <v>0.98</v>
      </c>
      <c r="L37" s="1">
        <v>8.9499999999999993</v>
      </c>
      <c r="M37" s="1">
        <v>26.89</v>
      </c>
    </row>
    <row r="38" spans="1:13" ht="14.5" x14ac:dyDescent="0.35">
      <c r="A38" s="1" t="s">
        <v>53</v>
      </c>
      <c r="B38" s="2" t="s">
        <v>14</v>
      </c>
      <c r="C38" s="1" t="str">
        <f t="shared" si="1"/>
        <v>TKB_9-23_WQ</v>
      </c>
      <c r="D38" s="10">
        <v>45204</v>
      </c>
      <c r="E38" s="11">
        <v>0.5</v>
      </c>
      <c r="F38" s="1">
        <v>28.866</v>
      </c>
      <c r="G38" s="1">
        <v>104.5</v>
      </c>
      <c r="H38" s="1">
        <v>6.53</v>
      </c>
      <c r="I38" s="1">
        <v>38.15</v>
      </c>
      <c r="J38" s="1">
        <v>8.3000000000000007</v>
      </c>
      <c r="K38" s="1">
        <v>0.24</v>
      </c>
      <c r="L38" s="1">
        <v>6.84</v>
      </c>
      <c r="M38" s="1">
        <v>20.57</v>
      </c>
    </row>
    <row r="39" spans="1:13" ht="14.5" x14ac:dyDescent="0.35">
      <c r="A39" s="1" t="s">
        <v>54</v>
      </c>
      <c r="B39" s="2" t="s">
        <v>14</v>
      </c>
      <c r="C39" s="1" t="str">
        <f t="shared" si="1"/>
        <v>JB_9-23_WQ</v>
      </c>
      <c r="D39" s="10">
        <v>45204</v>
      </c>
      <c r="E39" s="11">
        <v>0.55625000000000002</v>
      </c>
      <c r="F39" s="1">
        <v>28.937000000000001</v>
      </c>
      <c r="G39" s="1">
        <v>115.4</v>
      </c>
      <c r="H39" s="1">
        <v>7.24</v>
      </c>
      <c r="I39" s="1">
        <v>37.19</v>
      </c>
      <c r="J39" s="1">
        <v>8.56</v>
      </c>
      <c r="K39" s="1">
        <v>0</v>
      </c>
      <c r="L39" s="1">
        <v>6.44</v>
      </c>
      <c r="M39" s="1">
        <v>19.32</v>
      </c>
    </row>
    <row r="40" spans="1:13" ht="14.5" x14ac:dyDescent="0.35">
      <c r="A40" s="1" t="s">
        <v>55</v>
      </c>
      <c r="B40" s="2" t="s">
        <v>14</v>
      </c>
      <c r="C40" s="1" t="str">
        <f t="shared" si="1"/>
        <v>CC_9-23_WQ</v>
      </c>
      <c r="D40" s="10">
        <v>45204</v>
      </c>
      <c r="E40" s="11">
        <v>0.60069444444444442</v>
      </c>
      <c r="F40" s="1">
        <v>29.215</v>
      </c>
      <c r="G40" s="1">
        <v>109.7</v>
      </c>
      <c r="H40" s="1">
        <v>6.84</v>
      </c>
      <c r="I40" s="1">
        <v>37.15</v>
      </c>
      <c r="J40" s="1">
        <v>8.16</v>
      </c>
      <c r="K40" s="1">
        <v>6.37</v>
      </c>
      <c r="L40" s="1">
        <v>4.21</v>
      </c>
      <c r="M40" s="1">
        <v>12.65</v>
      </c>
    </row>
    <row r="41" spans="1:13" ht="14.5" x14ac:dyDescent="0.35">
      <c r="A41" s="1" t="s">
        <v>45</v>
      </c>
      <c r="B41" s="2" t="s">
        <v>109</v>
      </c>
      <c r="C41" s="1" t="str">
        <f t="shared" si="1"/>
        <v>TSM3_1123E_WQ</v>
      </c>
      <c r="D41" s="10">
        <v>45258</v>
      </c>
      <c r="E41" s="11">
        <v>0.55069444444444449</v>
      </c>
      <c r="F41" s="1">
        <v>25.1</v>
      </c>
      <c r="G41" s="1">
        <v>75</v>
      </c>
      <c r="H41" s="1">
        <v>6.3</v>
      </c>
      <c r="I41" s="1">
        <v>0.2</v>
      </c>
    </row>
    <row r="42" spans="1:13" ht="14.5" x14ac:dyDescent="0.35">
      <c r="A42" s="1" t="s">
        <v>46</v>
      </c>
      <c r="B42" s="2" t="s">
        <v>109</v>
      </c>
      <c r="C42" s="1" t="str">
        <f t="shared" si="1"/>
        <v>TSM4_1123E_WQ</v>
      </c>
      <c r="D42" s="10">
        <v>45258</v>
      </c>
      <c r="E42" s="11">
        <v>0.53819444444444442</v>
      </c>
      <c r="F42" s="1">
        <v>24.4</v>
      </c>
      <c r="G42" s="1">
        <v>55</v>
      </c>
      <c r="H42" s="1">
        <v>4.7</v>
      </c>
      <c r="I42" s="1">
        <v>0.2</v>
      </c>
    </row>
    <row r="43" spans="1:13" ht="14.5" x14ac:dyDescent="0.35">
      <c r="A43" s="1" t="s">
        <v>47</v>
      </c>
      <c r="B43" s="2" t="s">
        <v>109</v>
      </c>
      <c r="C43" s="1" t="str">
        <f t="shared" si="1"/>
        <v>SBT1_1123E_WQ</v>
      </c>
      <c r="D43" s="10">
        <v>45258</v>
      </c>
      <c r="E43" s="11">
        <v>0.50763888888888886</v>
      </c>
      <c r="F43" s="1">
        <v>23.5</v>
      </c>
      <c r="G43" s="1">
        <v>11</v>
      </c>
      <c r="H43" s="1">
        <v>1.04</v>
      </c>
      <c r="I43" s="1">
        <v>10.5</v>
      </c>
    </row>
    <row r="44" spans="1:13" ht="14.5" x14ac:dyDescent="0.35">
      <c r="A44" s="1" t="s">
        <v>23</v>
      </c>
      <c r="B44" s="2" t="s">
        <v>109</v>
      </c>
      <c r="C44" s="1" t="str">
        <f t="shared" si="1"/>
        <v>ACS1_1123E_WQ</v>
      </c>
      <c r="D44" s="10">
        <v>45258</v>
      </c>
      <c r="E44" s="11">
        <v>0.44513888888888886</v>
      </c>
      <c r="F44" s="1">
        <v>25.2</v>
      </c>
      <c r="G44" s="1">
        <v>97</v>
      </c>
      <c r="H44" s="1">
        <v>7.6</v>
      </c>
      <c r="I44" s="1">
        <v>10</v>
      </c>
    </row>
    <row r="45" spans="1:13" ht="14.5" x14ac:dyDescent="0.35">
      <c r="A45" s="1" t="s">
        <v>29</v>
      </c>
      <c r="B45" s="2" t="s">
        <v>109</v>
      </c>
      <c r="C45" s="1" t="str">
        <f t="shared" si="1"/>
        <v>DC1_1123E_WQ</v>
      </c>
      <c r="D45" s="10">
        <v>45258</v>
      </c>
      <c r="E45" s="11">
        <v>0.36388888888888887</v>
      </c>
      <c r="F45" s="1">
        <v>20.2</v>
      </c>
      <c r="G45" s="1">
        <v>9</v>
      </c>
      <c r="H45" s="1">
        <v>0.8</v>
      </c>
      <c r="I45" s="1">
        <v>14.4</v>
      </c>
    </row>
    <row r="46" spans="1:13" ht="14.5" x14ac:dyDescent="0.35">
      <c r="A46" s="1" t="s">
        <v>30</v>
      </c>
      <c r="B46" s="2" t="s">
        <v>109</v>
      </c>
      <c r="C46" s="1" t="str">
        <f t="shared" si="1"/>
        <v>DCM1_1123E_WQ</v>
      </c>
      <c r="D46" s="10">
        <v>45258</v>
      </c>
      <c r="E46" s="11">
        <v>0.37291666666666667</v>
      </c>
      <c r="F46" s="1">
        <v>20</v>
      </c>
      <c r="G46" s="1">
        <v>55</v>
      </c>
      <c r="H46" s="1">
        <v>4.7</v>
      </c>
      <c r="I46" s="1">
        <v>13.6</v>
      </c>
    </row>
    <row r="47" spans="1:13" ht="14.5" x14ac:dyDescent="0.35">
      <c r="A47" s="1" t="s">
        <v>33</v>
      </c>
      <c r="B47" s="2" t="s">
        <v>109</v>
      </c>
      <c r="C47" s="1" t="str">
        <f t="shared" si="1"/>
        <v>GB1_1123E_WQ</v>
      </c>
      <c r="D47" s="10">
        <v>45258</v>
      </c>
      <c r="E47" s="11">
        <v>0.34027777777777779</v>
      </c>
      <c r="F47" s="1">
        <v>23.2</v>
      </c>
      <c r="G47" s="1">
        <v>64</v>
      </c>
      <c r="H47" s="1">
        <v>5</v>
      </c>
      <c r="I47" s="1">
        <v>16.899999999999999</v>
      </c>
    </row>
    <row r="48" spans="1:13" ht="14.5" x14ac:dyDescent="0.35">
      <c r="A48" s="1" t="s">
        <v>13</v>
      </c>
      <c r="B48" s="1" t="s">
        <v>56</v>
      </c>
      <c r="C48" s="1" t="str">
        <f t="shared" si="1"/>
        <v>P37_11_23_WQ</v>
      </c>
      <c r="D48" s="10">
        <v>45259</v>
      </c>
      <c r="E48" s="11">
        <v>0.40416666666666667</v>
      </c>
    </row>
    <row r="49" spans="1:9" ht="14.5" x14ac:dyDescent="0.35">
      <c r="A49" s="1" t="s">
        <v>18</v>
      </c>
      <c r="B49" s="1" t="s">
        <v>56</v>
      </c>
      <c r="C49" s="1" t="str">
        <f t="shared" si="1"/>
        <v>NCL_11_23_WQ</v>
      </c>
      <c r="D49" s="10">
        <v>45259</v>
      </c>
      <c r="E49" s="11">
        <v>0.44791666666666669</v>
      </c>
    </row>
    <row r="50" spans="1:9" ht="14.5" x14ac:dyDescent="0.35">
      <c r="A50" s="1" t="s">
        <v>19</v>
      </c>
      <c r="B50" s="1" t="s">
        <v>56</v>
      </c>
      <c r="C50" s="1" t="str">
        <f t="shared" si="1"/>
        <v>CP_11_23_WQ</v>
      </c>
      <c r="D50" s="10">
        <v>45259</v>
      </c>
      <c r="E50" s="11">
        <v>0.48472222222222222</v>
      </c>
    </row>
    <row r="51" spans="1:9" ht="14.5" x14ac:dyDescent="0.35">
      <c r="A51" s="1" t="s">
        <v>20</v>
      </c>
      <c r="B51" s="1" t="s">
        <v>56</v>
      </c>
      <c r="C51" s="1" t="str">
        <f t="shared" si="1"/>
        <v>EP146_11_23_WQ</v>
      </c>
      <c r="D51" s="10">
        <v>45259</v>
      </c>
      <c r="E51" s="11">
        <v>0.53611111111111109</v>
      </c>
    </row>
    <row r="52" spans="1:9" ht="14.5" x14ac:dyDescent="0.35">
      <c r="A52" s="1" t="s">
        <v>21</v>
      </c>
      <c r="B52" s="1" t="s">
        <v>56</v>
      </c>
      <c r="C52" s="1" t="str">
        <f t="shared" si="1"/>
        <v>OL_11_23_WQ</v>
      </c>
      <c r="D52" s="10">
        <v>45259</v>
      </c>
      <c r="E52" s="11">
        <v>0.56388888888888888</v>
      </c>
    </row>
    <row r="53" spans="1:9" ht="14.5" x14ac:dyDescent="0.35">
      <c r="A53" s="1" t="s">
        <v>57</v>
      </c>
      <c r="B53" s="1" t="s">
        <v>56</v>
      </c>
      <c r="C53" s="1" t="str">
        <f t="shared" si="1"/>
        <v>TSH_11_23_WQ</v>
      </c>
      <c r="D53" s="10">
        <v>45259</v>
      </c>
      <c r="E53" s="11">
        <v>0.59166666666666667</v>
      </c>
    </row>
    <row r="54" spans="1:9" ht="14.5" x14ac:dyDescent="0.35">
      <c r="A54" s="1" t="s">
        <v>22</v>
      </c>
      <c r="B54" s="1" t="s">
        <v>56</v>
      </c>
      <c r="C54" s="1" t="str">
        <f t="shared" si="1"/>
        <v>R127_11_23_WQ</v>
      </c>
      <c r="D54" s="10">
        <v>45259</v>
      </c>
      <c r="E54" s="11">
        <v>0.6166666666666667</v>
      </c>
    </row>
    <row r="55" spans="1:9" ht="14.5" x14ac:dyDescent="0.35">
      <c r="A55" s="1" t="s">
        <v>48</v>
      </c>
      <c r="B55" s="2" t="s">
        <v>109</v>
      </c>
      <c r="C55" s="1" t="str">
        <f t="shared" si="1"/>
        <v>SBT2_1123E_WQ</v>
      </c>
      <c r="D55" s="10">
        <v>45260</v>
      </c>
      <c r="E55" s="11">
        <v>0.43611111111111112</v>
      </c>
      <c r="F55" s="1">
        <v>20.9</v>
      </c>
      <c r="G55" s="1">
        <v>136</v>
      </c>
      <c r="H55" s="1">
        <v>9.3000000000000007</v>
      </c>
      <c r="I55" s="1">
        <v>34.5</v>
      </c>
    </row>
    <row r="56" spans="1:9" ht="14.5" x14ac:dyDescent="0.35">
      <c r="A56" s="1" t="s">
        <v>34</v>
      </c>
      <c r="B56" s="2" t="s">
        <v>109</v>
      </c>
      <c r="C56" s="1" t="str">
        <f t="shared" si="1"/>
        <v>MCS1_1123E_WQ</v>
      </c>
      <c r="D56" s="10">
        <v>45260</v>
      </c>
      <c r="E56" s="11">
        <v>0.62638888888888888</v>
      </c>
      <c r="F56" s="1">
        <v>22.8</v>
      </c>
      <c r="G56" s="1">
        <v>99</v>
      </c>
      <c r="H56" s="1">
        <v>8.3000000000000007</v>
      </c>
      <c r="I56" s="1">
        <v>5</v>
      </c>
    </row>
    <row r="57" spans="1:9" ht="14.5" x14ac:dyDescent="0.35">
      <c r="A57" s="1" t="s">
        <v>40</v>
      </c>
      <c r="B57" s="2" t="s">
        <v>109</v>
      </c>
      <c r="C57" s="1" t="str">
        <f t="shared" si="1"/>
        <v>TB1_1123E_WQ</v>
      </c>
      <c r="D57" s="10">
        <v>45260</v>
      </c>
      <c r="E57" s="11">
        <v>0.59305555555555556</v>
      </c>
      <c r="F57" s="1">
        <v>22.8</v>
      </c>
      <c r="G57" s="1">
        <v>98</v>
      </c>
      <c r="H57" s="1">
        <v>8.1</v>
      </c>
      <c r="I57" s="1">
        <v>8.6</v>
      </c>
    </row>
    <row r="58" spans="1:9" ht="14.5" x14ac:dyDescent="0.35">
      <c r="A58" s="1" t="s">
        <v>41</v>
      </c>
      <c r="B58" s="2" t="s">
        <v>109</v>
      </c>
      <c r="C58" s="1" t="str">
        <f t="shared" si="1"/>
        <v>TB2_1123E_WQ</v>
      </c>
      <c r="D58" s="10">
        <v>45260</v>
      </c>
      <c r="E58" s="11">
        <v>0.57777777777777772</v>
      </c>
      <c r="F58" s="1">
        <v>22.5</v>
      </c>
      <c r="G58" s="1">
        <v>98</v>
      </c>
      <c r="H58" s="1">
        <v>7.6</v>
      </c>
      <c r="I58" s="1">
        <v>22.1</v>
      </c>
    </row>
    <row r="59" spans="1:9" ht="14.5" x14ac:dyDescent="0.35">
      <c r="A59" s="1" t="s">
        <v>42</v>
      </c>
      <c r="B59" s="2" t="s">
        <v>109</v>
      </c>
      <c r="C59" s="1" t="str">
        <f t="shared" si="1"/>
        <v>GB2_1123E_WQ</v>
      </c>
      <c r="D59" s="10">
        <v>45260</v>
      </c>
      <c r="E59" s="11">
        <v>0.37847222222222221</v>
      </c>
      <c r="F59" s="1">
        <v>19.899999999999999</v>
      </c>
      <c r="G59" s="1">
        <v>89</v>
      </c>
      <c r="H59" s="1">
        <v>7.2</v>
      </c>
      <c r="I59" s="1">
        <v>21.7</v>
      </c>
    </row>
    <row r="60" spans="1:9" ht="14.5" x14ac:dyDescent="0.35">
      <c r="A60" s="1" t="s">
        <v>43</v>
      </c>
      <c r="B60" s="2" t="s">
        <v>109</v>
      </c>
      <c r="C60" s="1" t="str">
        <f t="shared" si="1"/>
        <v>RB_1123E_WQ</v>
      </c>
      <c r="D60" s="10">
        <v>45260</v>
      </c>
      <c r="E60" s="11">
        <v>0.36249999999999999</v>
      </c>
      <c r="F60" s="1">
        <v>20.5</v>
      </c>
      <c r="G60" s="1">
        <v>77</v>
      </c>
      <c r="H60" s="1">
        <v>6</v>
      </c>
      <c r="I60" s="1">
        <v>29.2</v>
      </c>
    </row>
    <row r="61" spans="1:9" ht="14.5" x14ac:dyDescent="0.35">
      <c r="A61" s="1" t="s">
        <v>51</v>
      </c>
      <c r="B61" s="2" t="s">
        <v>109</v>
      </c>
      <c r="C61" s="1" t="str">
        <f t="shared" si="1"/>
        <v>WB1_1123E_WQ</v>
      </c>
      <c r="D61" s="10">
        <v>45260</v>
      </c>
      <c r="E61" s="11">
        <v>0.55694444444444446</v>
      </c>
      <c r="F61" s="1">
        <v>22.2</v>
      </c>
      <c r="G61" s="1">
        <v>95</v>
      </c>
      <c r="H61" s="1">
        <v>7.2</v>
      </c>
      <c r="I61" s="1">
        <v>26.2</v>
      </c>
    </row>
    <row r="62" spans="1:9" ht="14.5" x14ac:dyDescent="0.35">
      <c r="A62" s="1" t="s">
        <v>53</v>
      </c>
      <c r="B62" s="2" t="s">
        <v>109</v>
      </c>
      <c r="C62" s="1" t="str">
        <f t="shared" si="1"/>
        <v>TKB_1123E_WQ</v>
      </c>
      <c r="D62" s="10">
        <v>45260</v>
      </c>
      <c r="E62" s="11">
        <v>0.52916666666666667</v>
      </c>
      <c r="F62" s="1">
        <v>22.6</v>
      </c>
      <c r="G62" s="1">
        <v>101</v>
      </c>
      <c r="H62" s="1">
        <v>7.4</v>
      </c>
      <c r="I62" s="1">
        <v>30</v>
      </c>
    </row>
    <row r="63" spans="1:9" ht="14.5" x14ac:dyDescent="0.35">
      <c r="A63" s="1" t="s">
        <v>54</v>
      </c>
      <c r="B63" s="2" t="s">
        <v>109</v>
      </c>
      <c r="C63" s="1" t="str">
        <f t="shared" si="1"/>
        <v>JB_1123E_WQ</v>
      </c>
      <c r="D63" s="10">
        <v>45260</v>
      </c>
      <c r="E63" s="11">
        <v>0.47361111111111109</v>
      </c>
      <c r="F63" s="1">
        <v>20.9</v>
      </c>
      <c r="G63" s="1">
        <v>106</v>
      </c>
      <c r="H63" s="1">
        <v>7.7</v>
      </c>
      <c r="I63" s="1">
        <v>35.9</v>
      </c>
    </row>
    <row r="64" spans="1:9" ht="14.5" x14ac:dyDescent="0.35">
      <c r="A64" s="1" t="s">
        <v>48</v>
      </c>
      <c r="B64" s="2" t="s">
        <v>60</v>
      </c>
      <c r="C64" s="1" t="str">
        <f t="shared" si="1"/>
        <v>SBT2_1-24_WQ</v>
      </c>
      <c r="D64" s="10">
        <v>45297</v>
      </c>
      <c r="E64" s="11">
        <v>0.4236111111111111</v>
      </c>
      <c r="F64" s="1">
        <v>21.7</v>
      </c>
      <c r="G64" s="1">
        <v>59</v>
      </c>
      <c r="H64" s="1">
        <v>4.3</v>
      </c>
      <c r="I64" s="1">
        <v>31.2</v>
      </c>
    </row>
    <row r="65" spans="1:9" ht="14.5" x14ac:dyDescent="0.35">
      <c r="A65" s="1" t="s">
        <v>42</v>
      </c>
      <c r="B65" s="2" t="s">
        <v>60</v>
      </c>
      <c r="C65" s="1" t="str">
        <f t="shared" si="1"/>
        <v>GB2_1-24_WQ</v>
      </c>
      <c r="D65" s="10">
        <v>45297</v>
      </c>
      <c r="E65" s="11">
        <v>0.40625</v>
      </c>
      <c r="F65" s="1">
        <v>21.7</v>
      </c>
      <c r="G65" s="1">
        <v>92</v>
      </c>
      <c r="H65" s="1">
        <v>7</v>
      </c>
      <c r="I65" s="1">
        <v>24.6</v>
      </c>
    </row>
    <row r="66" spans="1:9" ht="14.5" x14ac:dyDescent="0.35">
      <c r="A66" s="1" t="s">
        <v>43</v>
      </c>
      <c r="B66" s="2" t="s">
        <v>60</v>
      </c>
      <c r="C66" s="1" t="str">
        <f t="shared" ref="C66:C97" si="2">A66&amp;"_"&amp;B66&amp;"_"&amp;"WQ"</f>
        <v>RB_1-24_WQ</v>
      </c>
      <c r="D66" s="10">
        <v>45297</v>
      </c>
      <c r="E66" s="11">
        <v>0.37013888888888891</v>
      </c>
      <c r="F66" s="1">
        <v>21.1</v>
      </c>
      <c r="G66" s="1">
        <v>87</v>
      </c>
      <c r="H66" s="1">
        <v>6.7</v>
      </c>
      <c r="I66" s="1">
        <v>26.4</v>
      </c>
    </row>
    <row r="67" spans="1:9" ht="14.5" x14ac:dyDescent="0.35">
      <c r="A67" s="1" t="s">
        <v>53</v>
      </c>
      <c r="B67" s="2" t="s">
        <v>60</v>
      </c>
      <c r="C67" s="1" t="str">
        <f t="shared" si="2"/>
        <v>TKB_1-24_WQ</v>
      </c>
      <c r="D67" s="10">
        <v>45297</v>
      </c>
      <c r="E67" s="11">
        <v>0.65833333333333333</v>
      </c>
      <c r="F67" s="1">
        <v>21.9</v>
      </c>
      <c r="G67" s="1">
        <v>115</v>
      </c>
      <c r="H67" s="1">
        <v>8.6999999999999993</v>
      </c>
      <c r="I67" s="1">
        <v>26.1</v>
      </c>
    </row>
    <row r="68" spans="1:9" ht="14.5" x14ac:dyDescent="0.35">
      <c r="A68" s="1" t="s">
        <v>54</v>
      </c>
      <c r="B68" s="2" t="s">
        <v>60</v>
      </c>
      <c r="C68" s="1" t="str">
        <f t="shared" si="2"/>
        <v>JB_1-24_WQ</v>
      </c>
      <c r="D68" s="10">
        <v>45297</v>
      </c>
      <c r="E68" s="11">
        <v>0.59513888888888888</v>
      </c>
      <c r="F68" s="1">
        <v>22.1</v>
      </c>
      <c r="G68" s="1">
        <v>108</v>
      </c>
      <c r="H68" s="1">
        <v>7.8</v>
      </c>
      <c r="I68" s="1">
        <v>33.1</v>
      </c>
    </row>
    <row r="69" spans="1:9" ht="14.5" x14ac:dyDescent="0.35">
      <c r="A69" s="1" t="s">
        <v>55</v>
      </c>
      <c r="B69" s="2" t="s">
        <v>60</v>
      </c>
      <c r="C69" s="1" t="str">
        <f t="shared" si="2"/>
        <v>CC_1-24_WQ</v>
      </c>
      <c r="D69" s="10">
        <v>45297</v>
      </c>
      <c r="E69" s="11">
        <v>0.4826388888888889</v>
      </c>
      <c r="F69" s="1">
        <v>20.8</v>
      </c>
      <c r="G69" s="1">
        <v>94</v>
      </c>
      <c r="H69" s="1">
        <v>7.1</v>
      </c>
      <c r="I69" s="1">
        <v>29.6</v>
      </c>
    </row>
    <row r="70" spans="1:9" ht="14.5" x14ac:dyDescent="0.35">
      <c r="A70" s="1" t="s">
        <v>34</v>
      </c>
      <c r="B70" s="2" t="s">
        <v>60</v>
      </c>
      <c r="C70" s="1" t="str">
        <f t="shared" si="2"/>
        <v>MCS1_1-24_WQ</v>
      </c>
      <c r="D70" s="10">
        <v>45298</v>
      </c>
      <c r="E70" s="11">
        <v>0.38819444444444445</v>
      </c>
      <c r="F70" s="1">
        <v>22</v>
      </c>
      <c r="G70" s="1">
        <v>94</v>
      </c>
      <c r="H70" s="1">
        <v>8</v>
      </c>
      <c r="I70" s="1">
        <v>3.2</v>
      </c>
    </row>
    <row r="71" spans="1:9" ht="14.5" x14ac:dyDescent="0.35">
      <c r="A71" s="1" t="s">
        <v>35</v>
      </c>
      <c r="B71" s="2" t="s">
        <v>60</v>
      </c>
      <c r="C71" s="1" t="str">
        <f t="shared" si="2"/>
        <v>MCS2_1-24_WQ</v>
      </c>
      <c r="D71" s="10">
        <v>45298</v>
      </c>
      <c r="E71" s="11">
        <v>0.40347222222222223</v>
      </c>
      <c r="F71" s="1">
        <v>22.2</v>
      </c>
      <c r="G71" s="1">
        <v>95</v>
      </c>
      <c r="H71" s="1">
        <v>8</v>
      </c>
      <c r="I71" s="1">
        <v>3.4</v>
      </c>
    </row>
    <row r="72" spans="1:9" ht="14.5" x14ac:dyDescent="0.35">
      <c r="A72" s="1" t="s">
        <v>36</v>
      </c>
      <c r="B72" s="2" t="s">
        <v>60</v>
      </c>
      <c r="C72" s="1" t="str">
        <f t="shared" si="2"/>
        <v>MCS3_1-24_WQ</v>
      </c>
      <c r="D72" s="10">
        <v>45298</v>
      </c>
      <c r="E72" s="11">
        <v>0.41875000000000001</v>
      </c>
      <c r="F72" s="1">
        <v>22.4</v>
      </c>
      <c r="G72" s="1">
        <v>108</v>
      </c>
      <c r="H72" s="1">
        <v>9</v>
      </c>
      <c r="I72" s="1">
        <v>5.7</v>
      </c>
    </row>
    <row r="73" spans="1:9" ht="14.5" x14ac:dyDescent="0.35">
      <c r="A73" s="1" t="s">
        <v>37</v>
      </c>
      <c r="B73" s="2" t="s">
        <v>60</v>
      </c>
      <c r="C73" s="1" t="str">
        <f t="shared" si="2"/>
        <v>MCS4_1-24_WQ</v>
      </c>
      <c r="D73" s="10">
        <v>45298</v>
      </c>
      <c r="E73" s="11">
        <v>0.43888888888888888</v>
      </c>
      <c r="F73" s="1">
        <v>22.6</v>
      </c>
      <c r="G73" s="1">
        <v>99</v>
      </c>
      <c r="H73" s="1">
        <v>8.1999999999999993</v>
      </c>
      <c r="I73" s="1">
        <v>5.7</v>
      </c>
    </row>
    <row r="74" spans="1:9" ht="14.5" x14ac:dyDescent="0.35">
      <c r="A74" s="1" t="s">
        <v>38</v>
      </c>
      <c r="B74" s="2" t="s">
        <v>60</v>
      </c>
      <c r="C74" s="1" t="str">
        <f t="shared" si="2"/>
        <v>TBHM_1-24_WQ</v>
      </c>
      <c r="D74" s="10">
        <v>45298</v>
      </c>
      <c r="E74" s="11">
        <v>0.45208333333333334</v>
      </c>
      <c r="F74" s="1">
        <v>21.9</v>
      </c>
      <c r="G74" s="1">
        <v>37</v>
      </c>
      <c r="H74" s="1">
        <v>3.1</v>
      </c>
      <c r="I74" s="1">
        <v>5.6</v>
      </c>
    </row>
    <row r="75" spans="1:9" ht="14.5" x14ac:dyDescent="0.35">
      <c r="A75" s="1" t="s">
        <v>50</v>
      </c>
      <c r="B75" s="2" t="s">
        <v>60</v>
      </c>
      <c r="C75" s="1" t="str">
        <f t="shared" si="2"/>
        <v>TBC_1-24_WQ</v>
      </c>
      <c r="D75" s="10">
        <v>45298</v>
      </c>
      <c r="E75" s="11">
        <v>0.48888888888888887</v>
      </c>
      <c r="F75" s="1">
        <v>23.4</v>
      </c>
      <c r="G75" s="1">
        <v>55</v>
      </c>
      <c r="H75" s="1">
        <v>4.5</v>
      </c>
      <c r="I75" s="1">
        <v>7.7</v>
      </c>
    </row>
    <row r="76" spans="1:9" ht="14.5" x14ac:dyDescent="0.35">
      <c r="A76" s="1" t="s">
        <v>39</v>
      </c>
      <c r="B76" s="2" t="s">
        <v>60</v>
      </c>
      <c r="C76" s="1" t="str">
        <f t="shared" si="2"/>
        <v>TBCM_1-24_WQ</v>
      </c>
      <c r="D76" s="10">
        <v>45298</v>
      </c>
      <c r="E76" s="11">
        <v>0.50069444444444444</v>
      </c>
      <c r="F76" s="1">
        <v>25.4</v>
      </c>
      <c r="G76" s="1">
        <v>92</v>
      </c>
      <c r="H76" s="1">
        <v>7.1</v>
      </c>
      <c r="I76" s="1">
        <v>7.4</v>
      </c>
    </row>
    <row r="77" spans="1:9" ht="14.5" x14ac:dyDescent="0.35">
      <c r="A77" s="1" t="s">
        <v>40</v>
      </c>
      <c r="B77" s="2" t="s">
        <v>60</v>
      </c>
      <c r="C77" s="1" t="str">
        <f t="shared" si="2"/>
        <v>TB1_1-24_WQ</v>
      </c>
      <c r="D77" s="10">
        <v>45298</v>
      </c>
      <c r="E77" s="11">
        <v>0.46875</v>
      </c>
      <c r="F77" s="1">
        <v>23.2</v>
      </c>
      <c r="G77" s="1">
        <v>97</v>
      </c>
      <c r="H77" s="1">
        <v>8</v>
      </c>
      <c r="I77" s="1">
        <v>8.6</v>
      </c>
    </row>
    <row r="78" spans="1:9" ht="14.5" x14ac:dyDescent="0.35">
      <c r="A78" s="1" t="s">
        <v>41</v>
      </c>
      <c r="B78" s="2" t="s">
        <v>60</v>
      </c>
      <c r="C78" s="1" t="str">
        <f t="shared" si="2"/>
        <v>TB2_1-24_WQ</v>
      </c>
      <c r="D78" s="10">
        <v>45298</v>
      </c>
      <c r="E78" s="11">
        <v>0.5229166666666667</v>
      </c>
      <c r="F78" s="1">
        <v>22.6</v>
      </c>
      <c r="G78" s="1">
        <v>99</v>
      </c>
      <c r="H78" s="1">
        <v>7.7</v>
      </c>
      <c r="I78" s="1">
        <v>18.8</v>
      </c>
    </row>
    <row r="79" spans="1:9" ht="14.5" x14ac:dyDescent="0.35">
      <c r="A79" s="1" t="s">
        <v>51</v>
      </c>
      <c r="B79" s="2" t="s">
        <v>60</v>
      </c>
      <c r="C79" s="1" t="str">
        <f t="shared" si="2"/>
        <v>WB1_1-24_WQ</v>
      </c>
      <c r="D79" s="10">
        <v>45298</v>
      </c>
      <c r="E79" s="11">
        <v>0.55138888888888893</v>
      </c>
      <c r="F79" s="1">
        <v>22.4</v>
      </c>
      <c r="G79" s="1">
        <v>105</v>
      </c>
      <c r="H79" s="1">
        <v>8</v>
      </c>
      <c r="I79" s="1">
        <v>23.5</v>
      </c>
    </row>
    <row r="80" spans="1:9" ht="14.5" x14ac:dyDescent="0.35">
      <c r="A80" s="1" t="s">
        <v>52</v>
      </c>
      <c r="B80" s="2" t="s">
        <v>60</v>
      </c>
      <c r="C80" s="1" t="str">
        <f t="shared" si="2"/>
        <v>WB2_1-24_WQ</v>
      </c>
      <c r="D80" s="10">
        <v>45298</v>
      </c>
      <c r="E80" s="11">
        <v>0.56805555555555554</v>
      </c>
      <c r="F80" s="1">
        <v>22.8</v>
      </c>
      <c r="G80" s="1">
        <v>101</v>
      </c>
      <c r="H80" s="1">
        <v>7.6</v>
      </c>
      <c r="I80" s="1">
        <v>23.4</v>
      </c>
    </row>
    <row r="81" spans="1:9" ht="14.5" x14ac:dyDescent="0.35">
      <c r="A81" s="1" t="s">
        <v>23</v>
      </c>
      <c r="B81" s="2" t="s">
        <v>60</v>
      </c>
      <c r="C81" s="1" t="str">
        <f t="shared" si="2"/>
        <v>ACS1_1-24_WQ</v>
      </c>
      <c r="D81" s="10">
        <v>45302</v>
      </c>
      <c r="E81" s="11">
        <v>0.66388888888888886</v>
      </c>
      <c r="F81" s="1">
        <v>22.2</v>
      </c>
      <c r="G81" s="1">
        <v>105</v>
      </c>
      <c r="H81" s="1">
        <v>8.6999999999999993</v>
      </c>
      <c r="I81" s="1">
        <v>8.9</v>
      </c>
    </row>
    <row r="82" spans="1:9" ht="15" customHeight="1" x14ac:dyDescent="0.35">
      <c r="A82" s="1" t="s">
        <v>24</v>
      </c>
      <c r="B82" s="2" t="s">
        <v>60</v>
      </c>
      <c r="C82" s="1" t="str">
        <f t="shared" si="2"/>
        <v>ACS2_1-24_WQ</v>
      </c>
      <c r="D82" s="10">
        <v>45302</v>
      </c>
      <c r="E82" s="11">
        <v>0.63472222222222219</v>
      </c>
      <c r="F82" s="1">
        <v>22.6</v>
      </c>
      <c r="G82" s="1">
        <v>105</v>
      </c>
      <c r="H82" s="1">
        <v>8.8000000000000007</v>
      </c>
      <c r="I82" s="1">
        <v>6.4</v>
      </c>
    </row>
    <row r="83" spans="1:9" ht="15" customHeight="1" x14ac:dyDescent="0.35">
      <c r="A83" s="1" t="s">
        <v>25</v>
      </c>
      <c r="B83" s="2" t="s">
        <v>60</v>
      </c>
      <c r="C83" s="1" t="str">
        <f t="shared" si="2"/>
        <v>ACS3_1-24_WQ</v>
      </c>
      <c r="D83" s="10">
        <v>45302</v>
      </c>
      <c r="E83" s="11">
        <v>0.61527777777777781</v>
      </c>
      <c r="F83" s="1">
        <v>22.3</v>
      </c>
      <c r="G83" s="1">
        <v>102</v>
      </c>
      <c r="H83" s="1">
        <v>8.6999999999999993</v>
      </c>
      <c r="I83" s="1">
        <v>4.2</v>
      </c>
    </row>
    <row r="84" spans="1:9" ht="15" customHeight="1" x14ac:dyDescent="0.35">
      <c r="A84" s="1" t="s">
        <v>26</v>
      </c>
      <c r="B84" s="2" t="s">
        <v>60</v>
      </c>
      <c r="C84" s="1" t="str">
        <f t="shared" si="2"/>
        <v>ACS4_1-24_WQ</v>
      </c>
      <c r="D84" s="10">
        <v>45302</v>
      </c>
      <c r="E84" s="11">
        <v>0.58611111111111114</v>
      </c>
      <c r="F84" s="1">
        <v>22.6</v>
      </c>
      <c r="G84" s="1">
        <v>104</v>
      </c>
      <c r="H84" s="1">
        <v>8.6999999999999993</v>
      </c>
      <c r="I84" s="1">
        <v>6.8</v>
      </c>
    </row>
    <row r="85" spans="1:9" ht="15" customHeight="1" x14ac:dyDescent="0.35">
      <c r="A85" s="1" t="s">
        <v>27</v>
      </c>
      <c r="B85" s="2" t="s">
        <v>60</v>
      </c>
      <c r="C85" s="1" t="str">
        <f t="shared" si="2"/>
        <v>ACS5_1-24_WQ</v>
      </c>
      <c r="D85" s="10">
        <v>45302</v>
      </c>
      <c r="E85" s="11">
        <v>0.5444444444444444</v>
      </c>
      <c r="F85" s="1">
        <v>22.4</v>
      </c>
      <c r="G85" s="1">
        <v>82</v>
      </c>
      <c r="H85" s="1">
        <v>6.8</v>
      </c>
      <c r="I85" s="1">
        <v>7</v>
      </c>
    </row>
    <row r="86" spans="1:9" ht="15" customHeight="1" x14ac:dyDescent="0.35">
      <c r="A86" s="1" t="s">
        <v>28</v>
      </c>
      <c r="B86" s="2" t="s">
        <v>60</v>
      </c>
      <c r="C86" s="1" t="str">
        <f t="shared" si="2"/>
        <v>GBHM_1-24_WQ</v>
      </c>
      <c r="D86" s="10">
        <v>45302</v>
      </c>
      <c r="E86" s="11">
        <v>0.5625</v>
      </c>
      <c r="F86" s="1">
        <v>22.1</v>
      </c>
      <c r="G86" s="1">
        <v>88</v>
      </c>
      <c r="H86" s="1">
        <v>7.2</v>
      </c>
      <c r="I86" s="1">
        <v>10.6</v>
      </c>
    </row>
    <row r="87" spans="1:9" ht="15" customHeight="1" x14ac:dyDescent="0.35">
      <c r="A87" s="1" t="s">
        <v>29</v>
      </c>
      <c r="B87" s="2" t="s">
        <v>60</v>
      </c>
      <c r="C87" s="1" t="str">
        <f t="shared" si="2"/>
        <v>DC1_1-24_WQ</v>
      </c>
      <c r="D87" s="10">
        <v>45302</v>
      </c>
      <c r="E87" s="11">
        <v>0.39583333333333331</v>
      </c>
      <c r="F87" s="1">
        <v>20.8</v>
      </c>
      <c r="G87" s="1">
        <v>57</v>
      </c>
      <c r="H87" s="1">
        <v>4.8</v>
      </c>
      <c r="I87" s="1">
        <v>8.6</v>
      </c>
    </row>
    <row r="88" spans="1:9" ht="15" customHeight="1" x14ac:dyDescent="0.35">
      <c r="A88" s="1" t="s">
        <v>30</v>
      </c>
      <c r="B88" s="2" t="s">
        <v>60</v>
      </c>
      <c r="C88" s="1" t="str">
        <f t="shared" si="2"/>
        <v>DCM1_1-24_WQ</v>
      </c>
      <c r="D88" s="10">
        <v>45302</v>
      </c>
      <c r="E88" s="11">
        <v>0.4152777777777778</v>
      </c>
      <c r="F88" s="1">
        <v>22.2</v>
      </c>
      <c r="G88" s="1">
        <v>101</v>
      </c>
      <c r="H88" s="1">
        <v>8.6</v>
      </c>
      <c r="I88" s="1">
        <v>2.6</v>
      </c>
    </row>
    <row r="89" spans="1:9" ht="15" customHeight="1" x14ac:dyDescent="0.35">
      <c r="A89" s="1" t="s">
        <v>31</v>
      </c>
      <c r="B89" s="2" t="s">
        <v>60</v>
      </c>
      <c r="C89" s="1" t="str">
        <f t="shared" si="2"/>
        <v>DC2_1-24_WQ</v>
      </c>
      <c r="D89" s="10">
        <v>45302</v>
      </c>
      <c r="E89" s="11">
        <v>0.44513888888888886</v>
      </c>
      <c r="F89" s="1">
        <v>21.1</v>
      </c>
      <c r="G89" s="1">
        <v>51</v>
      </c>
      <c r="H89" s="1">
        <v>4.3</v>
      </c>
      <c r="I89" s="1">
        <v>7.5</v>
      </c>
    </row>
    <row r="90" spans="1:9" ht="15" customHeight="1" x14ac:dyDescent="0.35">
      <c r="A90" s="1" t="s">
        <v>32</v>
      </c>
      <c r="B90" s="2" t="s">
        <v>60</v>
      </c>
      <c r="C90" s="1" t="str">
        <f t="shared" si="2"/>
        <v>DCM2_1-24_WQ</v>
      </c>
      <c r="D90" s="10">
        <v>45302</v>
      </c>
      <c r="E90" s="11">
        <v>0.4597222222222222</v>
      </c>
      <c r="F90" s="1">
        <v>22.1</v>
      </c>
      <c r="G90" s="1">
        <v>90</v>
      </c>
      <c r="H90" s="1">
        <v>7.6</v>
      </c>
      <c r="I90" s="1">
        <v>8.6</v>
      </c>
    </row>
    <row r="91" spans="1:9" ht="15" customHeight="1" x14ac:dyDescent="0.35">
      <c r="A91" s="1" t="s">
        <v>33</v>
      </c>
      <c r="B91" s="2" t="s">
        <v>60</v>
      </c>
      <c r="C91" s="1" t="str">
        <f t="shared" si="2"/>
        <v>GB1_1-24_WQ</v>
      </c>
      <c r="D91" s="10">
        <v>45302</v>
      </c>
      <c r="E91" s="11">
        <v>0.49305555555555558</v>
      </c>
      <c r="F91" s="1">
        <v>22.6</v>
      </c>
      <c r="G91" s="1">
        <v>93</v>
      </c>
      <c r="H91" s="1">
        <v>7.4</v>
      </c>
      <c r="I91" s="1">
        <v>15.1</v>
      </c>
    </row>
    <row r="92" spans="1:9" ht="15" customHeight="1" x14ac:dyDescent="0.35">
      <c r="A92" s="1" t="s">
        <v>44</v>
      </c>
      <c r="B92" s="2" t="s">
        <v>60</v>
      </c>
      <c r="C92" s="1" t="str">
        <f t="shared" si="2"/>
        <v>TSM1_1-24_WQ</v>
      </c>
      <c r="D92" s="10">
        <v>45324</v>
      </c>
      <c r="E92" s="11">
        <v>0.77083333333333337</v>
      </c>
      <c r="F92" s="1">
        <v>22.5</v>
      </c>
      <c r="G92" s="1">
        <v>78</v>
      </c>
      <c r="H92" s="1">
        <v>6.7</v>
      </c>
      <c r="I92" s="1">
        <v>0.3</v>
      </c>
    </row>
    <row r="93" spans="1:9" ht="15" customHeight="1" x14ac:dyDescent="0.35">
      <c r="A93" s="1" t="s">
        <v>45</v>
      </c>
      <c r="B93" s="2" t="s">
        <v>60</v>
      </c>
      <c r="C93" s="1" t="str">
        <f t="shared" si="2"/>
        <v>TSM3_1-24_WQ</v>
      </c>
      <c r="D93" s="10">
        <v>45324</v>
      </c>
      <c r="E93" s="11">
        <v>0.75</v>
      </c>
      <c r="F93" s="1">
        <v>21.8</v>
      </c>
      <c r="G93" s="1">
        <v>120</v>
      </c>
      <c r="H93" s="1">
        <v>10.9</v>
      </c>
      <c r="I93" s="1">
        <v>0.2</v>
      </c>
    </row>
    <row r="94" spans="1:9" ht="15" customHeight="1" x14ac:dyDescent="0.35">
      <c r="A94" s="1" t="s">
        <v>46</v>
      </c>
      <c r="B94" s="2" t="s">
        <v>60</v>
      </c>
      <c r="C94" s="1" t="str">
        <f t="shared" si="2"/>
        <v>TSM4_1-24_WQ</v>
      </c>
      <c r="D94" s="10">
        <v>45324</v>
      </c>
      <c r="E94" s="11">
        <v>0.73263888888888884</v>
      </c>
      <c r="F94" s="1">
        <v>19.899999999999999</v>
      </c>
      <c r="G94" s="1">
        <v>67</v>
      </c>
      <c r="H94" s="1">
        <v>6.2</v>
      </c>
      <c r="I94" s="1">
        <v>0.1</v>
      </c>
    </row>
    <row r="95" spans="1:9" ht="15" customHeight="1" x14ac:dyDescent="0.35">
      <c r="A95" s="1" t="s">
        <v>47</v>
      </c>
      <c r="B95" s="2" t="s">
        <v>60</v>
      </c>
      <c r="C95" s="1" t="str">
        <f t="shared" si="2"/>
        <v>SBT1_1-24_WQ</v>
      </c>
      <c r="D95" s="10">
        <v>45324</v>
      </c>
      <c r="E95" s="11">
        <v>0.69861111111111107</v>
      </c>
      <c r="F95" s="1">
        <v>22.7</v>
      </c>
      <c r="G95" s="1">
        <v>73</v>
      </c>
      <c r="H95" s="1">
        <v>6.4</v>
      </c>
      <c r="I95" s="1">
        <v>0.1</v>
      </c>
    </row>
    <row r="96" spans="1:9" ht="15" customHeight="1" x14ac:dyDescent="0.35">
      <c r="A96" s="1" t="s">
        <v>13</v>
      </c>
      <c r="B96" s="2" t="s">
        <v>61</v>
      </c>
      <c r="C96" s="1" t="str">
        <f t="shared" si="2"/>
        <v>P37_3-24_WQ</v>
      </c>
      <c r="D96" s="10">
        <v>45358</v>
      </c>
    </row>
    <row r="97" spans="1:13" ht="15" customHeight="1" x14ac:dyDescent="0.35">
      <c r="A97" s="1" t="s">
        <v>18</v>
      </c>
      <c r="B97" s="2" t="s">
        <v>61</v>
      </c>
      <c r="C97" s="1" t="str">
        <f t="shared" si="2"/>
        <v>NCL_3-24_WQ</v>
      </c>
      <c r="D97" s="10">
        <v>45358</v>
      </c>
    </row>
    <row r="98" spans="1:13" ht="15" customHeight="1" x14ac:dyDescent="0.35">
      <c r="A98" s="1" t="s">
        <v>19</v>
      </c>
      <c r="B98" s="2" t="s">
        <v>61</v>
      </c>
      <c r="C98" s="1" t="str">
        <f t="shared" ref="C98:C129" si="3">A98&amp;"_"&amp;B98&amp;"_"&amp;"WQ"</f>
        <v>CP_3-24_WQ</v>
      </c>
      <c r="D98" s="10">
        <v>45358</v>
      </c>
    </row>
    <row r="99" spans="1:13" ht="15" customHeight="1" x14ac:dyDescent="0.35">
      <c r="A99" s="1" t="s">
        <v>20</v>
      </c>
      <c r="B99" s="2" t="s">
        <v>61</v>
      </c>
      <c r="C99" s="1" t="str">
        <f t="shared" si="3"/>
        <v>EP146_3-24_WQ</v>
      </c>
      <c r="D99" s="10">
        <v>45358</v>
      </c>
    </row>
    <row r="100" spans="1:13" ht="15" customHeight="1" x14ac:dyDescent="0.35">
      <c r="A100" s="1" t="s">
        <v>21</v>
      </c>
      <c r="B100" s="2" t="s">
        <v>61</v>
      </c>
      <c r="C100" s="1" t="str">
        <f t="shared" si="3"/>
        <v>OL_3-24_WQ</v>
      </c>
      <c r="D100" s="10">
        <v>45358</v>
      </c>
    </row>
    <row r="101" spans="1:13" ht="15" customHeight="1" x14ac:dyDescent="0.35">
      <c r="A101" s="1" t="s">
        <v>57</v>
      </c>
      <c r="B101" s="2" t="s">
        <v>61</v>
      </c>
      <c r="C101" s="1" t="str">
        <f t="shared" si="3"/>
        <v>TSH_3-24_WQ</v>
      </c>
      <c r="D101" s="10">
        <v>45358</v>
      </c>
    </row>
    <row r="102" spans="1:13" ht="15" customHeight="1" x14ac:dyDescent="0.35">
      <c r="A102" s="1" t="s">
        <v>22</v>
      </c>
      <c r="B102" s="2" t="s">
        <v>61</v>
      </c>
      <c r="C102" s="1" t="str">
        <f t="shared" si="3"/>
        <v>R127_3-24_WQ</v>
      </c>
      <c r="D102" s="10">
        <v>45358</v>
      </c>
    </row>
    <row r="103" spans="1:13" ht="15" customHeight="1" x14ac:dyDescent="0.35">
      <c r="A103" s="1" t="s">
        <v>34</v>
      </c>
      <c r="B103" s="2" t="s">
        <v>62</v>
      </c>
      <c r="C103" s="1" t="str">
        <f t="shared" si="3"/>
        <v>MCS1_4-24_WQ</v>
      </c>
      <c r="D103" s="10">
        <v>45390</v>
      </c>
      <c r="E103" s="11">
        <v>0.5131944444444444</v>
      </c>
      <c r="F103" s="1">
        <v>24.6</v>
      </c>
      <c r="G103" s="1">
        <v>102.8</v>
      </c>
      <c r="H103" s="1">
        <v>8.32</v>
      </c>
      <c r="I103" s="1">
        <v>4.8899999999999997</v>
      </c>
      <c r="J103" s="1">
        <v>8.61</v>
      </c>
      <c r="K103" s="1">
        <v>5.5</v>
      </c>
      <c r="L103" s="1">
        <v>19.04</v>
      </c>
      <c r="M103" s="1">
        <v>57.96</v>
      </c>
    </row>
    <row r="104" spans="1:13" ht="15" customHeight="1" x14ac:dyDescent="0.35">
      <c r="A104" s="1" t="s">
        <v>35</v>
      </c>
      <c r="B104" s="2" t="s">
        <v>62</v>
      </c>
      <c r="C104" s="1" t="str">
        <f t="shared" si="3"/>
        <v>MCS2_4-24_WQ</v>
      </c>
      <c r="D104" s="10">
        <v>45390</v>
      </c>
      <c r="E104" s="11">
        <v>0.55972222222222223</v>
      </c>
      <c r="F104" s="1">
        <v>25</v>
      </c>
      <c r="G104" s="1">
        <v>105.5</v>
      </c>
      <c r="H104" s="1">
        <v>8.4</v>
      </c>
      <c r="I104" s="1">
        <v>6.95</v>
      </c>
      <c r="J104" s="1">
        <v>8.5</v>
      </c>
      <c r="K104" s="1">
        <v>9.3000000000000007</v>
      </c>
      <c r="L104" s="1">
        <v>18.829999999999998</v>
      </c>
      <c r="M104" s="1">
        <v>57.39</v>
      </c>
    </row>
    <row r="105" spans="1:13" ht="15" customHeight="1" x14ac:dyDescent="0.35">
      <c r="A105" s="1" t="s">
        <v>36</v>
      </c>
      <c r="B105" s="2" t="s">
        <v>62</v>
      </c>
      <c r="C105" s="1" t="str">
        <f t="shared" si="3"/>
        <v>MCS3_4-24_WQ</v>
      </c>
      <c r="D105" s="10">
        <v>45390</v>
      </c>
      <c r="E105" s="11">
        <v>0.57638888888888884</v>
      </c>
      <c r="F105" s="1">
        <v>25.1</v>
      </c>
      <c r="G105" s="1">
        <v>107.3</v>
      </c>
      <c r="H105" s="1">
        <v>8.35</v>
      </c>
      <c r="I105" s="1">
        <v>10.53</v>
      </c>
      <c r="J105" s="1">
        <v>8.4600000000000009</v>
      </c>
      <c r="K105" s="1">
        <v>8.11</v>
      </c>
      <c r="L105" s="1">
        <v>19.57</v>
      </c>
      <c r="M105" s="1">
        <v>59.56</v>
      </c>
    </row>
    <row r="106" spans="1:13" ht="15" customHeight="1" x14ac:dyDescent="0.35">
      <c r="A106" s="1" t="s">
        <v>37</v>
      </c>
      <c r="B106" s="2" t="s">
        <v>62</v>
      </c>
      <c r="C106" s="1" t="str">
        <f t="shared" si="3"/>
        <v>MCS4_4-24_WQ</v>
      </c>
      <c r="D106" s="10">
        <v>45390</v>
      </c>
      <c r="E106" s="11">
        <v>0.59583333333333333</v>
      </c>
      <c r="F106" s="1">
        <v>25.6</v>
      </c>
      <c r="G106" s="1">
        <v>95.6</v>
      </c>
      <c r="H106" s="1">
        <v>7.35</v>
      </c>
      <c r="I106" s="1">
        <v>10.74</v>
      </c>
      <c r="J106" s="1">
        <v>8.3800000000000008</v>
      </c>
      <c r="K106" s="1">
        <v>8.5399999999999991</v>
      </c>
      <c r="L106" s="1">
        <v>19.7</v>
      </c>
      <c r="M106" s="1">
        <v>59.95</v>
      </c>
    </row>
    <row r="107" spans="1:13" ht="15" customHeight="1" x14ac:dyDescent="0.35">
      <c r="A107" s="1" t="s">
        <v>38</v>
      </c>
      <c r="B107" s="2" t="s">
        <v>62</v>
      </c>
      <c r="C107" s="1" t="str">
        <f t="shared" si="3"/>
        <v>TBHM_4-24_WQ</v>
      </c>
      <c r="D107" s="10">
        <v>45390</v>
      </c>
      <c r="E107" s="11">
        <v>0.61041666666666672</v>
      </c>
      <c r="F107" s="1">
        <v>25.7</v>
      </c>
      <c r="G107" s="1">
        <v>92.4</v>
      </c>
      <c r="H107" s="1">
        <v>7.1</v>
      </c>
      <c r="I107" s="1">
        <v>10.67</v>
      </c>
      <c r="J107" s="1">
        <v>8.33</v>
      </c>
      <c r="K107" s="1">
        <v>31.78</v>
      </c>
      <c r="L107" s="1">
        <v>17.84</v>
      </c>
      <c r="M107" s="1">
        <v>54.27</v>
      </c>
    </row>
    <row r="108" spans="1:13" ht="15" customHeight="1" x14ac:dyDescent="0.35">
      <c r="A108" s="1" t="s">
        <v>50</v>
      </c>
      <c r="B108" s="2" t="s">
        <v>62</v>
      </c>
      <c r="C108" s="1" t="str">
        <f t="shared" si="3"/>
        <v>TBC_4-24_WQ</v>
      </c>
      <c r="D108" s="10">
        <v>45390</v>
      </c>
      <c r="E108" s="11">
        <v>0.45416666666666666</v>
      </c>
      <c r="F108" s="1">
        <v>23.9</v>
      </c>
      <c r="G108" s="1">
        <v>30.9</v>
      </c>
      <c r="H108" s="1">
        <v>2.2799999999999998</v>
      </c>
      <c r="I108" s="1">
        <v>21.64</v>
      </c>
      <c r="J108" s="1">
        <v>7.26</v>
      </c>
      <c r="K108" s="1">
        <v>16.149999999999999</v>
      </c>
      <c r="L108" s="1">
        <v>37.68</v>
      </c>
      <c r="M108" s="1">
        <v>114.36</v>
      </c>
    </row>
    <row r="109" spans="1:13" ht="15" customHeight="1" x14ac:dyDescent="0.35">
      <c r="A109" s="1" t="s">
        <v>39</v>
      </c>
      <c r="B109" s="2" t="s">
        <v>62</v>
      </c>
      <c r="C109" s="1" t="str">
        <f t="shared" si="3"/>
        <v>TBCM_4-24_WQ</v>
      </c>
      <c r="D109" s="10">
        <v>45390</v>
      </c>
      <c r="E109" s="11">
        <v>0.47291666666666665</v>
      </c>
      <c r="F109" s="1">
        <v>26.7</v>
      </c>
      <c r="G109" s="1">
        <v>125</v>
      </c>
      <c r="H109" s="1">
        <v>10</v>
      </c>
    </row>
    <row r="110" spans="1:13" ht="15" customHeight="1" x14ac:dyDescent="0.35">
      <c r="A110" s="1" t="s">
        <v>40</v>
      </c>
      <c r="B110" s="2" t="s">
        <v>62</v>
      </c>
      <c r="C110" s="1" t="str">
        <f t="shared" si="3"/>
        <v>TB1_4-24_WQ</v>
      </c>
      <c r="D110" s="10">
        <v>45390</v>
      </c>
      <c r="E110" s="11">
        <v>0.49305555555555558</v>
      </c>
      <c r="F110" s="1">
        <v>25</v>
      </c>
      <c r="G110" s="1">
        <v>103.2</v>
      </c>
      <c r="H110" s="1">
        <v>7.75</v>
      </c>
      <c r="I110" s="1">
        <v>16.96</v>
      </c>
      <c r="J110" s="1">
        <v>8.3000000000000007</v>
      </c>
      <c r="K110" s="1">
        <v>9.67</v>
      </c>
      <c r="L110" s="1">
        <v>15.29</v>
      </c>
      <c r="M110" s="1">
        <v>46.63</v>
      </c>
    </row>
    <row r="111" spans="1:13" ht="15" customHeight="1" x14ac:dyDescent="0.35">
      <c r="A111" s="1" t="s">
        <v>41</v>
      </c>
      <c r="B111" s="2" t="s">
        <v>62</v>
      </c>
      <c r="C111" s="1" t="str">
        <f t="shared" si="3"/>
        <v>TB2_4-24_WQ</v>
      </c>
      <c r="D111" s="10">
        <v>45390</v>
      </c>
      <c r="E111" s="11">
        <v>0.63541666666666663</v>
      </c>
      <c r="F111" s="1">
        <v>24.8</v>
      </c>
      <c r="G111" s="1">
        <v>111.9</v>
      </c>
      <c r="H111" s="1">
        <v>7.99</v>
      </c>
      <c r="I111" s="1">
        <v>27.02</v>
      </c>
      <c r="J111" s="1">
        <v>8.32</v>
      </c>
      <c r="K111" s="1">
        <v>2.06</v>
      </c>
      <c r="L111" s="1">
        <v>9.5299999999999994</v>
      </c>
      <c r="M111" s="1">
        <v>29.11</v>
      </c>
    </row>
    <row r="112" spans="1:13" ht="15" customHeight="1" x14ac:dyDescent="0.35">
      <c r="A112" s="1" t="s">
        <v>44</v>
      </c>
      <c r="B112" s="2" t="s">
        <v>62</v>
      </c>
      <c r="C112" s="1" t="str">
        <f t="shared" si="3"/>
        <v>TSM1_4-24_WQ</v>
      </c>
      <c r="D112" s="10">
        <v>45391</v>
      </c>
      <c r="E112" s="11">
        <v>0.52986111111111112</v>
      </c>
      <c r="F112" s="1">
        <v>25.2</v>
      </c>
      <c r="G112" s="1">
        <v>46</v>
      </c>
      <c r="H112" s="1">
        <v>3.8</v>
      </c>
      <c r="I112" s="1">
        <v>0.3</v>
      </c>
    </row>
    <row r="113" spans="1:13" ht="15" customHeight="1" x14ac:dyDescent="0.35">
      <c r="A113" s="1" t="s">
        <v>45</v>
      </c>
      <c r="B113" s="2" t="s">
        <v>62</v>
      </c>
      <c r="C113" s="1" t="str">
        <f t="shared" si="3"/>
        <v>TSM3_4-24_WQ</v>
      </c>
      <c r="D113" s="10">
        <v>45391</v>
      </c>
      <c r="E113" s="11">
        <v>0.49375000000000002</v>
      </c>
      <c r="F113" s="1">
        <v>25.6</v>
      </c>
      <c r="G113" s="1">
        <v>102</v>
      </c>
      <c r="H113" s="1">
        <v>8.6</v>
      </c>
      <c r="I113" s="1">
        <v>0.1</v>
      </c>
    </row>
    <row r="114" spans="1:13" ht="15" customHeight="1" x14ac:dyDescent="0.35">
      <c r="A114" s="1" t="s">
        <v>46</v>
      </c>
      <c r="B114" s="2" t="s">
        <v>62</v>
      </c>
      <c r="C114" s="1" t="str">
        <f t="shared" si="3"/>
        <v>TSM4_4-24_WQ</v>
      </c>
      <c r="D114" s="10">
        <v>45391</v>
      </c>
      <c r="E114" s="11">
        <v>0.47916666666666669</v>
      </c>
      <c r="F114" s="1">
        <v>23.2</v>
      </c>
      <c r="G114" s="1">
        <v>57</v>
      </c>
      <c r="H114" s="1">
        <v>4.9000000000000004</v>
      </c>
      <c r="I114" s="1">
        <v>0.1</v>
      </c>
    </row>
    <row r="115" spans="1:13" ht="15" customHeight="1" x14ac:dyDescent="0.35">
      <c r="A115" s="1" t="s">
        <v>47</v>
      </c>
      <c r="B115" s="2" t="s">
        <v>62</v>
      </c>
      <c r="C115" s="1" t="str">
        <f t="shared" si="3"/>
        <v>SBT1_4-24_WQ</v>
      </c>
      <c r="D115" s="10">
        <v>45391</v>
      </c>
      <c r="E115" s="11">
        <v>0.44236111111111109</v>
      </c>
      <c r="F115" s="1">
        <v>22.9</v>
      </c>
      <c r="G115" s="1">
        <v>36</v>
      </c>
      <c r="H115" s="1">
        <v>2.8</v>
      </c>
      <c r="I115" s="1">
        <v>25.8</v>
      </c>
    </row>
    <row r="116" spans="1:13" ht="15" customHeight="1" x14ac:dyDescent="0.35">
      <c r="A116" s="1" t="s">
        <v>23</v>
      </c>
      <c r="B116" s="2" t="s">
        <v>62</v>
      </c>
      <c r="C116" s="1" t="str">
        <f t="shared" si="3"/>
        <v>ACS1_4-24_WQ</v>
      </c>
      <c r="D116" s="10">
        <v>45392</v>
      </c>
      <c r="E116" s="11">
        <v>0.5805555555555556</v>
      </c>
      <c r="F116" s="1">
        <v>24.3</v>
      </c>
      <c r="G116" s="1">
        <v>105.9</v>
      </c>
      <c r="H116" s="1">
        <v>8.4700000000000006</v>
      </c>
      <c r="I116" s="1">
        <v>7.99</v>
      </c>
      <c r="J116" s="1">
        <v>8.76</v>
      </c>
      <c r="K116" s="1">
        <v>13.84</v>
      </c>
      <c r="L116" s="1">
        <v>29.35</v>
      </c>
      <c r="M116" s="1">
        <v>89.23</v>
      </c>
    </row>
    <row r="117" spans="1:13" ht="15" customHeight="1" x14ac:dyDescent="0.35">
      <c r="A117" s="1" t="s">
        <v>24</v>
      </c>
      <c r="B117" s="2" t="s">
        <v>62</v>
      </c>
      <c r="C117" s="1" t="str">
        <f t="shared" si="3"/>
        <v>ACS2_4-24_WQ</v>
      </c>
      <c r="D117" s="10">
        <v>45392</v>
      </c>
      <c r="E117" s="11">
        <v>0.54652777777777772</v>
      </c>
      <c r="F117" s="1">
        <v>25</v>
      </c>
      <c r="G117" s="1">
        <v>106.7</v>
      </c>
      <c r="H117" s="1">
        <v>8.51</v>
      </c>
      <c r="I117" s="1">
        <v>6.23</v>
      </c>
      <c r="J117" s="1">
        <v>8.4700000000000006</v>
      </c>
      <c r="K117" s="1">
        <v>10.92</v>
      </c>
      <c r="L117" s="1">
        <v>26.35</v>
      </c>
      <c r="M117" s="1">
        <v>80.06</v>
      </c>
    </row>
    <row r="118" spans="1:13" ht="15" customHeight="1" x14ac:dyDescent="0.35">
      <c r="A118" s="1" t="s">
        <v>25</v>
      </c>
      <c r="B118" s="2" t="s">
        <v>62</v>
      </c>
      <c r="C118" s="1" t="str">
        <f t="shared" si="3"/>
        <v>ACS3_4-24_WQ</v>
      </c>
      <c r="D118" s="10">
        <v>45392</v>
      </c>
      <c r="E118" s="11">
        <v>0.52708333333333335</v>
      </c>
      <c r="F118" s="1">
        <v>25</v>
      </c>
      <c r="G118" s="1">
        <v>102</v>
      </c>
      <c r="H118" s="1">
        <v>8.24</v>
      </c>
      <c r="I118" s="1">
        <v>3.96</v>
      </c>
      <c r="J118" s="1">
        <v>8.8000000000000007</v>
      </c>
      <c r="K118" s="1">
        <v>17.350000000000001</v>
      </c>
      <c r="L118" s="1">
        <v>22.11</v>
      </c>
      <c r="M118" s="1">
        <v>65.25</v>
      </c>
    </row>
    <row r="119" spans="1:13" ht="15" customHeight="1" x14ac:dyDescent="0.35">
      <c r="A119" s="1" t="s">
        <v>26</v>
      </c>
      <c r="B119" s="2" t="s">
        <v>62</v>
      </c>
      <c r="C119" s="1" t="str">
        <f t="shared" si="3"/>
        <v>ACS4_4-24_WQ</v>
      </c>
      <c r="D119" s="10">
        <v>45392</v>
      </c>
      <c r="E119" s="11">
        <v>0.4861111111111111</v>
      </c>
      <c r="F119" s="1">
        <v>24.7</v>
      </c>
      <c r="G119" s="1">
        <v>99.1</v>
      </c>
      <c r="H119" s="1">
        <v>7.74</v>
      </c>
      <c r="I119" s="1">
        <v>10.76</v>
      </c>
      <c r="J119" s="1">
        <v>8.27</v>
      </c>
      <c r="K119" s="1">
        <v>45.01</v>
      </c>
      <c r="L119" s="1">
        <v>28.67</v>
      </c>
      <c r="M119" s="1">
        <v>87.06</v>
      </c>
    </row>
    <row r="120" spans="1:13" ht="15" customHeight="1" x14ac:dyDescent="0.35">
      <c r="A120" s="1" t="s">
        <v>27</v>
      </c>
      <c r="B120" s="2" t="s">
        <v>62</v>
      </c>
      <c r="C120" s="1" t="str">
        <f t="shared" si="3"/>
        <v>ACS5_4-24_WQ</v>
      </c>
      <c r="D120" s="10">
        <v>45392</v>
      </c>
      <c r="E120" s="11">
        <v>0.45833333333333331</v>
      </c>
      <c r="F120" s="1">
        <v>24.5</v>
      </c>
      <c r="G120" s="1">
        <v>85.3</v>
      </c>
      <c r="H120" s="1">
        <v>6.59</v>
      </c>
      <c r="I120" s="1">
        <v>13.5</v>
      </c>
      <c r="J120" s="1">
        <v>8.3000000000000007</v>
      </c>
      <c r="K120" s="1">
        <v>22.34</v>
      </c>
      <c r="L120" s="1">
        <v>28.74</v>
      </c>
      <c r="M120" s="1">
        <v>87.29</v>
      </c>
    </row>
    <row r="121" spans="1:13" ht="15" customHeight="1" x14ac:dyDescent="0.35">
      <c r="A121" s="1" t="s">
        <v>28</v>
      </c>
      <c r="B121" s="2" t="s">
        <v>62</v>
      </c>
      <c r="C121" s="1" t="str">
        <f t="shared" si="3"/>
        <v>GBHM_4-24_WQ</v>
      </c>
      <c r="D121" s="10">
        <v>45392</v>
      </c>
      <c r="E121" s="11">
        <v>0.44583333333333336</v>
      </c>
    </row>
    <row r="122" spans="1:13" ht="15" customHeight="1" x14ac:dyDescent="0.35">
      <c r="A122" s="1" t="s">
        <v>29</v>
      </c>
      <c r="B122" s="2" t="s">
        <v>62</v>
      </c>
      <c r="C122" s="1" t="str">
        <f t="shared" si="3"/>
        <v>DC1_4-24_WQ</v>
      </c>
      <c r="D122" s="10">
        <v>45392</v>
      </c>
      <c r="E122" s="11">
        <v>0.35833333333333334</v>
      </c>
      <c r="F122" s="1">
        <v>23.1</v>
      </c>
      <c r="G122" s="1">
        <v>36.799999999999997</v>
      </c>
      <c r="H122" s="1">
        <v>2.73</v>
      </c>
      <c r="I122" s="1">
        <v>24.24</v>
      </c>
      <c r="J122" s="1">
        <v>8.08</v>
      </c>
      <c r="K122" s="1">
        <v>28.55</v>
      </c>
      <c r="L122" s="1">
        <v>43.09</v>
      </c>
      <c r="M122" s="1">
        <v>130.41</v>
      </c>
    </row>
    <row r="123" spans="1:13" ht="15" customHeight="1" x14ac:dyDescent="0.35">
      <c r="A123" s="1" t="s">
        <v>30</v>
      </c>
      <c r="B123" s="2" t="s">
        <v>62</v>
      </c>
      <c r="C123" s="1" t="str">
        <f t="shared" si="3"/>
        <v>DCM1_4-24_WQ</v>
      </c>
      <c r="D123" s="10">
        <v>45392</v>
      </c>
      <c r="E123" s="11">
        <v>0.37083333333333335</v>
      </c>
      <c r="F123" s="1">
        <v>23.3</v>
      </c>
      <c r="G123" s="1">
        <v>49</v>
      </c>
      <c r="H123" s="1">
        <v>4.2</v>
      </c>
      <c r="I123" s="1">
        <v>0.3</v>
      </c>
    </row>
    <row r="124" spans="1:13" ht="15" customHeight="1" x14ac:dyDescent="0.35">
      <c r="A124" s="1" t="s">
        <v>31</v>
      </c>
      <c r="B124" s="2" t="s">
        <v>62</v>
      </c>
      <c r="C124" s="1" t="str">
        <f t="shared" si="3"/>
        <v>DC2_4-24_WQ</v>
      </c>
      <c r="D124" s="10">
        <v>45392</v>
      </c>
      <c r="E124" s="11">
        <v>0.39583333333333331</v>
      </c>
      <c r="F124" s="1">
        <v>22.9</v>
      </c>
      <c r="G124" s="1">
        <v>22.6</v>
      </c>
      <c r="H124" s="1">
        <v>1.68</v>
      </c>
      <c r="I124" s="1">
        <v>23.79</v>
      </c>
      <c r="J124" s="1">
        <v>7.73</v>
      </c>
      <c r="K124" s="1">
        <v>29.08</v>
      </c>
      <c r="L124" s="1">
        <v>49.61</v>
      </c>
      <c r="M124" s="1">
        <v>150.52000000000001</v>
      </c>
    </row>
    <row r="125" spans="1:13" ht="15" customHeight="1" x14ac:dyDescent="0.35">
      <c r="A125" s="1" t="s">
        <v>32</v>
      </c>
      <c r="B125" s="2" t="s">
        <v>62</v>
      </c>
      <c r="C125" s="1" t="str">
        <f t="shared" si="3"/>
        <v>DCM2_4-24_WQ</v>
      </c>
      <c r="D125" s="10">
        <v>45392</v>
      </c>
      <c r="E125" s="11">
        <v>0.40833333333333333</v>
      </c>
    </row>
    <row r="126" spans="1:13" ht="15" customHeight="1" x14ac:dyDescent="0.35">
      <c r="A126" s="1" t="s">
        <v>33</v>
      </c>
      <c r="B126" s="2" t="s">
        <v>62</v>
      </c>
      <c r="C126" s="1" t="str">
        <f t="shared" si="3"/>
        <v>GB1_4-24_WQ</v>
      </c>
      <c r="D126" s="10">
        <v>45392</v>
      </c>
      <c r="E126" s="11">
        <v>0.42569444444444443</v>
      </c>
      <c r="F126" s="1">
        <v>24</v>
      </c>
      <c r="G126" s="1">
        <v>86.5</v>
      </c>
      <c r="H126" s="1">
        <v>6.23</v>
      </c>
      <c r="I126" s="1">
        <v>27.13</v>
      </c>
      <c r="J126" s="1">
        <v>8.27</v>
      </c>
      <c r="K126" s="1">
        <v>12.59</v>
      </c>
      <c r="L126" s="1">
        <v>17.46</v>
      </c>
      <c r="M126" s="1">
        <v>53.1</v>
      </c>
    </row>
    <row r="127" spans="1:13" ht="15" customHeight="1" x14ac:dyDescent="0.35">
      <c r="A127" s="1" t="s">
        <v>48</v>
      </c>
      <c r="B127" s="2" t="s">
        <v>62</v>
      </c>
      <c r="C127" s="1" t="str">
        <f t="shared" si="3"/>
        <v>SBT2_4-24_WQ</v>
      </c>
      <c r="D127" s="10">
        <v>45393</v>
      </c>
      <c r="E127" s="11">
        <v>0.39374999999999999</v>
      </c>
      <c r="F127" s="1">
        <v>25.2</v>
      </c>
      <c r="G127" s="1">
        <v>82.9</v>
      </c>
      <c r="H127" s="1">
        <v>5.61</v>
      </c>
      <c r="I127" s="1">
        <v>34.17</v>
      </c>
      <c r="J127" s="1">
        <v>8.51</v>
      </c>
      <c r="K127" s="1">
        <v>56.5</v>
      </c>
      <c r="L127" s="1">
        <v>13.02</v>
      </c>
      <c r="M127" s="1">
        <v>39.68</v>
      </c>
    </row>
    <row r="128" spans="1:13" ht="15" customHeight="1" x14ac:dyDescent="0.35">
      <c r="A128" s="1" t="s">
        <v>42</v>
      </c>
      <c r="B128" s="2" t="s">
        <v>62</v>
      </c>
      <c r="C128" s="1" t="str">
        <f t="shared" si="3"/>
        <v>GB2_4-24_WQ</v>
      </c>
      <c r="D128" s="10">
        <v>45393</v>
      </c>
      <c r="E128" s="11">
        <v>0.4375</v>
      </c>
      <c r="F128" s="1">
        <v>25.3</v>
      </c>
      <c r="G128" s="1">
        <v>93.6</v>
      </c>
      <c r="H128" s="1">
        <v>6.55</v>
      </c>
      <c r="I128" s="1">
        <v>28.2</v>
      </c>
      <c r="J128" s="1">
        <v>8.18</v>
      </c>
      <c r="K128" s="1">
        <v>32.03</v>
      </c>
      <c r="L128" s="1">
        <v>10.74</v>
      </c>
      <c r="M128" s="1">
        <v>32.700000000000003</v>
      </c>
    </row>
    <row r="129" spans="1:13" ht="15" customHeight="1" x14ac:dyDescent="0.35">
      <c r="A129" s="1" t="s">
        <v>43</v>
      </c>
      <c r="B129" s="2" t="s">
        <v>62</v>
      </c>
      <c r="C129" s="1" t="str">
        <f t="shared" si="3"/>
        <v>RB_4-24_WQ</v>
      </c>
      <c r="D129" s="10">
        <v>45393</v>
      </c>
      <c r="E129" s="11">
        <v>0.45763888888888887</v>
      </c>
      <c r="F129" s="1">
        <v>25.4</v>
      </c>
      <c r="G129" s="1">
        <v>97.6</v>
      </c>
      <c r="H129" s="1">
        <v>6.66</v>
      </c>
      <c r="I129" s="1">
        <v>32.700000000000003</v>
      </c>
      <c r="J129" s="1">
        <v>8.4700000000000006</v>
      </c>
      <c r="K129" s="1">
        <v>3.6</v>
      </c>
      <c r="L129" s="1">
        <v>13.42</v>
      </c>
      <c r="M129" s="1">
        <v>40.909999999999997</v>
      </c>
    </row>
    <row r="130" spans="1:13" ht="15" customHeight="1" x14ac:dyDescent="0.35">
      <c r="A130" s="1" t="s">
        <v>51</v>
      </c>
      <c r="B130" s="2" t="s">
        <v>62</v>
      </c>
      <c r="C130" s="1" t="str">
        <f t="shared" ref="C130:C141" si="4">A130&amp;"_"&amp;B130&amp;"_"&amp;"WQ"</f>
        <v>WB1_4-24_WQ</v>
      </c>
      <c r="D130" s="10">
        <v>45393</v>
      </c>
      <c r="E130" s="11">
        <v>0.48680555555555555</v>
      </c>
      <c r="F130" s="1">
        <v>25.2</v>
      </c>
      <c r="G130" s="1">
        <v>105.9</v>
      </c>
      <c r="H130" s="1">
        <v>7.32</v>
      </c>
      <c r="I130" s="1">
        <v>30.8</v>
      </c>
      <c r="J130" s="1">
        <v>8.42</v>
      </c>
      <c r="K130" s="1">
        <v>1.01</v>
      </c>
      <c r="L130" s="1">
        <v>9.4600000000000009</v>
      </c>
      <c r="M130" s="1">
        <v>28.12</v>
      </c>
    </row>
    <row r="131" spans="1:13" ht="15" customHeight="1" x14ac:dyDescent="0.35">
      <c r="A131" s="1" t="s">
        <v>52</v>
      </c>
      <c r="B131" s="2" t="s">
        <v>62</v>
      </c>
      <c r="C131" s="1" t="str">
        <f t="shared" si="4"/>
        <v>WB2_4-24_WQ</v>
      </c>
      <c r="D131" s="10">
        <v>45393</v>
      </c>
      <c r="E131" s="11">
        <v>0.50624999999999998</v>
      </c>
      <c r="F131" s="1">
        <v>25.4</v>
      </c>
      <c r="G131" s="1">
        <v>102.8</v>
      </c>
      <c r="H131" s="1">
        <v>7.11</v>
      </c>
      <c r="I131" s="1">
        <v>30.45</v>
      </c>
      <c r="J131" s="1">
        <v>8.39</v>
      </c>
      <c r="K131" s="1">
        <v>1.65</v>
      </c>
      <c r="L131" s="1">
        <v>7.4</v>
      </c>
      <c r="M131" s="1">
        <v>22.61</v>
      </c>
    </row>
    <row r="132" spans="1:13" ht="15" customHeight="1" x14ac:dyDescent="0.35">
      <c r="A132" s="1" t="s">
        <v>53</v>
      </c>
      <c r="B132" s="2" t="s">
        <v>62</v>
      </c>
      <c r="C132" s="1" t="str">
        <f t="shared" si="4"/>
        <v>TKB_4-24_WQ</v>
      </c>
      <c r="D132" s="10">
        <v>45393</v>
      </c>
      <c r="E132" s="11">
        <v>0.55000000000000004</v>
      </c>
      <c r="F132" s="1">
        <v>25.5</v>
      </c>
      <c r="G132" s="1">
        <v>106</v>
      </c>
      <c r="H132" s="1">
        <v>7.26</v>
      </c>
      <c r="I132" s="1">
        <v>31.97</v>
      </c>
      <c r="J132" s="1">
        <v>8.34</v>
      </c>
      <c r="K132" s="1">
        <v>1.59</v>
      </c>
      <c r="L132" s="1">
        <v>7.35</v>
      </c>
      <c r="M132" s="1">
        <v>22.44</v>
      </c>
    </row>
    <row r="133" spans="1:13" ht="15" customHeight="1" x14ac:dyDescent="0.35">
      <c r="A133" s="1" t="s">
        <v>54</v>
      </c>
      <c r="B133" s="2" t="s">
        <v>62</v>
      </c>
      <c r="C133" s="1" t="str">
        <f t="shared" si="4"/>
        <v>JB_4-24_WQ</v>
      </c>
      <c r="D133" s="10">
        <v>45393</v>
      </c>
      <c r="E133" s="11">
        <v>0.59583333333333333</v>
      </c>
      <c r="F133" s="1">
        <v>26.25</v>
      </c>
      <c r="G133" s="1">
        <v>122.1</v>
      </c>
      <c r="H133" s="1">
        <v>8.16</v>
      </c>
      <c r="I133" s="1">
        <v>34.26</v>
      </c>
      <c r="J133" s="1">
        <v>8.83</v>
      </c>
      <c r="K133" s="1">
        <v>0.22</v>
      </c>
      <c r="L133" s="1">
        <v>9.3800000000000008</v>
      </c>
      <c r="M133" s="1">
        <v>28.65</v>
      </c>
    </row>
    <row r="134" spans="1:13" ht="15" customHeight="1" x14ac:dyDescent="0.35">
      <c r="A134" s="1" t="s">
        <v>55</v>
      </c>
      <c r="B134" s="2" t="s">
        <v>62</v>
      </c>
      <c r="C134" s="1" t="str">
        <f t="shared" si="4"/>
        <v>CC_4-24_WQ</v>
      </c>
      <c r="D134" s="10">
        <v>45393</v>
      </c>
      <c r="E134" s="11">
        <v>0.63055555555555554</v>
      </c>
      <c r="F134" s="1">
        <v>25.4</v>
      </c>
      <c r="G134" s="1">
        <v>101.3</v>
      </c>
      <c r="H134" s="1">
        <v>6.85</v>
      </c>
      <c r="I134" s="1">
        <v>34.380000000000003</v>
      </c>
      <c r="J134" s="1">
        <v>8.0500000000000007</v>
      </c>
      <c r="K134" s="1">
        <v>43.15</v>
      </c>
      <c r="L134" s="1">
        <v>3.81</v>
      </c>
      <c r="M134" s="1">
        <v>11.87</v>
      </c>
    </row>
    <row r="135" spans="1:13" ht="15" customHeight="1" x14ac:dyDescent="0.35">
      <c r="A135" s="1" t="s">
        <v>13</v>
      </c>
      <c r="B135" s="2" t="s">
        <v>58</v>
      </c>
      <c r="C135" s="1" t="str">
        <f t="shared" si="4"/>
        <v>P37_7-24_WQ</v>
      </c>
      <c r="D135" s="10">
        <v>45476</v>
      </c>
    </row>
    <row r="136" spans="1:13" ht="15" customHeight="1" x14ac:dyDescent="0.35">
      <c r="A136" s="1" t="s">
        <v>18</v>
      </c>
      <c r="B136" s="2" t="s">
        <v>58</v>
      </c>
      <c r="C136" s="1" t="str">
        <f t="shared" si="4"/>
        <v>NCL_7-24_WQ</v>
      </c>
      <c r="D136" s="10">
        <v>45476</v>
      </c>
    </row>
    <row r="137" spans="1:13" ht="15" customHeight="1" x14ac:dyDescent="0.35">
      <c r="A137" s="1" t="s">
        <v>19</v>
      </c>
      <c r="B137" s="2" t="s">
        <v>58</v>
      </c>
      <c r="C137" s="1" t="str">
        <f t="shared" si="4"/>
        <v>CP_7-24_WQ</v>
      </c>
      <c r="D137" s="10">
        <v>45476</v>
      </c>
    </row>
    <row r="138" spans="1:13" ht="15" customHeight="1" x14ac:dyDescent="0.35">
      <c r="A138" s="1" t="s">
        <v>20</v>
      </c>
      <c r="B138" s="2" t="s">
        <v>58</v>
      </c>
      <c r="C138" s="1" t="str">
        <f t="shared" si="4"/>
        <v>EP146_7-24_WQ</v>
      </c>
      <c r="D138" s="10">
        <v>45476</v>
      </c>
    </row>
    <row r="139" spans="1:13" ht="15" customHeight="1" x14ac:dyDescent="0.35">
      <c r="A139" s="1" t="s">
        <v>21</v>
      </c>
      <c r="B139" s="2" t="s">
        <v>58</v>
      </c>
      <c r="C139" s="1" t="str">
        <f t="shared" si="4"/>
        <v>OL_7-24_WQ</v>
      </c>
      <c r="D139" s="10">
        <v>45476</v>
      </c>
    </row>
    <row r="140" spans="1:13" ht="15" customHeight="1" x14ac:dyDescent="0.35">
      <c r="A140" s="1" t="s">
        <v>57</v>
      </c>
      <c r="B140" s="2" t="s">
        <v>58</v>
      </c>
      <c r="C140" s="1" t="str">
        <f t="shared" si="4"/>
        <v>TSH_7-24_WQ</v>
      </c>
      <c r="D140" s="10">
        <v>45476</v>
      </c>
    </row>
    <row r="141" spans="1:13" ht="15" customHeight="1" x14ac:dyDescent="0.35">
      <c r="A141" s="1" t="s">
        <v>22</v>
      </c>
      <c r="B141" s="2" t="s">
        <v>58</v>
      </c>
      <c r="C141" s="1" t="str">
        <f t="shared" si="4"/>
        <v>R127_7-24_WQ</v>
      </c>
      <c r="D141" s="10">
        <v>45476</v>
      </c>
    </row>
  </sheetData>
  <autoFilter ref="A1:M141" xr:uid="{DBDD9896-36CA-4D40-83AC-359BA6207B4A}">
    <sortState xmlns:xlrd2="http://schemas.microsoft.com/office/spreadsheetml/2017/richdata2" ref="A2:M141">
      <sortCondition ref="D1:D14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EF5C-2B53-4A3C-AF77-8C34CCA15F95}">
  <dimension ref="A1:DX185"/>
  <sheetViews>
    <sheetView workbookViewId="0">
      <pane ySplit="1" topLeftCell="A2" activePane="bottomLeft" state="frozen"/>
      <selection pane="bottomLeft" activeCell="G133" sqref="G133"/>
    </sheetView>
  </sheetViews>
  <sheetFormatPr defaultRowHeight="14.5" x14ac:dyDescent="0.35"/>
  <cols>
    <col min="1" max="1" width="14.1796875" style="1" customWidth="1"/>
    <col min="2" max="2" width="16.81640625" style="2" customWidth="1"/>
    <col min="3" max="4" width="15" style="1" customWidth="1"/>
    <col min="5" max="7" width="15" customWidth="1"/>
    <col min="8" max="8" width="17.1796875" customWidth="1"/>
    <col min="9" max="9" width="18.54296875" customWidth="1"/>
    <col min="10" max="10" width="18.81640625" customWidth="1"/>
    <col min="11" max="12" width="20.7265625" customWidth="1"/>
    <col min="13" max="13" width="26.1796875" customWidth="1"/>
    <col min="14" max="14" width="22.81640625" customWidth="1"/>
    <col min="15" max="15" width="21.7265625" customWidth="1"/>
    <col min="16" max="16" width="22.453125" customWidth="1"/>
    <col min="17" max="17" width="1.1796875" customWidth="1"/>
    <col min="18" max="18" width="21.26953125" customWidth="1"/>
    <col min="19" max="19" width="19.1796875" customWidth="1"/>
    <col min="20" max="20" width="1.54296875" customWidth="1"/>
    <col min="21" max="21" width="24" customWidth="1"/>
    <col min="22" max="22" width="22.1796875" customWidth="1"/>
    <col min="23" max="23" width="10.81640625" customWidth="1"/>
    <col min="24" max="24" width="25.1796875" customWidth="1"/>
    <col min="25" max="25" width="17.1796875" customWidth="1"/>
    <col min="26" max="28" width="17.453125" customWidth="1"/>
    <col min="29" max="31" width="21.81640625" customWidth="1"/>
    <col min="32" max="32" width="27.453125" customWidth="1"/>
    <col min="33" max="33" width="28.453125" customWidth="1"/>
    <col min="34" max="34" width="21.54296875" customWidth="1"/>
    <col min="35" max="35" width="21.81640625" customWidth="1"/>
    <col min="36" max="36" width="27.1796875" customWidth="1"/>
    <col min="37" max="37" width="4.54296875" customWidth="1"/>
    <col min="38" max="39" width="17.1796875" customWidth="1"/>
    <col min="40" max="42" width="17.81640625" customWidth="1"/>
    <col min="43" max="43" width="21.54296875" customWidth="1"/>
    <col min="44" max="45" width="22" customWidth="1"/>
    <col min="46" max="46" width="3.453125" customWidth="1"/>
    <col min="47" max="48" width="17.1796875" customWidth="1"/>
    <col min="49" max="51" width="17.453125" customWidth="1"/>
    <col min="52" max="52" width="23.26953125" customWidth="1"/>
    <col min="53" max="53" width="17.54296875" customWidth="1"/>
    <col min="54" max="54" width="21.1796875" customWidth="1"/>
    <col min="55" max="55" width="3.7265625" customWidth="1"/>
    <col min="56" max="56" width="16.81640625" customWidth="1"/>
    <col min="57" max="57" width="17.54296875" customWidth="1"/>
    <col min="58" max="58" width="17.1796875" customWidth="1"/>
  </cols>
  <sheetData>
    <row r="1" spans="1:128" s="45" customFormat="1" ht="63" customHeight="1" thickBot="1" x14ac:dyDescent="0.4">
      <c r="A1" s="35" t="s">
        <v>0</v>
      </c>
      <c r="B1" s="36" t="s">
        <v>1</v>
      </c>
      <c r="C1" s="35" t="s">
        <v>3</v>
      </c>
      <c r="D1" s="35" t="s">
        <v>4</v>
      </c>
      <c r="E1" s="35" t="s">
        <v>117</v>
      </c>
      <c r="F1" s="35" t="s">
        <v>118</v>
      </c>
      <c r="G1" s="35" t="s">
        <v>119</v>
      </c>
      <c r="H1" s="35" t="s">
        <v>120</v>
      </c>
      <c r="I1" s="35" t="s">
        <v>121</v>
      </c>
      <c r="J1" s="41" t="s">
        <v>122</v>
      </c>
      <c r="K1" s="35" t="s">
        <v>123</v>
      </c>
      <c r="L1" s="35" t="s">
        <v>124</v>
      </c>
      <c r="M1" s="35" t="s">
        <v>125</v>
      </c>
      <c r="N1" s="49"/>
      <c r="O1" s="50"/>
      <c r="P1" s="51"/>
      <c r="Q1" s="51"/>
      <c r="R1" s="50"/>
      <c r="S1" s="51"/>
      <c r="T1" s="51"/>
      <c r="U1" s="50"/>
      <c r="V1" s="51"/>
      <c r="W1" s="51"/>
      <c r="X1" s="51"/>
      <c r="Y1" s="51"/>
      <c r="Z1" s="51"/>
      <c r="AA1" s="51"/>
      <c r="AB1" s="51"/>
      <c r="AC1" s="51"/>
      <c r="AD1" s="51"/>
      <c r="AE1" s="52"/>
      <c r="AF1" s="51"/>
      <c r="AG1" s="51"/>
      <c r="AH1" s="52"/>
      <c r="AI1" s="51"/>
      <c r="AJ1" s="51"/>
      <c r="AK1" s="53"/>
      <c r="AL1" s="53"/>
      <c r="AM1" s="53"/>
      <c r="AN1" s="53"/>
      <c r="AO1" s="50"/>
      <c r="AP1" s="50"/>
      <c r="AQ1" s="51"/>
      <c r="AR1" s="53"/>
      <c r="AS1" s="50"/>
      <c r="AT1" s="53"/>
      <c r="AU1" s="50"/>
      <c r="AV1" s="50"/>
      <c r="AW1" s="50"/>
      <c r="AX1" s="50"/>
      <c r="AY1" s="50"/>
      <c r="AZ1" s="51"/>
      <c r="BA1" s="54"/>
      <c r="BB1" s="50"/>
      <c r="BC1" s="53"/>
      <c r="BD1" s="53"/>
      <c r="BE1" s="53"/>
      <c r="BF1" s="53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</row>
    <row r="2" spans="1:128" x14ac:dyDescent="0.35">
      <c r="A2" s="1" t="s">
        <v>21</v>
      </c>
      <c r="B2" s="2" t="s">
        <v>14</v>
      </c>
      <c r="C2" s="1" t="str">
        <f>A2&amp;"_"&amp;B2&amp;"_WQ"</f>
        <v>OL_9-23_WQ</v>
      </c>
      <c r="D2" s="10">
        <v>45184</v>
      </c>
      <c r="E2" s="58">
        <v>0.55138888888888893</v>
      </c>
    </row>
    <row r="3" spans="1:128" x14ac:dyDescent="0.35">
      <c r="A3" s="1" t="s">
        <v>20</v>
      </c>
      <c r="B3" s="2" t="s">
        <v>14</v>
      </c>
      <c r="C3" s="1" t="str">
        <f t="shared" ref="C3:C66" si="0">A3&amp;"_"&amp;B3&amp;"_WQ"</f>
        <v>EP146_9-23_WQ</v>
      </c>
      <c r="D3" s="10">
        <v>45184</v>
      </c>
      <c r="E3" s="58">
        <v>0.52708333333333335</v>
      </c>
    </row>
    <row r="4" spans="1:128" x14ac:dyDescent="0.35">
      <c r="A4" s="1" t="s">
        <v>57</v>
      </c>
      <c r="B4" s="2" t="s">
        <v>14</v>
      </c>
      <c r="C4" s="1" t="str">
        <f t="shared" si="0"/>
        <v>TSH_9-23_WQ</v>
      </c>
      <c r="D4" s="10">
        <v>45184</v>
      </c>
      <c r="E4" s="58">
        <v>0.57986111111111116</v>
      </c>
    </row>
    <row r="5" spans="1:128" x14ac:dyDescent="0.35">
      <c r="A5" s="1" t="s">
        <v>19</v>
      </c>
      <c r="B5" s="2" t="s">
        <v>14</v>
      </c>
      <c r="C5" s="1" t="str">
        <f t="shared" si="0"/>
        <v>CP_9-23_WQ</v>
      </c>
      <c r="D5" s="10">
        <v>45184</v>
      </c>
      <c r="E5" s="58">
        <v>0.47569444444444442</v>
      </c>
    </row>
    <row r="6" spans="1:128" x14ac:dyDescent="0.35">
      <c r="A6" s="1" t="s">
        <v>22</v>
      </c>
      <c r="B6" s="2" t="s">
        <v>14</v>
      </c>
      <c r="C6" s="1" t="str">
        <f t="shared" si="0"/>
        <v>R127_9-23_WQ</v>
      </c>
      <c r="D6" s="10">
        <v>45184</v>
      </c>
      <c r="E6" s="58">
        <v>0.6020833333333333</v>
      </c>
    </row>
    <row r="7" spans="1:128" x14ac:dyDescent="0.35">
      <c r="A7" s="1" t="s">
        <v>13</v>
      </c>
      <c r="B7" s="2" t="s">
        <v>14</v>
      </c>
      <c r="C7" s="1" t="str">
        <f t="shared" si="0"/>
        <v>P37_9-23_WQ</v>
      </c>
      <c r="D7" s="10">
        <v>45184</v>
      </c>
      <c r="E7" s="58">
        <v>0.40069444444444446</v>
      </c>
    </row>
    <row r="8" spans="1:128" x14ac:dyDescent="0.35">
      <c r="A8" s="1" t="s">
        <v>18</v>
      </c>
      <c r="B8" s="2" t="s">
        <v>14</v>
      </c>
      <c r="C8" s="1" t="str">
        <f t="shared" si="0"/>
        <v>NCL_9-23_WQ</v>
      </c>
      <c r="D8" s="10">
        <v>45184</v>
      </c>
      <c r="E8" s="58">
        <v>0.44236111111111109</v>
      </c>
    </row>
    <row r="9" spans="1:128" x14ac:dyDescent="0.35">
      <c r="A9" s="1" t="s">
        <v>28</v>
      </c>
      <c r="B9" s="2" t="s">
        <v>14</v>
      </c>
      <c r="C9" s="1" t="str">
        <f t="shared" si="0"/>
        <v>GBHM_9-23_WQ</v>
      </c>
      <c r="D9" s="10">
        <v>45195</v>
      </c>
      <c r="E9" s="58">
        <v>0.62986111111111109</v>
      </c>
      <c r="I9">
        <v>14.6</v>
      </c>
    </row>
    <row r="10" spans="1:128" x14ac:dyDescent="0.35">
      <c r="A10" s="1" t="s">
        <v>24</v>
      </c>
      <c r="B10" s="2" t="s">
        <v>14</v>
      </c>
      <c r="C10" s="1" t="str">
        <f t="shared" si="0"/>
        <v>ACS2_9-23_WQ</v>
      </c>
      <c r="D10" s="10">
        <v>45195</v>
      </c>
      <c r="E10" s="58">
        <v>0.37013888888888891</v>
      </c>
      <c r="F10">
        <v>29.212</v>
      </c>
      <c r="G10">
        <v>81.2</v>
      </c>
      <c r="H10">
        <v>5.88</v>
      </c>
      <c r="I10">
        <v>11.73</v>
      </c>
      <c r="J10">
        <v>8</v>
      </c>
      <c r="K10">
        <v>3.91</v>
      </c>
      <c r="L10">
        <v>44.93</v>
      </c>
      <c r="M10">
        <v>134.80000000000001</v>
      </c>
    </row>
    <row r="11" spans="1:128" x14ac:dyDescent="0.35">
      <c r="A11" s="1" t="s">
        <v>25</v>
      </c>
      <c r="B11" s="2" t="s">
        <v>14</v>
      </c>
      <c r="C11" s="1" t="str">
        <f t="shared" si="0"/>
        <v>ACS3_9-23_WQ</v>
      </c>
      <c r="D11" s="10">
        <v>45195</v>
      </c>
      <c r="E11" s="58">
        <v>0.39513888888888887</v>
      </c>
      <c r="F11">
        <v>29.082000000000001</v>
      </c>
      <c r="G11">
        <v>92.5</v>
      </c>
      <c r="H11">
        <v>6.68</v>
      </c>
      <c r="I11">
        <v>10.63</v>
      </c>
      <c r="J11">
        <v>8.44</v>
      </c>
      <c r="K11">
        <v>6.53</v>
      </c>
      <c r="L11">
        <v>29.84</v>
      </c>
      <c r="M11">
        <v>89.59</v>
      </c>
    </row>
    <row r="12" spans="1:128" x14ac:dyDescent="0.35">
      <c r="A12" s="1" t="s">
        <v>27</v>
      </c>
      <c r="B12" s="2" t="s">
        <v>14</v>
      </c>
      <c r="C12" s="1" t="str">
        <f t="shared" si="0"/>
        <v>ACS5_9-23_WQ</v>
      </c>
      <c r="D12" s="10">
        <v>45195</v>
      </c>
      <c r="E12" s="58">
        <v>0.61736111111111114</v>
      </c>
      <c r="F12">
        <v>32.003999999999998</v>
      </c>
      <c r="G12">
        <v>78.099999999999994</v>
      </c>
      <c r="H12">
        <v>5.12</v>
      </c>
      <c r="I12">
        <v>20.12</v>
      </c>
      <c r="J12">
        <v>8</v>
      </c>
      <c r="K12">
        <v>20.55</v>
      </c>
      <c r="L12">
        <v>38.869999999999997</v>
      </c>
      <c r="M12">
        <v>116.6</v>
      </c>
    </row>
    <row r="13" spans="1:128" x14ac:dyDescent="0.35">
      <c r="A13" s="1" t="s">
        <v>33</v>
      </c>
      <c r="B13" s="2" t="s">
        <v>14</v>
      </c>
      <c r="C13" s="1" t="str">
        <f t="shared" si="0"/>
        <v>GB1_9-23_WQ</v>
      </c>
      <c r="D13" s="10">
        <v>45195</v>
      </c>
      <c r="E13" s="58">
        <v>0.60277777777777775</v>
      </c>
      <c r="F13">
        <v>30.731000000000002</v>
      </c>
      <c r="G13">
        <v>98.5</v>
      </c>
      <c r="H13">
        <v>6.32</v>
      </c>
      <c r="I13">
        <v>26.84</v>
      </c>
      <c r="J13">
        <v>8.18</v>
      </c>
      <c r="K13">
        <v>9.01</v>
      </c>
      <c r="L13">
        <v>29.6</v>
      </c>
      <c r="M13">
        <v>88.82</v>
      </c>
    </row>
    <row r="14" spans="1:128" x14ac:dyDescent="0.35">
      <c r="A14" s="1" t="s">
        <v>31</v>
      </c>
      <c r="B14" s="2" t="s">
        <v>14</v>
      </c>
      <c r="C14" s="1" t="str">
        <f t="shared" si="0"/>
        <v>DC2_9-23_WQ</v>
      </c>
      <c r="D14" s="10">
        <v>45195</v>
      </c>
      <c r="E14" s="58">
        <v>0.52430555555555558</v>
      </c>
      <c r="F14">
        <v>29.36</v>
      </c>
      <c r="G14">
        <v>29.3</v>
      </c>
      <c r="H14">
        <v>2.0299999999999998</v>
      </c>
      <c r="I14">
        <v>17.670000000000002</v>
      </c>
      <c r="J14">
        <v>7.67</v>
      </c>
      <c r="K14">
        <v>16.510000000000002</v>
      </c>
      <c r="L14">
        <v>45.42</v>
      </c>
      <c r="M14">
        <v>136.16999999999999</v>
      </c>
    </row>
    <row r="15" spans="1:128" x14ac:dyDescent="0.35">
      <c r="A15" s="1" t="s">
        <v>29</v>
      </c>
      <c r="B15" s="2" t="s">
        <v>14</v>
      </c>
      <c r="C15" s="1" t="str">
        <f t="shared" si="0"/>
        <v>DC1_9-23_WQ</v>
      </c>
      <c r="D15" s="10">
        <v>45195</v>
      </c>
      <c r="E15" s="58">
        <v>0.56180555555555556</v>
      </c>
      <c r="F15">
        <v>29.957999999999998</v>
      </c>
      <c r="G15">
        <v>34.6</v>
      </c>
      <c r="H15">
        <v>2.34</v>
      </c>
      <c r="I15">
        <v>19.77</v>
      </c>
      <c r="J15">
        <v>7.9</v>
      </c>
      <c r="K15">
        <v>20.100000000000001</v>
      </c>
      <c r="L15">
        <v>45.1</v>
      </c>
      <c r="M15">
        <v>135.27000000000001</v>
      </c>
    </row>
    <row r="16" spans="1:128" x14ac:dyDescent="0.35">
      <c r="A16" s="1" t="s">
        <v>23</v>
      </c>
      <c r="B16" s="2" t="s">
        <v>14</v>
      </c>
      <c r="C16" s="1" t="str">
        <f t="shared" si="0"/>
        <v>ACS1_9-23_WQ</v>
      </c>
      <c r="D16" s="10">
        <v>45195</v>
      </c>
      <c r="E16" s="58">
        <v>0.33124999999999999</v>
      </c>
      <c r="F16">
        <v>29.152999999999999</v>
      </c>
      <c r="G16">
        <v>84.3</v>
      </c>
      <c r="H16">
        <v>6.02</v>
      </c>
      <c r="I16">
        <v>12.97</v>
      </c>
      <c r="J16">
        <v>8.01</v>
      </c>
      <c r="K16">
        <v>3.82</v>
      </c>
      <c r="L16">
        <v>45.67</v>
      </c>
      <c r="M16">
        <v>137.03</v>
      </c>
    </row>
    <row r="17" spans="1:13" x14ac:dyDescent="0.35">
      <c r="A17" s="1" t="s">
        <v>30</v>
      </c>
      <c r="B17" s="2" t="s">
        <v>14</v>
      </c>
      <c r="C17" s="1" t="str">
        <f t="shared" si="0"/>
        <v>DCM1_9-23_WQ</v>
      </c>
      <c r="D17" s="10">
        <v>45195</v>
      </c>
      <c r="E17" s="58">
        <v>0.58263888888888893</v>
      </c>
      <c r="I17">
        <v>14.4</v>
      </c>
    </row>
    <row r="18" spans="1:13" x14ac:dyDescent="0.35">
      <c r="A18" s="1" t="s">
        <v>32</v>
      </c>
      <c r="B18" s="2" t="s">
        <v>14</v>
      </c>
      <c r="C18" s="1" t="str">
        <f t="shared" si="0"/>
        <v>DCM2_9-23_WQ</v>
      </c>
      <c r="D18" s="10">
        <v>45195</v>
      </c>
      <c r="E18" s="58">
        <v>0.54166666666666663</v>
      </c>
      <c r="I18">
        <v>6.6</v>
      </c>
    </row>
    <row r="19" spans="1:13" x14ac:dyDescent="0.35">
      <c r="A19" s="1" t="s">
        <v>26</v>
      </c>
      <c r="B19" s="2" t="s">
        <v>14</v>
      </c>
      <c r="C19" s="1" t="str">
        <f t="shared" si="0"/>
        <v>ACS4_9-23_WQ</v>
      </c>
      <c r="D19" s="10">
        <v>45195</v>
      </c>
      <c r="E19" s="58">
        <v>0.47083333333333333</v>
      </c>
      <c r="F19">
        <v>28.960999999999999</v>
      </c>
      <c r="G19">
        <v>62.5</v>
      </c>
      <c r="H19">
        <v>4.46</v>
      </c>
      <c r="I19">
        <v>12.86</v>
      </c>
      <c r="J19">
        <v>7.72</v>
      </c>
      <c r="K19">
        <v>4.1500000000000004</v>
      </c>
      <c r="L19">
        <v>45.63</v>
      </c>
      <c r="M19">
        <v>136.80000000000001</v>
      </c>
    </row>
    <row r="20" spans="1:13" x14ac:dyDescent="0.35">
      <c r="A20" s="1" t="s">
        <v>41</v>
      </c>
      <c r="B20" s="2" t="s">
        <v>14</v>
      </c>
      <c r="C20" s="1" t="str">
        <f t="shared" si="0"/>
        <v>TB2_9-23_WQ</v>
      </c>
      <c r="D20" s="10">
        <v>45196</v>
      </c>
      <c r="E20" s="58">
        <v>0.11041666666666666</v>
      </c>
      <c r="F20">
        <v>29.625</v>
      </c>
      <c r="G20">
        <v>93.9</v>
      </c>
      <c r="H20">
        <v>5.94</v>
      </c>
      <c r="I20">
        <v>34.17</v>
      </c>
      <c r="J20">
        <v>8.19</v>
      </c>
      <c r="K20">
        <v>5.36</v>
      </c>
      <c r="L20">
        <v>10.3</v>
      </c>
      <c r="M20">
        <v>31</v>
      </c>
    </row>
    <row r="21" spans="1:13" x14ac:dyDescent="0.35">
      <c r="A21" s="1" t="s">
        <v>50</v>
      </c>
      <c r="B21" s="2" t="s">
        <v>14</v>
      </c>
      <c r="C21" s="1" t="str">
        <f t="shared" si="0"/>
        <v>TBC_9-23_WQ</v>
      </c>
      <c r="D21" s="10">
        <v>45196</v>
      </c>
      <c r="E21" s="58">
        <v>0.56736111111111109</v>
      </c>
      <c r="F21">
        <v>29.954000000000001</v>
      </c>
      <c r="G21">
        <v>81.3</v>
      </c>
      <c r="H21">
        <v>5.19</v>
      </c>
      <c r="I21">
        <v>30.67</v>
      </c>
      <c r="J21">
        <v>7.9</v>
      </c>
      <c r="K21">
        <v>21.54</v>
      </c>
      <c r="L21">
        <v>16.07</v>
      </c>
      <c r="M21">
        <v>48.24</v>
      </c>
    </row>
    <row r="22" spans="1:13" x14ac:dyDescent="0.35">
      <c r="A22" s="1" t="s">
        <v>39</v>
      </c>
      <c r="B22" s="2" t="s">
        <v>14</v>
      </c>
      <c r="C22" s="1" t="str">
        <f t="shared" si="0"/>
        <v>TBCM_9-23_WQ</v>
      </c>
      <c r="D22" s="10">
        <v>45196</v>
      </c>
      <c r="E22" s="58">
        <v>0.59097222222222223</v>
      </c>
      <c r="I22">
        <v>28.2</v>
      </c>
    </row>
    <row r="23" spans="1:13" x14ac:dyDescent="0.35">
      <c r="A23" s="1" t="s">
        <v>42</v>
      </c>
      <c r="B23" s="2" t="s">
        <v>14</v>
      </c>
      <c r="C23" s="1" t="str">
        <f t="shared" si="0"/>
        <v>GB2_9-23_WQ</v>
      </c>
      <c r="D23" s="10">
        <v>45196</v>
      </c>
      <c r="E23" s="58">
        <v>0.15138888888888888</v>
      </c>
      <c r="F23">
        <v>29.896999999999998</v>
      </c>
      <c r="G23">
        <v>111.1</v>
      </c>
      <c r="H23">
        <v>6.99</v>
      </c>
      <c r="I23">
        <v>33.67</v>
      </c>
      <c r="J23">
        <v>8.24</v>
      </c>
      <c r="K23">
        <v>11.51</v>
      </c>
      <c r="L23">
        <v>13.43</v>
      </c>
      <c r="M23">
        <v>40.299999999999997</v>
      </c>
    </row>
    <row r="24" spans="1:13" x14ac:dyDescent="0.35">
      <c r="A24" s="1" t="s">
        <v>38</v>
      </c>
      <c r="B24" s="2" t="s">
        <v>14</v>
      </c>
      <c r="C24" s="1" t="str">
        <f t="shared" si="0"/>
        <v>TBHM_9-23_WQ</v>
      </c>
      <c r="D24" s="10">
        <v>45196</v>
      </c>
      <c r="E24" s="58">
        <v>0.52847222222222223</v>
      </c>
      <c r="I24">
        <v>12.6</v>
      </c>
    </row>
    <row r="25" spans="1:13" x14ac:dyDescent="0.35">
      <c r="A25" s="1" t="s">
        <v>43</v>
      </c>
      <c r="B25" s="2" t="s">
        <v>14</v>
      </c>
      <c r="C25" s="1" t="str">
        <f t="shared" si="0"/>
        <v>RB_9-23_WQ</v>
      </c>
      <c r="D25" s="10">
        <v>45196</v>
      </c>
      <c r="E25" s="58">
        <v>0.62916666666666665</v>
      </c>
      <c r="F25">
        <v>29.484999999999999</v>
      </c>
      <c r="G25">
        <v>111.3</v>
      </c>
      <c r="H25">
        <v>6.97</v>
      </c>
      <c r="I25">
        <v>35.770000000000003</v>
      </c>
      <c r="J25">
        <v>8.2100000000000009</v>
      </c>
      <c r="K25">
        <v>1.9</v>
      </c>
      <c r="L25">
        <v>14.37</v>
      </c>
      <c r="M25">
        <v>43.15</v>
      </c>
    </row>
    <row r="26" spans="1:13" x14ac:dyDescent="0.35">
      <c r="A26" s="1" t="s">
        <v>40</v>
      </c>
      <c r="B26" s="2" t="s">
        <v>14</v>
      </c>
      <c r="C26" s="1" t="str">
        <f t="shared" si="0"/>
        <v>TB1_9-23_WQ</v>
      </c>
      <c r="D26" s="10">
        <v>45196</v>
      </c>
      <c r="E26" s="58">
        <v>0.54374999999999996</v>
      </c>
      <c r="F26">
        <v>30.734000000000002</v>
      </c>
      <c r="G26">
        <v>65.400000000000006</v>
      </c>
      <c r="H26">
        <v>4.34</v>
      </c>
      <c r="I26">
        <v>21.43</v>
      </c>
      <c r="J26">
        <v>7.81</v>
      </c>
      <c r="K26">
        <v>8.73</v>
      </c>
      <c r="L26">
        <v>32.64</v>
      </c>
      <c r="M26">
        <v>97.94</v>
      </c>
    </row>
    <row r="27" spans="1:13" x14ac:dyDescent="0.35">
      <c r="A27" s="1" t="s">
        <v>36</v>
      </c>
      <c r="B27" s="2" t="s">
        <v>14</v>
      </c>
      <c r="C27" s="1" t="str">
        <f t="shared" si="0"/>
        <v>MCS3_9-23_WQ</v>
      </c>
      <c r="D27" s="10">
        <v>45196</v>
      </c>
      <c r="E27" s="58">
        <v>0.48541666666666666</v>
      </c>
      <c r="F27">
        <v>29.199000000000002</v>
      </c>
      <c r="G27">
        <v>89</v>
      </c>
      <c r="H27">
        <v>6.24</v>
      </c>
      <c r="I27">
        <v>15.8</v>
      </c>
      <c r="J27">
        <v>8</v>
      </c>
      <c r="K27">
        <v>3.96</v>
      </c>
      <c r="L27">
        <v>36.56</v>
      </c>
      <c r="M27">
        <v>109.7</v>
      </c>
    </row>
    <row r="28" spans="1:13" x14ac:dyDescent="0.35">
      <c r="A28" s="1" t="s">
        <v>37</v>
      </c>
      <c r="B28" s="2" t="s">
        <v>14</v>
      </c>
      <c r="C28" s="1" t="str">
        <f t="shared" si="0"/>
        <v>MCS4_9-23_WQ</v>
      </c>
      <c r="D28" s="10">
        <v>45196</v>
      </c>
      <c r="E28" s="58">
        <v>0.50624999999999998</v>
      </c>
      <c r="F28">
        <v>29.036000000000001</v>
      </c>
      <c r="G28">
        <v>65.5</v>
      </c>
      <c r="H28">
        <v>4.07</v>
      </c>
      <c r="I28">
        <v>17.45</v>
      </c>
      <c r="J28">
        <v>7.86</v>
      </c>
      <c r="K28">
        <v>8.49</v>
      </c>
      <c r="L28">
        <v>35.200000000000003</v>
      </c>
      <c r="M28">
        <v>105.13</v>
      </c>
    </row>
    <row r="29" spans="1:13" x14ac:dyDescent="0.35">
      <c r="A29" s="1" t="s">
        <v>34</v>
      </c>
      <c r="B29" s="2" t="s">
        <v>14</v>
      </c>
      <c r="C29" s="1" t="str">
        <f t="shared" si="0"/>
        <v>MCS1_9-23_WQ</v>
      </c>
      <c r="D29" s="10">
        <v>45196</v>
      </c>
      <c r="E29" s="58">
        <v>0.45069444444444445</v>
      </c>
      <c r="F29">
        <v>29.140999999999998</v>
      </c>
      <c r="G29">
        <v>95</v>
      </c>
      <c r="H29">
        <v>6.82</v>
      </c>
      <c r="I29">
        <v>12</v>
      </c>
      <c r="J29">
        <v>8.3699999999999992</v>
      </c>
      <c r="K29">
        <v>2.2799999999999998</v>
      </c>
      <c r="L29">
        <v>32.869999999999997</v>
      </c>
      <c r="M29">
        <v>98.63</v>
      </c>
    </row>
    <row r="30" spans="1:13" x14ac:dyDescent="0.35">
      <c r="A30" s="1" t="s">
        <v>35</v>
      </c>
      <c r="B30" s="2" t="s">
        <v>14</v>
      </c>
      <c r="C30" s="1" t="str">
        <f t="shared" si="0"/>
        <v>MCS2_9-23_WQ</v>
      </c>
      <c r="D30" s="10">
        <v>45196</v>
      </c>
      <c r="E30" s="58">
        <v>0.46944444444444444</v>
      </c>
      <c r="F30">
        <v>29.341000000000001</v>
      </c>
      <c r="G30">
        <v>94.4</v>
      </c>
      <c r="H30">
        <v>6.72</v>
      </c>
      <c r="I30">
        <v>12.96</v>
      </c>
      <c r="J30">
        <v>8.1300000000000008</v>
      </c>
      <c r="K30">
        <v>3.99</v>
      </c>
      <c r="L30">
        <v>32.28</v>
      </c>
      <c r="M30">
        <v>96.88</v>
      </c>
    </row>
    <row r="31" spans="1:13" x14ac:dyDescent="0.35">
      <c r="A31" s="1" t="s">
        <v>46</v>
      </c>
      <c r="B31" s="2" t="s">
        <v>14</v>
      </c>
      <c r="C31" s="1" t="str">
        <f t="shared" si="0"/>
        <v>TSM4_9-23_WQ</v>
      </c>
      <c r="D31" s="10">
        <v>45199</v>
      </c>
      <c r="E31" s="58">
        <v>0.38194444444444442</v>
      </c>
    </row>
    <row r="32" spans="1:13" x14ac:dyDescent="0.35">
      <c r="A32" s="1" t="s">
        <v>47</v>
      </c>
      <c r="B32" s="2" t="s">
        <v>14</v>
      </c>
      <c r="C32" s="1" t="str">
        <f t="shared" si="0"/>
        <v>SBT1_9-23_WQ</v>
      </c>
      <c r="D32" s="10">
        <v>45199</v>
      </c>
      <c r="E32" s="58">
        <v>0.34375</v>
      </c>
      <c r="I32">
        <v>28.3</v>
      </c>
    </row>
    <row r="33" spans="1:13" x14ac:dyDescent="0.35">
      <c r="A33" s="1" t="s">
        <v>45</v>
      </c>
      <c r="B33" s="2" t="s">
        <v>14</v>
      </c>
      <c r="C33" s="1" t="str">
        <f t="shared" si="0"/>
        <v>TSM3_9-23_WQ</v>
      </c>
      <c r="D33" s="10">
        <v>45199</v>
      </c>
      <c r="E33" s="58">
        <v>0.39930555555555558</v>
      </c>
    </row>
    <row r="34" spans="1:13" x14ac:dyDescent="0.35">
      <c r="A34" s="1" t="s">
        <v>44</v>
      </c>
      <c r="B34" s="2" t="s">
        <v>14</v>
      </c>
      <c r="C34" s="1" t="str">
        <f t="shared" si="0"/>
        <v>TSM1_9-23_WQ</v>
      </c>
      <c r="D34" s="10">
        <v>45199</v>
      </c>
      <c r="E34" s="58">
        <v>0.44444444444444442</v>
      </c>
    </row>
    <row r="35" spans="1:13" x14ac:dyDescent="0.35">
      <c r="A35" s="1" t="s">
        <v>54</v>
      </c>
      <c r="B35" s="2" t="s">
        <v>14</v>
      </c>
      <c r="C35" s="1" t="str">
        <f t="shared" si="0"/>
        <v>JB_9-23_WQ</v>
      </c>
      <c r="D35" s="10">
        <v>45204</v>
      </c>
      <c r="E35" s="58">
        <v>5.6250000000000001E-2</v>
      </c>
      <c r="F35">
        <v>28.937000000000001</v>
      </c>
      <c r="G35">
        <v>115.4</v>
      </c>
      <c r="H35">
        <v>7.54</v>
      </c>
      <c r="I35">
        <v>37.19</v>
      </c>
      <c r="J35">
        <v>8.56</v>
      </c>
      <c r="K35">
        <v>-0.1</v>
      </c>
      <c r="L35">
        <v>6.44</v>
      </c>
      <c r="M35">
        <v>19.32</v>
      </c>
    </row>
    <row r="36" spans="1:13" x14ac:dyDescent="0.35">
      <c r="A36" s="1" t="s">
        <v>53</v>
      </c>
      <c r="B36" s="2" t="s">
        <v>14</v>
      </c>
      <c r="C36" s="1" t="str">
        <f t="shared" si="0"/>
        <v>TKB_9-23_WQ</v>
      </c>
      <c r="D36" s="10">
        <v>45204</v>
      </c>
      <c r="E36" s="58">
        <v>0.5</v>
      </c>
      <c r="F36">
        <v>28.866</v>
      </c>
      <c r="G36">
        <v>104.5</v>
      </c>
      <c r="H36">
        <v>6.53</v>
      </c>
      <c r="I36">
        <v>38.15</v>
      </c>
      <c r="J36">
        <v>8.3000000000000007</v>
      </c>
      <c r="K36">
        <v>0.24</v>
      </c>
      <c r="L36">
        <v>6.84</v>
      </c>
      <c r="M36">
        <v>20.57</v>
      </c>
    </row>
    <row r="37" spans="1:13" x14ac:dyDescent="0.35">
      <c r="A37" s="1" t="s">
        <v>48</v>
      </c>
      <c r="B37" s="2" t="s">
        <v>14</v>
      </c>
      <c r="C37" s="1" t="str">
        <f t="shared" si="0"/>
        <v>SBT2_9-23_WQ</v>
      </c>
      <c r="D37" s="10">
        <v>45204</v>
      </c>
      <c r="E37" s="58">
        <v>0.37847222222222221</v>
      </c>
      <c r="F37">
        <v>28.196999999999999</v>
      </c>
      <c r="G37">
        <v>72.599999999999994</v>
      </c>
      <c r="H37">
        <v>4.5999999999999996</v>
      </c>
      <c r="I37">
        <v>36.89</v>
      </c>
      <c r="J37">
        <v>8.0399999999999991</v>
      </c>
      <c r="K37">
        <v>7.5</v>
      </c>
      <c r="L37">
        <v>11.51</v>
      </c>
      <c r="M37">
        <v>34.479999999999997</v>
      </c>
    </row>
    <row r="38" spans="1:13" x14ac:dyDescent="0.35">
      <c r="A38" s="1" t="s">
        <v>55</v>
      </c>
      <c r="B38" s="2" t="s">
        <v>14</v>
      </c>
      <c r="C38" s="1" t="str">
        <f t="shared" si="0"/>
        <v>CC_9-23_WQ</v>
      </c>
      <c r="D38" s="10">
        <v>45204</v>
      </c>
      <c r="E38" s="58">
        <v>0.10069444444444445</v>
      </c>
      <c r="F38">
        <v>29.215</v>
      </c>
      <c r="G38">
        <v>109.7</v>
      </c>
      <c r="H38">
        <v>6.84</v>
      </c>
      <c r="I38">
        <v>37.15</v>
      </c>
      <c r="J38">
        <v>8.16</v>
      </c>
      <c r="K38">
        <v>6.37</v>
      </c>
      <c r="L38">
        <v>4.21</v>
      </c>
      <c r="M38">
        <v>12.65</v>
      </c>
    </row>
    <row r="39" spans="1:13" x14ac:dyDescent="0.35">
      <c r="A39" s="1" t="s">
        <v>52</v>
      </c>
      <c r="B39" s="2" t="s">
        <v>14</v>
      </c>
      <c r="C39" s="1" t="str">
        <f t="shared" si="0"/>
        <v>WB2_9-23_WQ</v>
      </c>
      <c r="D39" s="10">
        <v>45204</v>
      </c>
      <c r="E39" s="58">
        <v>0.4513888888888889</v>
      </c>
      <c r="F39">
        <v>29.382000000000001</v>
      </c>
      <c r="G39">
        <v>104.8</v>
      </c>
      <c r="H39">
        <v>6.62</v>
      </c>
      <c r="I39">
        <v>37.409999999999997</v>
      </c>
      <c r="J39">
        <v>8.24</v>
      </c>
      <c r="K39">
        <v>0.98</v>
      </c>
      <c r="L39">
        <v>8.9499999999999993</v>
      </c>
      <c r="M39">
        <v>26.89</v>
      </c>
    </row>
    <row r="40" spans="1:13" x14ac:dyDescent="0.35">
      <c r="A40" s="1" t="s">
        <v>51</v>
      </c>
      <c r="B40" s="2" t="s">
        <v>14</v>
      </c>
      <c r="C40" s="1" t="str">
        <f t="shared" si="0"/>
        <v>WB1_9-23_WQ</v>
      </c>
      <c r="D40" s="10">
        <v>45204</v>
      </c>
      <c r="E40" s="58">
        <v>0.42777777777777776</v>
      </c>
      <c r="F40">
        <v>28.192</v>
      </c>
      <c r="G40">
        <v>85.6</v>
      </c>
      <c r="H40">
        <v>5.48</v>
      </c>
      <c r="I40">
        <v>35.619999999999997</v>
      </c>
      <c r="J40">
        <v>8.0399999999999991</v>
      </c>
      <c r="K40">
        <v>1.56</v>
      </c>
      <c r="L40">
        <v>12.05</v>
      </c>
      <c r="M40">
        <v>36.14</v>
      </c>
    </row>
    <row r="41" spans="1:13" x14ac:dyDescent="0.35">
      <c r="A41" s="1" t="s">
        <v>33</v>
      </c>
      <c r="B41" s="2" t="s">
        <v>109</v>
      </c>
      <c r="C41" s="1" t="str">
        <f t="shared" si="0"/>
        <v>GB1_1123E_WQ</v>
      </c>
      <c r="D41" s="10">
        <v>45258</v>
      </c>
      <c r="E41" s="58">
        <v>0.34027777777777779</v>
      </c>
      <c r="F41">
        <v>23.2</v>
      </c>
      <c r="G41">
        <v>64</v>
      </c>
      <c r="H41">
        <v>5</v>
      </c>
      <c r="I41">
        <v>16.899999999999999</v>
      </c>
    </row>
    <row r="42" spans="1:13" x14ac:dyDescent="0.35">
      <c r="A42" s="1" t="s">
        <v>23</v>
      </c>
      <c r="B42" s="2" t="s">
        <v>109</v>
      </c>
      <c r="C42" s="1" t="str">
        <f t="shared" si="0"/>
        <v>ACS1_1123E_WQ</v>
      </c>
      <c r="D42" s="10">
        <v>45258</v>
      </c>
      <c r="E42" s="58">
        <v>0.44513888888888886</v>
      </c>
      <c r="F42">
        <v>25.2</v>
      </c>
      <c r="G42">
        <v>97</v>
      </c>
      <c r="H42">
        <v>7.6</v>
      </c>
      <c r="I42">
        <v>10</v>
      </c>
    </row>
    <row r="43" spans="1:13" x14ac:dyDescent="0.35">
      <c r="A43" s="1" t="s">
        <v>45</v>
      </c>
      <c r="B43" s="2" t="s">
        <v>109</v>
      </c>
      <c r="C43" s="1" t="str">
        <f t="shared" si="0"/>
        <v>TSM3_1123E_WQ</v>
      </c>
      <c r="D43" s="10">
        <v>45258</v>
      </c>
      <c r="E43" s="58">
        <v>0.55069444444444449</v>
      </c>
      <c r="F43">
        <v>25.2</v>
      </c>
      <c r="G43">
        <v>75</v>
      </c>
      <c r="H43">
        <v>6.3</v>
      </c>
      <c r="I43">
        <v>0.2</v>
      </c>
    </row>
    <row r="44" spans="1:13" x14ac:dyDescent="0.35">
      <c r="A44" s="1" t="s">
        <v>46</v>
      </c>
      <c r="B44" s="2" t="s">
        <v>109</v>
      </c>
      <c r="C44" s="1" t="str">
        <f t="shared" si="0"/>
        <v>TSM4_1123E_WQ</v>
      </c>
      <c r="D44" s="10">
        <v>45258</v>
      </c>
      <c r="E44" s="58">
        <v>0.53819444444444442</v>
      </c>
      <c r="F44">
        <v>24.4</v>
      </c>
      <c r="G44">
        <v>55</v>
      </c>
      <c r="H44">
        <v>4.7</v>
      </c>
      <c r="I44">
        <v>0.2</v>
      </c>
    </row>
    <row r="45" spans="1:13" x14ac:dyDescent="0.35">
      <c r="A45" s="1" t="s">
        <v>47</v>
      </c>
      <c r="B45" s="2" t="s">
        <v>109</v>
      </c>
      <c r="C45" s="1" t="str">
        <f t="shared" si="0"/>
        <v>SBT1_1123E_WQ</v>
      </c>
      <c r="D45" s="10">
        <v>45258</v>
      </c>
      <c r="E45" s="58">
        <v>0.50763888888888886</v>
      </c>
      <c r="F45">
        <v>23.5</v>
      </c>
      <c r="G45">
        <v>11</v>
      </c>
      <c r="H45">
        <v>1.04</v>
      </c>
      <c r="I45">
        <v>10.5</v>
      </c>
    </row>
    <row r="46" spans="1:13" x14ac:dyDescent="0.35">
      <c r="A46" s="1" t="s">
        <v>29</v>
      </c>
      <c r="B46" s="2" t="s">
        <v>109</v>
      </c>
      <c r="C46" s="1" t="str">
        <f t="shared" si="0"/>
        <v>DC1_1123E_WQ</v>
      </c>
      <c r="D46" s="10">
        <v>45258</v>
      </c>
      <c r="E46" s="58">
        <v>0.36388888888888887</v>
      </c>
      <c r="F46">
        <v>20.2</v>
      </c>
      <c r="G46">
        <v>9</v>
      </c>
      <c r="H46">
        <v>0.8</v>
      </c>
      <c r="I46">
        <v>14.4</v>
      </c>
    </row>
    <row r="47" spans="1:13" x14ac:dyDescent="0.35">
      <c r="A47" s="1" t="s">
        <v>30</v>
      </c>
      <c r="B47" s="2" t="s">
        <v>109</v>
      </c>
      <c r="C47" s="1" t="str">
        <f t="shared" si="0"/>
        <v>DCM1_1123E_WQ</v>
      </c>
      <c r="D47" s="10">
        <v>45258</v>
      </c>
      <c r="E47" s="58">
        <v>0.37291666666666667</v>
      </c>
      <c r="F47">
        <v>20</v>
      </c>
      <c r="G47">
        <v>55</v>
      </c>
      <c r="H47">
        <v>4.7</v>
      </c>
      <c r="I47">
        <v>3.6</v>
      </c>
    </row>
    <row r="48" spans="1:13" x14ac:dyDescent="0.35">
      <c r="A48" s="1" t="s">
        <v>13</v>
      </c>
      <c r="B48" s="2" t="s">
        <v>56</v>
      </c>
      <c r="C48" s="1" t="str">
        <f t="shared" si="0"/>
        <v>P37_11_23_WQ</v>
      </c>
      <c r="D48" s="10">
        <v>45259</v>
      </c>
    </row>
    <row r="49" spans="1:9" x14ac:dyDescent="0.35">
      <c r="A49" s="1" t="s">
        <v>20</v>
      </c>
      <c r="B49" s="2" t="s">
        <v>56</v>
      </c>
      <c r="C49" s="1" t="str">
        <f t="shared" si="0"/>
        <v>EP146_11_23_WQ</v>
      </c>
      <c r="D49" s="10">
        <v>45259</v>
      </c>
    </row>
    <row r="50" spans="1:9" x14ac:dyDescent="0.35">
      <c r="A50" s="1" t="s">
        <v>19</v>
      </c>
      <c r="B50" s="2" t="s">
        <v>56</v>
      </c>
      <c r="C50" s="1" t="str">
        <f t="shared" si="0"/>
        <v>CP_11_23_WQ</v>
      </c>
      <c r="D50" s="10">
        <v>45259</v>
      </c>
    </row>
    <row r="51" spans="1:9" x14ac:dyDescent="0.35">
      <c r="A51" s="1" t="s">
        <v>21</v>
      </c>
      <c r="B51" s="2" t="s">
        <v>56</v>
      </c>
      <c r="C51" s="1" t="str">
        <f t="shared" si="0"/>
        <v>OL_11_23_WQ</v>
      </c>
      <c r="D51" s="10">
        <v>45259</v>
      </c>
    </row>
    <row r="52" spans="1:9" x14ac:dyDescent="0.35">
      <c r="A52" s="1" t="s">
        <v>22</v>
      </c>
      <c r="B52" s="2" t="s">
        <v>56</v>
      </c>
      <c r="C52" s="1" t="str">
        <f t="shared" si="0"/>
        <v>R127_11_23_WQ</v>
      </c>
      <c r="D52" s="10">
        <v>45259</v>
      </c>
    </row>
    <row r="53" spans="1:9" x14ac:dyDescent="0.35">
      <c r="A53" s="1" t="s">
        <v>57</v>
      </c>
      <c r="B53" s="2" t="s">
        <v>56</v>
      </c>
      <c r="C53" s="1" t="str">
        <f t="shared" si="0"/>
        <v>TSH_11_23_WQ</v>
      </c>
      <c r="D53" s="10">
        <v>45259</v>
      </c>
    </row>
    <row r="54" spans="1:9" x14ac:dyDescent="0.35">
      <c r="A54" s="1" t="s">
        <v>18</v>
      </c>
      <c r="B54" s="2" t="s">
        <v>56</v>
      </c>
      <c r="C54" s="1" t="str">
        <f t="shared" si="0"/>
        <v>NCL_11_23_WQ</v>
      </c>
      <c r="D54" s="10">
        <v>45259</v>
      </c>
    </row>
    <row r="55" spans="1:9" x14ac:dyDescent="0.35">
      <c r="A55" s="1" t="s">
        <v>48</v>
      </c>
      <c r="B55" s="2" t="s">
        <v>109</v>
      </c>
      <c r="C55" s="1" t="str">
        <f t="shared" si="0"/>
        <v>SBT2_1123E_WQ</v>
      </c>
      <c r="D55" s="10">
        <v>45260</v>
      </c>
      <c r="E55" s="58">
        <v>0.43611111111111112</v>
      </c>
      <c r="F55">
        <v>20.9</v>
      </c>
      <c r="G55">
        <v>136</v>
      </c>
      <c r="H55">
        <v>9.3000000000000007</v>
      </c>
      <c r="I55">
        <v>34.5</v>
      </c>
    </row>
    <row r="56" spans="1:9" x14ac:dyDescent="0.35">
      <c r="A56" s="1" t="s">
        <v>54</v>
      </c>
      <c r="B56" s="2" t="s">
        <v>109</v>
      </c>
      <c r="C56" s="1" t="str">
        <f t="shared" si="0"/>
        <v>JB_1123E_WQ</v>
      </c>
      <c r="D56" s="10">
        <v>45260</v>
      </c>
      <c r="E56" s="58">
        <v>0.47361111111111109</v>
      </c>
      <c r="F56">
        <v>20.9</v>
      </c>
      <c r="G56">
        <v>106</v>
      </c>
      <c r="H56">
        <v>7.7</v>
      </c>
      <c r="I56">
        <v>35.9</v>
      </c>
    </row>
    <row r="57" spans="1:9" x14ac:dyDescent="0.35">
      <c r="A57" s="1" t="s">
        <v>43</v>
      </c>
      <c r="B57" s="2" t="s">
        <v>109</v>
      </c>
      <c r="C57" s="1" t="str">
        <f t="shared" si="0"/>
        <v>RB_1123E_WQ</v>
      </c>
      <c r="D57" s="10">
        <v>45260</v>
      </c>
      <c r="E57" s="58">
        <v>0.36249999999999999</v>
      </c>
      <c r="F57">
        <v>20.5</v>
      </c>
      <c r="G57">
        <v>77</v>
      </c>
      <c r="H57">
        <v>6</v>
      </c>
      <c r="I57">
        <v>29.2</v>
      </c>
    </row>
    <row r="58" spans="1:9" x14ac:dyDescent="0.35">
      <c r="A58" s="1" t="s">
        <v>53</v>
      </c>
      <c r="B58" s="2" t="s">
        <v>109</v>
      </c>
      <c r="C58" s="1" t="str">
        <f t="shared" si="0"/>
        <v>TKB_1123E_WQ</v>
      </c>
      <c r="D58" s="10">
        <v>45260</v>
      </c>
      <c r="E58" s="58">
        <v>0.52916666666666667</v>
      </c>
      <c r="F58">
        <v>22.6</v>
      </c>
      <c r="G58">
        <v>101</v>
      </c>
      <c r="H58">
        <v>7.4</v>
      </c>
      <c r="I58">
        <v>30</v>
      </c>
    </row>
    <row r="59" spans="1:9" x14ac:dyDescent="0.35">
      <c r="A59" s="1" t="s">
        <v>51</v>
      </c>
      <c r="B59" s="2" t="s">
        <v>109</v>
      </c>
      <c r="C59" s="1" t="str">
        <f t="shared" si="0"/>
        <v>WB1_1123E_WQ</v>
      </c>
      <c r="D59" s="10">
        <v>45260</v>
      </c>
      <c r="E59" s="58">
        <v>5.6944444444444443E-2</v>
      </c>
      <c r="F59">
        <v>22.2</v>
      </c>
      <c r="G59">
        <v>96</v>
      </c>
      <c r="H59">
        <v>7.2</v>
      </c>
      <c r="I59">
        <v>26.2</v>
      </c>
    </row>
    <row r="60" spans="1:9" x14ac:dyDescent="0.35">
      <c r="A60" s="1" t="s">
        <v>42</v>
      </c>
      <c r="B60" s="2" t="s">
        <v>109</v>
      </c>
      <c r="C60" s="1" t="str">
        <f t="shared" si="0"/>
        <v>GB2_1123E_WQ</v>
      </c>
      <c r="D60" s="10">
        <v>45260</v>
      </c>
      <c r="E60" s="58">
        <v>0.37847222222222221</v>
      </c>
      <c r="F60">
        <v>19.899999999999999</v>
      </c>
      <c r="G60">
        <v>89</v>
      </c>
      <c r="H60">
        <v>7.2</v>
      </c>
      <c r="I60">
        <v>21.7</v>
      </c>
    </row>
    <row r="61" spans="1:9" x14ac:dyDescent="0.35">
      <c r="A61" s="1" t="s">
        <v>41</v>
      </c>
      <c r="B61" s="2" t="s">
        <v>109</v>
      </c>
      <c r="C61" s="1" t="str">
        <f t="shared" si="0"/>
        <v>TB2_1123E_WQ</v>
      </c>
      <c r="D61" s="10">
        <v>45260</v>
      </c>
      <c r="E61" s="58">
        <v>7.7777777777777779E-2</v>
      </c>
      <c r="F61">
        <v>22.5</v>
      </c>
      <c r="G61">
        <v>98</v>
      </c>
      <c r="H61">
        <v>7.6</v>
      </c>
      <c r="I61">
        <v>22.1</v>
      </c>
    </row>
    <row r="62" spans="1:9" x14ac:dyDescent="0.35">
      <c r="A62" s="1" t="s">
        <v>40</v>
      </c>
      <c r="B62" s="2" t="s">
        <v>109</v>
      </c>
      <c r="C62" s="1" t="str">
        <f t="shared" si="0"/>
        <v>TB1_1123E_WQ</v>
      </c>
      <c r="D62" s="10">
        <v>45260</v>
      </c>
      <c r="E62" s="58">
        <v>9.3055555555555558E-2</v>
      </c>
      <c r="F62">
        <v>22.8</v>
      </c>
      <c r="G62">
        <v>98</v>
      </c>
      <c r="H62">
        <v>8.1</v>
      </c>
      <c r="I62">
        <v>8.6</v>
      </c>
    </row>
    <row r="63" spans="1:9" x14ac:dyDescent="0.35">
      <c r="A63" s="1" t="s">
        <v>34</v>
      </c>
      <c r="B63" s="2" t="s">
        <v>109</v>
      </c>
      <c r="C63" s="1" t="str">
        <f t="shared" si="0"/>
        <v>MCS1_1123E_WQ</v>
      </c>
      <c r="D63" s="10">
        <v>45260</v>
      </c>
      <c r="E63" s="58">
        <v>0.12638888888888888</v>
      </c>
      <c r="F63">
        <v>22.8</v>
      </c>
      <c r="G63">
        <v>99</v>
      </c>
      <c r="H63">
        <v>8.3000000000000007</v>
      </c>
      <c r="I63">
        <v>5</v>
      </c>
    </row>
    <row r="64" spans="1:9" x14ac:dyDescent="0.35">
      <c r="A64" s="1" t="s">
        <v>42</v>
      </c>
      <c r="B64" s="2" t="s">
        <v>60</v>
      </c>
      <c r="C64" s="1" t="str">
        <f t="shared" si="0"/>
        <v>GB2_1-24_WQ</v>
      </c>
      <c r="D64" s="10">
        <v>45297</v>
      </c>
      <c r="E64" s="58">
        <v>0.375</v>
      </c>
      <c r="F64">
        <v>21.7</v>
      </c>
      <c r="G64">
        <v>92</v>
      </c>
      <c r="H64">
        <v>7</v>
      </c>
      <c r="I64">
        <v>24.6</v>
      </c>
    </row>
    <row r="65" spans="1:9" x14ac:dyDescent="0.35">
      <c r="A65" s="1" t="s">
        <v>43</v>
      </c>
      <c r="B65" s="2" t="s">
        <v>60</v>
      </c>
      <c r="C65" s="1" t="str">
        <f t="shared" si="0"/>
        <v>RB_1-24_WQ</v>
      </c>
      <c r="D65" s="10">
        <v>45297</v>
      </c>
      <c r="E65" s="58">
        <v>0.37013888888888891</v>
      </c>
      <c r="F65">
        <v>21.1</v>
      </c>
      <c r="G65">
        <v>87</v>
      </c>
      <c r="H65">
        <v>6.7</v>
      </c>
      <c r="I65">
        <v>26.4</v>
      </c>
    </row>
    <row r="66" spans="1:9" x14ac:dyDescent="0.35">
      <c r="A66" s="1" t="s">
        <v>48</v>
      </c>
      <c r="B66" s="2" t="s">
        <v>60</v>
      </c>
      <c r="C66" s="1" t="str">
        <f t="shared" si="0"/>
        <v>SBT2_1-24_WQ</v>
      </c>
      <c r="D66" s="10">
        <v>45297</v>
      </c>
      <c r="E66" s="58">
        <v>0.4236111111111111</v>
      </c>
      <c r="F66">
        <v>21.7</v>
      </c>
      <c r="G66">
        <v>59</v>
      </c>
      <c r="H66">
        <v>4.3</v>
      </c>
      <c r="I66">
        <v>31.2</v>
      </c>
    </row>
    <row r="67" spans="1:9" x14ac:dyDescent="0.35">
      <c r="A67" s="1" t="s">
        <v>54</v>
      </c>
      <c r="B67" s="2" t="s">
        <v>60</v>
      </c>
      <c r="C67" s="1" t="str">
        <f t="shared" ref="C67:C130" si="1">A67&amp;"_"&amp;B67&amp;"_WQ"</f>
        <v>JB_1-24_WQ</v>
      </c>
      <c r="D67" s="10">
        <v>45297</v>
      </c>
      <c r="E67" s="58">
        <v>0.59513888888888888</v>
      </c>
      <c r="F67">
        <v>22.1</v>
      </c>
      <c r="G67">
        <v>108</v>
      </c>
      <c r="H67">
        <v>7.8</v>
      </c>
      <c r="I67">
        <v>33.1</v>
      </c>
    </row>
    <row r="68" spans="1:9" x14ac:dyDescent="0.35">
      <c r="A68" s="1" t="s">
        <v>55</v>
      </c>
      <c r="B68" s="2" t="s">
        <v>60</v>
      </c>
      <c r="C68" s="1" t="str">
        <f t="shared" si="1"/>
        <v>CC_1-24_WQ</v>
      </c>
      <c r="D68" s="10">
        <v>45297</v>
      </c>
      <c r="E68" s="58">
        <v>0.4826388888888889</v>
      </c>
      <c r="F68">
        <v>20.8</v>
      </c>
      <c r="G68">
        <v>94</v>
      </c>
      <c r="H68">
        <v>7.1</v>
      </c>
      <c r="I68">
        <v>29.6</v>
      </c>
    </row>
    <row r="69" spans="1:9" x14ac:dyDescent="0.35">
      <c r="A69" s="48" t="s">
        <v>53</v>
      </c>
      <c r="B69" s="56" t="s">
        <v>60</v>
      </c>
      <c r="C69" s="1" t="str">
        <f t="shared" si="1"/>
        <v>TKB_1-24_WQ</v>
      </c>
      <c r="D69" s="57">
        <v>45297</v>
      </c>
      <c r="E69" s="58">
        <v>0.65833333333333333</v>
      </c>
      <c r="F69">
        <v>21.9</v>
      </c>
      <c r="G69">
        <v>115</v>
      </c>
      <c r="H69">
        <v>8.6999999999999993</v>
      </c>
      <c r="I69">
        <v>26.1</v>
      </c>
    </row>
    <row r="70" spans="1:9" x14ac:dyDescent="0.35">
      <c r="A70" s="1" t="s">
        <v>51</v>
      </c>
      <c r="B70" s="2" t="s">
        <v>60</v>
      </c>
      <c r="C70" s="1" t="str">
        <f t="shared" si="1"/>
        <v>WB1_1-24_WQ</v>
      </c>
      <c r="D70" s="10">
        <v>45298</v>
      </c>
      <c r="E70" s="58">
        <v>0.56805555555555554</v>
      </c>
      <c r="F70">
        <v>22.8</v>
      </c>
      <c r="G70">
        <v>101</v>
      </c>
      <c r="H70">
        <v>7.6</v>
      </c>
      <c r="I70">
        <v>23.4</v>
      </c>
    </row>
    <row r="71" spans="1:9" x14ac:dyDescent="0.35">
      <c r="A71" s="1" t="s">
        <v>40</v>
      </c>
      <c r="B71" s="2" t="s">
        <v>60</v>
      </c>
      <c r="C71" s="1" t="str">
        <f t="shared" si="1"/>
        <v>TB1_1-24_WQ</v>
      </c>
      <c r="D71" s="10">
        <v>45298</v>
      </c>
      <c r="E71" s="58">
        <v>0.46875</v>
      </c>
      <c r="F71">
        <v>23.2</v>
      </c>
      <c r="G71">
        <v>97</v>
      </c>
      <c r="H71">
        <v>8</v>
      </c>
      <c r="I71">
        <v>8.6</v>
      </c>
    </row>
    <row r="72" spans="1:9" x14ac:dyDescent="0.35">
      <c r="A72" s="1" t="s">
        <v>35</v>
      </c>
      <c r="B72" s="2" t="s">
        <v>60</v>
      </c>
      <c r="C72" s="1" t="str">
        <f t="shared" si="1"/>
        <v>MCS2_1-24_WQ</v>
      </c>
      <c r="D72" s="10">
        <v>45298</v>
      </c>
      <c r="E72" s="58">
        <v>0.40347222222222223</v>
      </c>
      <c r="F72">
        <v>22.2</v>
      </c>
      <c r="G72">
        <v>95</v>
      </c>
      <c r="H72">
        <v>8</v>
      </c>
      <c r="I72">
        <v>3.4</v>
      </c>
    </row>
    <row r="73" spans="1:9" x14ac:dyDescent="0.35">
      <c r="A73" s="1" t="s">
        <v>36</v>
      </c>
      <c r="B73" s="2" t="s">
        <v>60</v>
      </c>
      <c r="C73" s="1" t="str">
        <f t="shared" si="1"/>
        <v>MCS3_1-24_WQ</v>
      </c>
      <c r="D73" s="10">
        <v>45298</v>
      </c>
      <c r="E73" s="58">
        <v>0.41875000000000001</v>
      </c>
      <c r="F73">
        <v>22.4</v>
      </c>
      <c r="G73">
        <v>108</v>
      </c>
      <c r="H73">
        <v>9</v>
      </c>
      <c r="I73">
        <v>5.7</v>
      </c>
    </row>
    <row r="74" spans="1:9" x14ac:dyDescent="0.35">
      <c r="A74" s="1" t="s">
        <v>38</v>
      </c>
      <c r="B74" s="2" t="s">
        <v>60</v>
      </c>
      <c r="C74" s="1" t="str">
        <f t="shared" si="1"/>
        <v>TBHM_1-24_WQ</v>
      </c>
      <c r="D74" s="10">
        <v>45298</v>
      </c>
      <c r="E74" s="58">
        <v>0.45208333333333334</v>
      </c>
      <c r="F74">
        <v>21.9</v>
      </c>
      <c r="G74">
        <v>37</v>
      </c>
      <c r="H74">
        <v>3.1</v>
      </c>
      <c r="I74">
        <v>5.6</v>
      </c>
    </row>
    <row r="75" spans="1:9" x14ac:dyDescent="0.35">
      <c r="A75" s="1" t="s">
        <v>39</v>
      </c>
      <c r="B75" s="2" t="s">
        <v>60</v>
      </c>
      <c r="C75" s="1" t="str">
        <f t="shared" si="1"/>
        <v>TBCM_1-24_WQ</v>
      </c>
      <c r="D75" s="10">
        <v>45298</v>
      </c>
      <c r="E75" s="58">
        <v>0.50069444444444444</v>
      </c>
      <c r="F75">
        <v>25.4</v>
      </c>
      <c r="G75">
        <v>92</v>
      </c>
      <c r="H75">
        <v>7.1</v>
      </c>
      <c r="I75">
        <v>7.4</v>
      </c>
    </row>
    <row r="76" spans="1:9" x14ac:dyDescent="0.35">
      <c r="A76" s="1" t="s">
        <v>34</v>
      </c>
      <c r="B76" s="2" t="s">
        <v>60</v>
      </c>
      <c r="C76" s="1" t="str">
        <f t="shared" si="1"/>
        <v>MCS1_1-24_WQ</v>
      </c>
      <c r="D76" s="10">
        <v>45298</v>
      </c>
      <c r="E76" s="58">
        <v>0.38819444444444445</v>
      </c>
      <c r="F76">
        <v>22</v>
      </c>
      <c r="G76">
        <v>94</v>
      </c>
      <c r="H76">
        <v>8</v>
      </c>
      <c r="I76">
        <v>3.2</v>
      </c>
    </row>
    <row r="77" spans="1:9" x14ac:dyDescent="0.35">
      <c r="A77" s="1" t="s">
        <v>37</v>
      </c>
      <c r="B77" s="2" t="s">
        <v>60</v>
      </c>
      <c r="C77" s="1" t="str">
        <f t="shared" si="1"/>
        <v>MCS4_1-24_WQ</v>
      </c>
      <c r="D77" s="10">
        <v>45298</v>
      </c>
      <c r="E77" s="58">
        <v>0.43888888888888888</v>
      </c>
      <c r="F77">
        <v>22.6</v>
      </c>
      <c r="G77">
        <v>99</v>
      </c>
      <c r="H77">
        <v>8.1999999999999993</v>
      </c>
      <c r="I77">
        <v>5.7</v>
      </c>
    </row>
    <row r="78" spans="1:9" x14ac:dyDescent="0.35">
      <c r="A78" s="1" t="s">
        <v>50</v>
      </c>
      <c r="B78" s="2" t="s">
        <v>60</v>
      </c>
      <c r="C78" s="1" t="str">
        <f t="shared" si="1"/>
        <v>TBC_1-24_WQ</v>
      </c>
      <c r="D78" s="10">
        <v>45298</v>
      </c>
      <c r="E78" s="58">
        <v>0.48888888888888887</v>
      </c>
      <c r="F78">
        <v>23.4</v>
      </c>
      <c r="G78">
        <v>55</v>
      </c>
      <c r="H78">
        <v>4.5</v>
      </c>
      <c r="I78">
        <v>7.7</v>
      </c>
    </row>
    <row r="79" spans="1:9" x14ac:dyDescent="0.35">
      <c r="A79" s="1" t="s">
        <v>41</v>
      </c>
      <c r="B79" s="2" t="s">
        <v>60</v>
      </c>
      <c r="C79" s="1" t="str">
        <f t="shared" si="1"/>
        <v>TB2_1-24_WQ</v>
      </c>
      <c r="D79" s="10">
        <v>45298</v>
      </c>
      <c r="E79" s="58">
        <v>0.5229166666666667</v>
      </c>
      <c r="F79">
        <v>22.6</v>
      </c>
      <c r="G79">
        <v>99</v>
      </c>
      <c r="H79">
        <v>7.7</v>
      </c>
      <c r="I79">
        <v>18.8</v>
      </c>
    </row>
    <row r="80" spans="1:9" x14ac:dyDescent="0.35">
      <c r="A80" s="1" t="s">
        <v>52</v>
      </c>
      <c r="B80" s="2" t="s">
        <v>60</v>
      </c>
      <c r="C80" s="1" t="str">
        <f t="shared" si="1"/>
        <v>WB2_1-24_WQ</v>
      </c>
      <c r="D80" s="10">
        <v>45298</v>
      </c>
      <c r="E80" s="58">
        <v>0.55138888888888893</v>
      </c>
      <c r="F80">
        <v>22.4</v>
      </c>
      <c r="G80">
        <v>105</v>
      </c>
      <c r="H80">
        <v>8</v>
      </c>
      <c r="I80">
        <v>23.5</v>
      </c>
    </row>
    <row r="81" spans="1:9" x14ac:dyDescent="0.35">
      <c r="A81" s="1" t="s">
        <v>27</v>
      </c>
      <c r="B81" s="2" t="s">
        <v>60</v>
      </c>
      <c r="C81" s="1" t="str">
        <f t="shared" si="1"/>
        <v>ACS5_1-24_WQ</v>
      </c>
      <c r="D81" s="10">
        <v>45302</v>
      </c>
      <c r="E81" s="58">
        <v>0.5444444444444444</v>
      </c>
      <c r="F81">
        <v>22.4</v>
      </c>
      <c r="G81">
        <v>82</v>
      </c>
      <c r="H81">
        <v>6.8</v>
      </c>
      <c r="I81">
        <v>7</v>
      </c>
    </row>
    <row r="82" spans="1:9" x14ac:dyDescent="0.35">
      <c r="A82" s="1" t="s">
        <v>33</v>
      </c>
      <c r="B82" s="2" t="s">
        <v>60</v>
      </c>
      <c r="C82" s="1" t="str">
        <f t="shared" si="1"/>
        <v>GB1_1-24_WQ</v>
      </c>
      <c r="D82" s="10">
        <v>45302</v>
      </c>
      <c r="E82" s="58">
        <v>0.49305555555555558</v>
      </c>
      <c r="F82">
        <v>22.6</v>
      </c>
      <c r="G82">
        <v>93</v>
      </c>
      <c r="H82">
        <v>7.4</v>
      </c>
      <c r="I82">
        <v>15.1</v>
      </c>
    </row>
    <row r="83" spans="1:9" x14ac:dyDescent="0.35">
      <c r="A83" s="1" t="s">
        <v>25</v>
      </c>
      <c r="B83" s="2" t="s">
        <v>60</v>
      </c>
      <c r="C83" s="1" t="str">
        <f t="shared" si="1"/>
        <v>ACS3_1-24_WQ</v>
      </c>
      <c r="D83" s="10">
        <v>45302</v>
      </c>
      <c r="E83" s="58">
        <v>0.61527777777777781</v>
      </c>
      <c r="F83">
        <v>22.3</v>
      </c>
      <c r="G83">
        <v>102</v>
      </c>
      <c r="H83">
        <v>8.6999999999999993</v>
      </c>
      <c r="I83">
        <v>4.2</v>
      </c>
    </row>
    <row r="84" spans="1:9" x14ac:dyDescent="0.35">
      <c r="A84" s="1" t="s">
        <v>32</v>
      </c>
      <c r="B84" s="2" t="s">
        <v>60</v>
      </c>
      <c r="C84" s="1" t="str">
        <f t="shared" si="1"/>
        <v>DCM2_1-24_WQ</v>
      </c>
      <c r="D84" s="10">
        <v>45302</v>
      </c>
      <c r="E84" s="58">
        <v>0.4597222222222222</v>
      </c>
      <c r="F84">
        <v>22.1</v>
      </c>
      <c r="G84">
        <v>90</v>
      </c>
      <c r="H84">
        <v>7.6</v>
      </c>
      <c r="I84">
        <v>8.6</v>
      </c>
    </row>
    <row r="85" spans="1:9" x14ac:dyDescent="0.35">
      <c r="A85" s="1" t="s">
        <v>28</v>
      </c>
      <c r="B85" s="2" t="s">
        <v>60</v>
      </c>
      <c r="C85" s="1" t="str">
        <f t="shared" si="1"/>
        <v>GBHM_1-24_WQ</v>
      </c>
      <c r="D85" s="10">
        <v>45302</v>
      </c>
      <c r="E85" s="58">
        <v>0.5625</v>
      </c>
      <c r="F85">
        <v>22.1</v>
      </c>
      <c r="G85">
        <v>88</v>
      </c>
      <c r="H85">
        <v>7.2</v>
      </c>
      <c r="I85">
        <v>10.6</v>
      </c>
    </row>
    <row r="86" spans="1:9" x14ac:dyDescent="0.35">
      <c r="A86" s="1" t="s">
        <v>23</v>
      </c>
      <c r="B86" s="2" t="s">
        <v>60</v>
      </c>
      <c r="C86" s="1" t="str">
        <f t="shared" si="1"/>
        <v>ACS1_1-24_WQ</v>
      </c>
      <c r="D86" s="10">
        <v>45302</v>
      </c>
      <c r="E86" s="58">
        <v>0.66388888888888886</v>
      </c>
      <c r="F86">
        <v>22.2</v>
      </c>
      <c r="G86">
        <v>105</v>
      </c>
      <c r="H86">
        <v>8.6999999999999993</v>
      </c>
      <c r="I86">
        <v>8.9</v>
      </c>
    </row>
    <row r="87" spans="1:9" x14ac:dyDescent="0.35">
      <c r="A87" s="1" t="s">
        <v>26</v>
      </c>
      <c r="B87" s="2" t="s">
        <v>60</v>
      </c>
      <c r="C87" s="1" t="str">
        <f t="shared" si="1"/>
        <v>ACS4_1-24_WQ</v>
      </c>
      <c r="D87" s="10">
        <v>45302</v>
      </c>
      <c r="E87" s="58">
        <v>0.58611111111111114</v>
      </c>
      <c r="F87">
        <v>22.6</v>
      </c>
      <c r="G87">
        <v>104</v>
      </c>
      <c r="H87">
        <v>8.6999999999999993</v>
      </c>
      <c r="I87">
        <v>6.8</v>
      </c>
    </row>
    <row r="88" spans="1:9" x14ac:dyDescent="0.35">
      <c r="A88" s="1" t="s">
        <v>31</v>
      </c>
      <c r="B88" s="2" t="s">
        <v>60</v>
      </c>
      <c r="C88" s="1" t="str">
        <f t="shared" si="1"/>
        <v>DC2_1-24_WQ</v>
      </c>
      <c r="D88" s="10">
        <v>45302</v>
      </c>
      <c r="E88" s="58">
        <v>0.44513888888888886</v>
      </c>
      <c r="F88">
        <v>21.1</v>
      </c>
      <c r="G88">
        <v>51</v>
      </c>
      <c r="H88">
        <v>4.3</v>
      </c>
      <c r="I88">
        <v>7.5</v>
      </c>
    </row>
    <row r="89" spans="1:9" x14ac:dyDescent="0.35">
      <c r="A89" s="1" t="s">
        <v>24</v>
      </c>
      <c r="B89" s="2" t="s">
        <v>60</v>
      </c>
      <c r="C89" s="1" t="str">
        <f t="shared" si="1"/>
        <v>ACS2_1-24_WQ</v>
      </c>
      <c r="D89" s="10">
        <v>45302</v>
      </c>
      <c r="E89" s="58">
        <v>0.63472222222222219</v>
      </c>
      <c r="F89">
        <v>22.6</v>
      </c>
      <c r="G89">
        <v>105</v>
      </c>
      <c r="H89">
        <v>8.8000000000000007</v>
      </c>
      <c r="I89">
        <v>6.4</v>
      </c>
    </row>
    <row r="90" spans="1:9" x14ac:dyDescent="0.35">
      <c r="A90" s="1" t="s">
        <v>29</v>
      </c>
      <c r="B90" s="2" t="s">
        <v>60</v>
      </c>
      <c r="C90" s="1" t="str">
        <f t="shared" si="1"/>
        <v>DC1_1-24_WQ</v>
      </c>
      <c r="D90" s="10">
        <v>45302</v>
      </c>
      <c r="E90" s="58">
        <v>0.39583333333333331</v>
      </c>
      <c r="F90">
        <v>20.8</v>
      </c>
      <c r="G90">
        <v>57</v>
      </c>
      <c r="H90">
        <v>4.8</v>
      </c>
      <c r="I90">
        <v>8.6</v>
      </c>
    </row>
    <row r="91" spans="1:9" x14ac:dyDescent="0.35">
      <c r="A91" s="1" t="s">
        <v>30</v>
      </c>
      <c r="B91" s="2" t="s">
        <v>60</v>
      </c>
      <c r="C91" s="1" t="str">
        <f t="shared" si="1"/>
        <v>DCM1_1-24_WQ</v>
      </c>
      <c r="D91" s="10">
        <v>45302</v>
      </c>
      <c r="E91" s="58">
        <v>0.4152777777777778</v>
      </c>
      <c r="F91">
        <v>22.2</v>
      </c>
      <c r="G91">
        <v>101</v>
      </c>
      <c r="H91">
        <v>8.6</v>
      </c>
      <c r="I91">
        <v>2.6</v>
      </c>
    </row>
    <row r="92" spans="1:9" x14ac:dyDescent="0.35">
      <c r="A92" s="1" t="s">
        <v>47</v>
      </c>
      <c r="B92" s="2" t="s">
        <v>60</v>
      </c>
      <c r="C92" s="1" t="str">
        <f t="shared" si="1"/>
        <v>SBT1_1-24_WQ</v>
      </c>
      <c r="D92" s="10">
        <v>45324</v>
      </c>
      <c r="E92" s="58">
        <v>0.1986111111111111</v>
      </c>
      <c r="F92">
        <v>22.7</v>
      </c>
      <c r="G92">
        <v>73</v>
      </c>
      <c r="H92">
        <v>6.4</v>
      </c>
      <c r="I92">
        <v>0.1</v>
      </c>
    </row>
    <row r="93" spans="1:9" x14ac:dyDescent="0.35">
      <c r="A93" s="1" t="s">
        <v>44</v>
      </c>
      <c r="B93" s="2" t="s">
        <v>60</v>
      </c>
      <c r="C93" s="1" t="str">
        <f t="shared" si="1"/>
        <v>TSM1_1-24_WQ</v>
      </c>
      <c r="D93" s="10">
        <v>45324</v>
      </c>
      <c r="E93" s="58">
        <v>0.27083333333333331</v>
      </c>
      <c r="F93">
        <v>22.5</v>
      </c>
      <c r="G93">
        <v>67</v>
      </c>
      <c r="H93">
        <v>7.8</v>
      </c>
      <c r="I93">
        <v>0.3</v>
      </c>
    </row>
    <row r="94" spans="1:9" x14ac:dyDescent="0.35">
      <c r="A94" s="1" t="s">
        <v>46</v>
      </c>
      <c r="B94" s="2" t="s">
        <v>60</v>
      </c>
      <c r="C94" s="1" t="str">
        <f t="shared" si="1"/>
        <v>TSM4_1-24_WQ</v>
      </c>
      <c r="D94" s="10">
        <v>45324</v>
      </c>
      <c r="E94" s="58">
        <v>0.2326388888888889</v>
      </c>
      <c r="F94">
        <v>19.899999999999999</v>
      </c>
      <c r="G94">
        <v>67</v>
      </c>
      <c r="H94">
        <v>6.2</v>
      </c>
      <c r="I94">
        <v>0.1</v>
      </c>
    </row>
    <row r="95" spans="1:9" x14ac:dyDescent="0.35">
      <c r="A95" s="1" t="s">
        <v>45</v>
      </c>
      <c r="B95" s="2" t="s">
        <v>60</v>
      </c>
      <c r="C95" s="1" t="str">
        <f t="shared" si="1"/>
        <v>TSM3_1-24_WQ</v>
      </c>
      <c r="D95" s="10">
        <v>45324</v>
      </c>
      <c r="E95" s="58">
        <v>0.25</v>
      </c>
      <c r="F95">
        <v>21.8</v>
      </c>
      <c r="G95">
        <v>120</v>
      </c>
      <c r="H95">
        <v>10.9</v>
      </c>
      <c r="I95">
        <v>0.2</v>
      </c>
    </row>
    <row r="96" spans="1:9" x14ac:dyDescent="0.35">
      <c r="A96" s="1" t="s">
        <v>21</v>
      </c>
      <c r="B96" s="2" t="s">
        <v>61</v>
      </c>
      <c r="C96" s="1" t="str">
        <f t="shared" si="1"/>
        <v>OL_3-24_WQ</v>
      </c>
      <c r="D96" s="10">
        <v>45358</v>
      </c>
    </row>
    <row r="97" spans="1:13" x14ac:dyDescent="0.35">
      <c r="A97" s="1" t="s">
        <v>57</v>
      </c>
      <c r="B97" s="2" t="s">
        <v>61</v>
      </c>
      <c r="C97" s="1" t="str">
        <f t="shared" si="1"/>
        <v>TSH_3-24_WQ</v>
      </c>
      <c r="D97" s="10">
        <v>45358</v>
      </c>
    </row>
    <row r="98" spans="1:13" x14ac:dyDescent="0.35">
      <c r="A98" s="1" t="s">
        <v>18</v>
      </c>
      <c r="B98" s="2" t="s">
        <v>61</v>
      </c>
      <c r="C98" s="1" t="str">
        <f t="shared" si="1"/>
        <v>NCL_3-24_WQ</v>
      </c>
      <c r="D98" s="10">
        <v>45358</v>
      </c>
    </row>
    <row r="99" spans="1:13" x14ac:dyDescent="0.35">
      <c r="A99" s="1" t="s">
        <v>13</v>
      </c>
      <c r="B99" s="2" t="s">
        <v>61</v>
      </c>
      <c r="C99" s="1" t="str">
        <f t="shared" si="1"/>
        <v>P37_3-24_WQ</v>
      </c>
      <c r="D99" s="10">
        <v>45358</v>
      </c>
    </row>
    <row r="100" spans="1:13" x14ac:dyDescent="0.35">
      <c r="A100" s="1" t="s">
        <v>19</v>
      </c>
      <c r="B100" s="2" t="s">
        <v>61</v>
      </c>
      <c r="C100" s="1" t="str">
        <f t="shared" si="1"/>
        <v>CP_3-24_WQ</v>
      </c>
      <c r="D100" s="10">
        <v>45358</v>
      </c>
    </row>
    <row r="101" spans="1:13" x14ac:dyDescent="0.35">
      <c r="A101" s="1" t="s">
        <v>20</v>
      </c>
      <c r="B101" s="2" t="s">
        <v>61</v>
      </c>
      <c r="C101" s="1" t="str">
        <f t="shared" si="1"/>
        <v>EP146_3-24_WQ</v>
      </c>
      <c r="D101" s="10">
        <v>45358</v>
      </c>
    </row>
    <row r="102" spans="1:13" x14ac:dyDescent="0.35">
      <c r="A102" s="1" t="s">
        <v>22</v>
      </c>
      <c r="B102" s="2" t="s">
        <v>61</v>
      </c>
      <c r="C102" s="1" t="str">
        <f t="shared" si="1"/>
        <v>R127_3-24_WQ</v>
      </c>
      <c r="D102" s="10">
        <v>45358</v>
      </c>
    </row>
    <row r="103" spans="1:13" x14ac:dyDescent="0.35">
      <c r="A103" s="1" t="s">
        <v>50</v>
      </c>
      <c r="B103" s="2" t="s">
        <v>62</v>
      </c>
      <c r="C103" s="1" t="str">
        <f t="shared" si="1"/>
        <v>TBC_4-24_WQ</v>
      </c>
      <c r="D103" s="10">
        <v>45390</v>
      </c>
      <c r="E103" s="58">
        <v>0.45416666666666666</v>
      </c>
      <c r="F103">
        <v>23.9</v>
      </c>
      <c r="G103">
        <v>30.9</v>
      </c>
      <c r="H103">
        <v>2.2799999999999998</v>
      </c>
      <c r="I103">
        <v>21.64</v>
      </c>
      <c r="J103">
        <v>7.26</v>
      </c>
      <c r="K103">
        <v>16.149999999999999</v>
      </c>
      <c r="L103">
        <v>37.68</v>
      </c>
      <c r="M103">
        <v>114.36</v>
      </c>
    </row>
    <row r="104" spans="1:13" x14ac:dyDescent="0.35">
      <c r="A104" s="1" t="s">
        <v>39</v>
      </c>
      <c r="B104" s="2" t="s">
        <v>62</v>
      </c>
      <c r="C104" s="1" t="str">
        <f t="shared" si="1"/>
        <v>TBCM_4-24_WQ</v>
      </c>
      <c r="D104" s="10">
        <v>45390</v>
      </c>
      <c r="E104" s="58">
        <v>0.47291666666666665</v>
      </c>
      <c r="F104">
        <v>26.7</v>
      </c>
      <c r="G104">
        <v>125</v>
      </c>
      <c r="H104">
        <v>10</v>
      </c>
      <c r="I104">
        <v>63.6</v>
      </c>
    </row>
    <row r="105" spans="1:13" x14ac:dyDescent="0.35">
      <c r="A105" s="1" t="s">
        <v>38</v>
      </c>
      <c r="B105" s="2" t="s">
        <v>62</v>
      </c>
      <c r="C105" s="1" t="str">
        <f t="shared" si="1"/>
        <v>TBHM_4-24_WQ</v>
      </c>
      <c r="D105" s="10">
        <v>45390</v>
      </c>
      <c r="F105">
        <v>25.7</v>
      </c>
      <c r="G105">
        <v>92.4</v>
      </c>
      <c r="H105">
        <v>7.1</v>
      </c>
      <c r="I105">
        <v>10.67</v>
      </c>
      <c r="J105">
        <v>8.33</v>
      </c>
      <c r="K105">
        <v>31.78</v>
      </c>
      <c r="L105">
        <v>17.84</v>
      </c>
      <c r="M105">
        <v>54.27</v>
      </c>
    </row>
    <row r="106" spans="1:13" x14ac:dyDescent="0.35">
      <c r="A106" s="1" t="s">
        <v>37</v>
      </c>
      <c r="B106" s="2" t="s">
        <v>62</v>
      </c>
      <c r="C106" s="1" t="str">
        <f t="shared" si="1"/>
        <v>MCS4_4-24_WQ</v>
      </c>
      <c r="D106" s="10">
        <v>45390</v>
      </c>
      <c r="E106" s="58">
        <v>0.59583333333333333</v>
      </c>
      <c r="F106">
        <v>25.6</v>
      </c>
      <c r="G106">
        <v>95.6</v>
      </c>
      <c r="H106">
        <v>7.35</v>
      </c>
      <c r="I106">
        <v>10.74</v>
      </c>
      <c r="J106">
        <v>8.3800000000000008</v>
      </c>
      <c r="K106">
        <v>8.5399999999999991</v>
      </c>
      <c r="L106">
        <v>19.7</v>
      </c>
      <c r="M106">
        <v>59.95</v>
      </c>
    </row>
    <row r="107" spans="1:13" x14ac:dyDescent="0.35">
      <c r="A107" s="1" t="s">
        <v>40</v>
      </c>
      <c r="B107" s="2" t="s">
        <v>62</v>
      </c>
      <c r="C107" s="1" t="str">
        <f t="shared" si="1"/>
        <v>TB1_4-24_WQ</v>
      </c>
      <c r="D107" s="10">
        <v>45390</v>
      </c>
      <c r="E107" s="58">
        <v>0.49305555555555558</v>
      </c>
      <c r="F107">
        <v>25</v>
      </c>
      <c r="G107">
        <v>103.2</v>
      </c>
      <c r="H107">
        <v>7.75</v>
      </c>
      <c r="I107">
        <v>161.96</v>
      </c>
      <c r="J107">
        <v>8.3000000000000007</v>
      </c>
      <c r="K107">
        <v>9.67</v>
      </c>
      <c r="L107">
        <v>15.29</v>
      </c>
      <c r="M107">
        <v>46.63</v>
      </c>
    </row>
    <row r="108" spans="1:13" x14ac:dyDescent="0.35">
      <c r="A108" s="1" t="s">
        <v>34</v>
      </c>
      <c r="B108" s="2" t="s">
        <v>62</v>
      </c>
      <c r="C108" s="1" t="str">
        <f t="shared" si="1"/>
        <v>MCS1_4-24_WQ</v>
      </c>
      <c r="D108" s="10">
        <v>45390</v>
      </c>
      <c r="E108" s="58">
        <v>0.5131944444444444</v>
      </c>
      <c r="F108">
        <v>24.6</v>
      </c>
      <c r="G108">
        <v>102.8</v>
      </c>
      <c r="H108">
        <v>8.32</v>
      </c>
      <c r="I108">
        <v>4.8899999999999997</v>
      </c>
      <c r="J108">
        <v>8.61</v>
      </c>
      <c r="K108">
        <v>5.5</v>
      </c>
      <c r="L108">
        <v>19.04</v>
      </c>
      <c r="M108">
        <v>57.96</v>
      </c>
    </row>
    <row r="109" spans="1:13" x14ac:dyDescent="0.35">
      <c r="A109" s="1" t="s">
        <v>35</v>
      </c>
      <c r="B109" s="2" t="s">
        <v>62</v>
      </c>
      <c r="C109" s="1" t="str">
        <f t="shared" si="1"/>
        <v>MCS2_4-24_WQ</v>
      </c>
      <c r="D109" s="10">
        <v>45390</v>
      </c>
      <c r="E109" s="58">
        <v>0.55972222222222223</v>
      </c>
      <c r="F109">
        <v>25</v>
      </c>
      <c r="G109">
        <v>105.5</v>
      </c>
      <c r="H109">
        <v>8.4</v>
      </c>
      <c r="I109">
        <v>6.95</v>
      </c>
      <c r="J109">
        <v>8.5</v>
      </c>
      <c r="K109">
        <v>9.3000000000000007</v>
      </c>
      <c r="L109">
        <v>18.829999999999998</v>
      </c>
      <c r="M109">
        <v>57.39</v>
      </c>
    </row>
    <row r="110" spans="1:13" x14ac:dyDescent="0.35">
      <c r="A110" s="1" t="s">
        <v>36</v>
      </c>
      <c r="B110" s="2" t="s">
        <v>62</v>
      </c>
      <c r="C110" s="1" t="str">
        <f t="shared" si="1"/>
        <v>MCS3_4-24_WQ</v>
      </c>
      <c r="D110" s="10">
        <v>45390</v>
      </c>
      <c r="E110" s="58">
        <v>0.57638888888888884</v>
      </c>
      <c r="F110">
        <v>25.1</v>
      </c>
      <c r="G110">
        <v>107.3</v>
      </c>
      <c r="H110">
        <v>8.35</v>
      </c>
      <c r="I110">
        <v>10.53</v>
      </c>
      <c r="J110">
        <v>8.4600000000000009</v>
      </c>
      <c r="K110">
        <v>8.11</v>
      </c>
      <c r="L110">
        <v>19.57</v>
      </c>
      <c r="M110">
        <v>59.56</v>
      </c>
    </row>
    <row r="111" spans="1:13" x14ac:dyDescent="0.35">
      <c r="A111" s="1" t="s">
        <v>41</v>
      </c>
      <c r="B111" s="2" t="s">
        <v>62</v>
      </c>
      <c r="C111" s="1" t="str">
        <f t="shared" si="1"/>
        <v>TB2_4-24_WQ</v>
      </c>
      <c r="D111" s="10">
        <v>45390</v>
      </c>
      <c r="E111" s="58">
        <v>0.63541666666666663</v>
      </c>
      <c r="F111">
        <v>24.8</v>
      </c>
      <c r="G111">
        <v>111.9</v>
      </c>
      <c r="H111">
        <v>7.99</v>
      </c>
      <c r="I111">
        <v>27.02</v>
      </c>
      <c r="J111">
        <v>8.32</v>
      </c>
      <c r="K111">
        <v>2.06</v>
      </c>
      <c r="L111">
        <v>9.5299999999999994</v>
      </c>
      <c r="M111">
        <v>29.11</v>
      </c>
    </row>
    <row r="112" spans="1:13" x14ac:dyDescent="0.35">
      <c r="A112" s="1" t="s">
        <v>44</v>
      </c>
      <c r="B112" s="2" t="s">
        <v>62</v>
      </c>
      <c r="C112" s="1" t="str">
        <f t="shared" si="1"/>
        <v>TSM1_4-24_WQ</v>
      </c>
      <c r="D112" s="10">
        <v>45391</v>
      </c>
      <c r="E112" s="58">
        <v>0.52986111111111112</v>
      </c>
      <c r="F112">
        <v>25.2</v>
      </c>
      <c r="G112">
        <v>46</v>
      </c>
      <c r="H112">
        <v>3.8</v>
      </c>
      <c r="I112">
        <v>0.3</v>
      </c>
    </row>
    <row r="113" spans="1:13" x14ac:dyDescent="0.35">
      <c r="A113" s="1" t="s">
        <v>45</v>
      </c>
      <c r="B113" s="2" t="s">
        <v>62</v>
      </c>
      <c r="C113" s="1" t="str">
        <f t="shared" si="1"/>
        <v>TSM3_4-24_WQ</v>
      </c>
      <c r="D113" s="10">
        <v>45391</v>
      </c>
      <c r="E113" s="58">
        <v>0.49375000000000002</v>
      </c>
      <c r="F113">
        <v>25.6</v>
      </c>
      <c r="G113">
        <v>8.6</v>
      </c>
      <c r="H113">
        <v>0.02</v>
      </c>
      <c r="I113">
        <v>0.1</v>
      </c>
    </row>
    <row r="114" spans="1:13" x14ac:dyDescent="0.35">
      <c r="A114" s="1" t="s">
        <v>47</v>
      </c>
      <c r="B114" s="2" t="s">
        <v>62</v>
      </c>
      <c r="C114" s="1" t="str">
        <f t="shared" si="1"/>
        <v>SBT1_4-24_WQ</v>
      </c>
      <c r="D114" s="10">
        <v>45391</v>
      </c>
      <c r="E114" s="58">
        <v>0.44236111111111109</v>
      </c>
      <c r="F114">
        <v>22.9</v>
      </c>
      <c r="G114">
        <v>36</v>
      </c>
      <c r="H114">
        <v>2.8</v>
      </c>
      <c r="I114">
        <v>25.8</v>
      </c>
    </row>
    <row r="115" spans="1:13" x14ac:dyDescent="0.35">
      <c r="A115" s="1" t="s">
        <v>46</v>
      </c>
      <c r="B115" s="2" t="s">
        <v>62</v>
      </c>
      <c r="C115" s="1" t="str">
        <f t="shared" si="1"/>
        <v>TSM4_4-24_WQ</v>
      </c>
      <c r="D115" s="10">
        <v>45391</v>
      </c>
      <c r="E115" s="58">
        <v>0.47916666666666669</v>
      </c>
      <c r="F115">
        <v>23.2</v>
      </c>
      <c r="G115">
        <v>57</v>
      </c>
      <c r="H115">
        <v>4.9000000000000004</v>
      </c>
      <c r="I115">
        <v>0.1</v>
      </c>
    </row>
    <row r="116" spans="1:13" x14ac:dyDescent="0.35">
      <c r="A116" s="1" t="s">
        <v>30</v>
      </c>
      <c r="B116" s="2" t="s">
        <v>62</v>
      </c>
      <c r="C116" s="1" t="str">
        <f t="shared" si="1"/>
        <v>DCM1_4-24_WQ</v>
      </c>
      <c r="D116" s="10">
        <v>45392</v>
      </c>
      <c r="E116" s="58">
        <v>0.37083333333333335</v>
      </c>
      <c r="F116">
        <v>23.3</v>
      </c>
      <c r="G116">
        <v>49</v>
      </c>
      <c r="H116">
        <v>4.2</v>
      </c>
      <c r="I116">
        <v>0.3</v>
      </c>
    </row>
    <row r="117" spans="1:13" x14ac:dyDescent="0.35">
      <c r="A117" s="1" t="s">
        <v>24</v>
      </c>
      <c r="B117" s="2" t="s">
        <v>62</v>
      </c>
      <c r="C117" s="1" t="str">
        <f t="shared" si="1"/>
        <v>ACS2_4-24_WQ</v>
      </c>
      <c r="D117" s="10">
        <v>45392</v>
      </c>
      <c r="E117" s="58">
        <v>0.54652777777777772</v>
      </c>
      <c r="F117">
        <v>25</v>
      </c>
      <c r="G117">
        <v>106.7</v>
      </c>
      <c r="H117">
        <v>8.51</v>
      </c>
      <c r="I117">
        <v>6.23</v>
      </c>
      <c r="J117">
        <v>8.4700000000000006</v>
      </c>
      <c r="K117">
        <v>10.92</v>
      </c>
      <c r="L117">
        <v>26.35</v>
      </c>
      <c r="M117">
        <v>80.06</v>
      </c>
    </row>
    <row r="118" spans="1:13" x14ac:dyDescent="0.35">
      <c r="A118" s="1" t="s">
        <v>33</v>
      </c>
      <c r="B118" s="2" t="s">
        <v>62</v>
      </c>
      <c r="C118" s="1" t="str">
        <f t="shared" si="1"/>
        <v>GB1_4-24_WQ</v>
      </c>
      <c r="D118" s="10">
        <v>45392</v>
      </c>
      <c r="E118" s="58">
        <v>0.42569444444444443</v>
      </c>
      <c r="F118">
        <v>24</v>
      </c>
      <c r="G118">
        <v>86.5</v>
      </c>
      <c r="H118">
        <v>6.23</v>
      </c>
      <c r="I118">
        <v>27.13</v>
      </c>
      <c r="J118">
        <v>8.27</v>
      </c>
      <c r="K118">
        <v>12.59</v>
      </c>
      <c r="L118">
        <v>17.46</v>
      </c>
      <c r="M118">
        <v>53.2</v>
      </c>
    </row>
    <row r="119" spans="1:13" x14ac:dyDescent="0.35">
      <c r="A119" s="1" t="s">
        <v>27</v>
      </c>
      <c r="B119" s="2" t="s">
        <v>62</v>
      </c>
      <c r="C119" s="1" t="str">
        <f t="shared" si="1"/>
        <v>ACS5_4-24_WQ</v>
      </c>
      <c r="D119" s="10">
        <v>45392</v>
      </c>
      <c r="E119" s="58">
        <v>0.45833333333333331</v>
      </c>
      <c r="F119">
        <v>24.5</v>
      </c>
      <c r="G119">
        <v>85.3</v>
      </c>
      <c r="H119">
        <v>6.59</v>
      </c>
      <c r="I119">
        <v>13.5</v>
      </c>
      <c r="J119">
        <v>8.3000000000000007</v>
      </c>
      <c r="K119">
        <v>22.34</v>
      </c>
      <c r="L119">
        <v>28.74</v>
      </c>
      <c r="M119">
        <v>87.29</v>
      </c>
    </row>
    <row r="120" spans="1:13" x14ac:dyDescent="0.35">
      <c r="A120" s="1" t="s">
        <v>29</v>
      </c>
      <c r="B120" s="2" t="s">
        <v>62</v>
      </c>
      <c r="C120" s="1" t="str">
        <f t="shared" si="1"/>
        <v>DC1_4-24_WQ</v>
      </c>
      <c r="D120" s="10">
        <v>45392</v>
      </c>
      <c r="E120" s="58">
        <v>0.35833333333333334</v>
      </c>
      <c r="F120">
        <v>23.1</v>
      </c>
      <c r="G120">
        <v>36.799999999999997</v>
      </c>
      <c r="H120">
        <v>2.73</v>
      </c>
      <c r="I120">
        <v>24.24</v>
      </c>
      <c r="J120">
        <v>8.08</v>
      </c>
      <c r="K120">
        <v>28.55</v>
      </c>
      <c r="L120">
        <v>43.09</v>
      </c>
      <c r="M120">
        <v>130.41</v>
      </c>
    </row>
    <row r="121" spans="1:13" x14ac:dyDescent="0.35">
      <c r="A121" s="1" t="s">
        <v>26</v>
      </c>
      <c r="B121" s="2" t="s">
        <v>62</v>
      </c>
      <c r="C121" s="1" t="str">
        <f t="shared" si="1"/>
        <v>ACS4_4-24_WQ</v>
      </c>
      <c r="D121" s="10">
        <v>45392</v>
      </c>
      <c r="E121" s="58">
        <v>0.4861111111111111</v>
      </c>
      <c r="F121">
        <v>24.7</v>
      </c>
      <c r="G121">
        <v>99.1</v>
      </c>
      <c r="H121">
        <v>7.74</v>
      </c>
      <c r="I121">
        <v>10.76</v>
      </c>
      <c r="J121">
        <v>8.27</v>
      </c>
      <c r="K121">
        <v>45.01</v>
      </c>
      <c r="L121">
        <v>28.67</v>
      </c>
      <c r="M121">
        <v>87.06</v>
      </c>
    </row>
    <row r="122" spans="1:13" x14ac:dyDescent="0.35">
      <c r="A122" s="1" t="s">
        <v>31</v>
      </c>
      <c r="B122" s="2" t="s">
        <v>62</v>
      </c>
      <c r="C122" s="1" t="str">
        <f t="shared" si="1"/>
        <v>DC2_4-24_WQ</v>
      </c>
      <c r="D122" s="10">
        <v>45392</v>
      </c>
      <c r="E122" s="58">
        <v>0.39583333333333331</v>
      </c>
      <c r="F122">
        <v>22.9</v>
      </c>
      <c r="G122">
        <v>22.6</v>
      </c>
      <c r="H122">
        <v>1.68</v>
      </c>
      <c r="I122">
        <v>23.79</v>
      </c>
      <c r="J122">
        <v>7.73</v>
      </c>
      <c r="K122">
        <v>29.08</v>
      </c>
      <c r="L122">
        <v>49.61</v>
      </c>
      <c r="M122">
        <v>150.52000000000001</v>
      </c>
    </row>
    <row r="123" spans="1:13" x14ac:dyDescent="0.35">
      <c r="A123" s="1" t="s">
        <v>28</v>
      </c>
      <c r="B123" s="2" t="s">
        <v>62</v>
      </c>
      <c r="C123" s="1" t="str">
        <f t="shared" si="1"/>
        <v>GBHM_4-24_WQ</v>
      </c>
      <c r="D123" s="10">
        <v>45392</v>
      </c>
    </row>
    <row r="124" spans="1:13" x14ac:dyDescent="0.35">
      <c r="A124" s="1" t="s">
        <v>32</v>
      </c>
      <c r="B124" s="2" t="s">
        <v>62</v>
      </c>
      <c r="C124" s="1" t="str">
        <f t="shared" si="1"/>
        <v>DCM2_4-24_WQ</v>
      </c>
      <c r="D124" s="10">
        <v>45392</v>
      </c>
    </row>
    <row r="125" spans="1:13" x14ac:dyDescent="0.35">
      <c r="A125" s="1" t="s">
        <v>23</v>
      </c>
      <c r="B125" s="2" t="s">
        <v>62</v>
      </c>
      <c r="C125" s="1" t="str">
        <f t="shared" si="1"/>
        <v>ACS1_4-24_WQ</v>
      </c>
      <c r="D125" s="10">
        <v>45392</v>
      </c>
      <c r="E125" s="58">
        <v>0.5805555555555556</v>
      </c>
      <c r="F125">
        <v>24.3</v>
      </c>
      <c r="G125">
        <v>105.9</v>
      </c>
      <c r="H125">
        <v>8.4700000000000006</v>
      </c>
      <c r="I125">
        <v>7.99</v>
      </c>
      <c r="J125">
        <v>8.76</v>
      </c>
      <c r="K125">
        <v>13.84</v>
      </c>
      <c r="L125">
        <v>29.35</v>
      </c>
      <c r="M125">
        <v>89.23</v>
      </c>
    </row>
    <row r="126" spans="1:13" x14ac:dyDescent="0.35">
      <c r="A126" s="1" t="s">
        <v>25</v>
      </c>
      <c r="B126" s="2" t="s">
        <v>62</v>
      </c>
      <c r="C126" s="1" t="str">
        <f t="shared" si="1"/>
        <v>ACS3_4-24_WQ</v>
      </c>
      <c r="D126" s="10">
        <v>45392</v>
      </c>
      <c r="E126" s="58">
        <v>0.52708333333333335</v>
      </c>
      <c r="F126">
        <v>25</v>
      </c>
      <c r="G126">
        <v>102</v>
      </c>
      <c r="H126">
        <v>8.24</v>
      </c>
      <c r="I126">
        <v>3.96</v>
      </c>
      <c r="J126">
        <v>8.8000000000000007</v>
      </c>
      <c r="K126">
        <v>17.350000000000001</v>
      </c>
      <c r="L126">
        <v>22.11</v>
      </c>
      <c r="M126">
        <v>65.25</v>
      </c>
    </row>
    <row r="127" spans="1:13" x14ac:dyDescent="0.35">
      <c r="A127" s="1" t="s">
        <v>48</v>
      </c>
      <c r="B127" s="2" t="s">
        <v>62</v>
      </c>
      <c r="C127" s="1" t="str">
        <f t="shared" si="1"/>
        <v>SBT2_4-24_WQ</v>
      </c>
      <c r="D127" s="10">
        <v>45393</v>
      </c>
      <c r="E127" s="58">
        <v>0.39374999999999999</v>
      </c>
      <c r="F127">
        <v>25.2</v>
      </c>
      <c r="G127">
        <v>82.9</v>
      </c>
      <c r="H127">
        <v>5.61</v>
      </c>
      <c r="I127">
        <v>34.17</v>
      </c>
      <c r="J127">
        <v>8.51</v>
      </c>
      <c r="K127">
        <v>56.5</v>
      </c>
      <c r="L127">
        <v>13.02</v>
      </c>
      <c r="M127">
        <v>39.68</v>
      </c>
    </row>
    <row r="128" spans="1:13" x14ac:dyDescent="0.35">
      <c r="A128" s="1" t="s">
        <v>55</v>
      </c>
      <c r="B128" s="2" t="s">
        <v>62</v>
      </c>
      <c r="C128" s="1" t="str">
        <f t="shared" si="1"/>
        <v>CC_4-24_WQ</v>
      </c>
      <c r="D128" s="10">
        <v>45393</v>
      </c>
      <c r="E128" s="58">
        <v>0.63055555555555554</v>
      </c>
      <c r="F128">
        <v>25.4</v>
      </c>
      <c r="G128">
        <v>101.3</v>
      </c>
      <c r="H128">
        <v>6.85</v>
      </c>
      <c r="I128">
        <v>34.380000000000003</v>
      </c>
      <c r="J128">
        <v>8.0500000000000007</v>
      </c>
      <c r="K128">
        <v>43.15</v>
      </c>
      <c r="L128">
        <v>3.81</v>
      </c>
      <c r="M128">
        <v>11.87</v>
      </c>
    </row>
    <row r="129" spans="1:13" x14ac:dyDescent="0.35">
      <c r="A129" s="1" t="s">
        <v>52</v>
      </c>
      <c r="B129" s="2" t="s">
        <v>62</v>
      </c>
      <c r="C129" s="1" t="str">
        <f t="shared" si="1"/>
        <v>WB2_4-24_WQ</v>
      </c>
      <c r="D129" s="10">
        <v>45393</v>
      </c>
      <c r="E129" s="58">
        <v>0.50624999999999998</v>
      </c>
      <c r="F129">
        <v>25.4</v>
      </c>
      <c r="G129">
        <v>102.8</v>
      </c>
      <c r="H129">
        <v>7.11</v>
      </c>
      <c r="I129">
        <v>30.45</v>
      </c>
      <c r="J129">
        <v>8.39</v>
      </c>
      <c r="K129">
        <v>1.65</v>
      </c>
      <c r="L129">
        <v>7.4</v>
      </c>
      <c r="M129">
        <v>22.61</v>
      </c>
    </row>
    <row r="130" spans="1:13" x14ac:dyDescent="0.35">
      <c r="A130" s="1" t="s">
        <v>42</v>
      </c>
      <c r="B130" s="2" t="s">
        <v>62</v>
      </c>
      <c r="C130" s="1" t="str">
        <f t="shared" si="1"/>
        <v>GB2_4-24_WQ</v>
      </c>
      <c r="D130" s="10">
        <v>45393</v>
      </c>
      <c r="E130" s="58">
        <v>0.4375</v>
      </c>
      <c r="F130">
        <v>25.3</v>
      </c>
      <c r="G130">
        <v>93.6</v>
      </c>
      <c r="H130">
        <v>6.55</v>
      </c>
      <c r="I130">
        <v>28.2</v>
      </c>
      <c r="J130">
        <v>8.18</v>
      </c>
      <c r="K130">
        <v>32.03</v>
      </c>
      <c r="L130">
        <v>10.74</v>
      </c>
      <c r="M130">
        <v>32.700000000000003</v>
      </c>
    </row>
    <row r="131" spans="1:13" x14ac:dyDescent="0.35">
      <c r="A131" s="1" t="s">
        <v>51</v>
      </c>
      <c r="B131" s="2" t="s">
        <v>62</v>
      </c>
      <c r="C131" s="1" t="str">
        <f t="shared" ref="C131:C185" si="2">A131&amp;"_"&amp;B131&amp;"_WQ"</f>
        <v>WB1_4-24_WQ</v>
      </c>
      <c r="D131" s="10">
        <v>45393</v>
      </c>
      <c r="E131" s="58">
        <v>0.48680555555555555</v>
      </c>
      <c r="F131">
        <v>25.2</v>
      </c>
      <c r="G131">
        <v>105.9</v>
      </c>
      <c r="H131">
        <v>7.32</v>
      </c>
      <c r="I131">
        <v>30.8</v>
      </c>
      <c r="J131">
        <v>8.42</v>
      </c>
      <c r="K131">
        <v>1.01</v>
      </c>
      <c r="L131">
        <v>9.4600000000000009</v>
      </c>
      <c r="M131">
        <v>28.12</v>
      </c>
    </row>
    <row r="132" spans="1:13" x14ac:dyDescent="0.35">
      <c r="A132" s="1" t="s">
        <v>54</v>
      </c>
      <c r="B132" s="2" t="s">
        <v>62</v>
      </c>
      <c r="C132" s="1" t="str">
        <f t="shared" si="2"/>
        <v>JB_4-24_WQ</v>
      </c>
      <c r="D132" s="10">
        <v>45393</v>
      </c>
      <c r="E132" s="58">
        <v>0.59583333333333333</v>
      </c>
      <c r="F132">
        <v>26.25</v>
      </c>
      <c r="G132">
        <v>122.1</v>
      </c>
      <c r="H132">
        <v>8.16</v>
      </c>
      <c r="I132">
        <v>34.26</v>
      </c>
      <c r="J132">
        <v>8.83</v>
      </c>
      <c r="K132">
        <v>0.22</v>
      </c>
      <c r="L132">
        <v>9.3800000000000008</v>
      </c>
      <c r="M132">
        <v>28.65</v>
      </c>
    </row>
    <row r="133" spans="1:13" x14ac:dyDescent="0.35">
      <c r="A133" s="1" t="s">
        <v>53</v>
      </c>
      <c r="B133" s="2" t="s">
        <v>62</v>
      </c>
      <c r="C133" s="1" t="str">
        <f t="shared" si="2"/>
        <v>TKB_4-24_WQ</v>
      </c>
      <c r="D133" s="10">
        <v>45393</v>
      </c>
      <c r="E133" s="58">
        <v>0.55000000000000004</v>
      </c>
      <c r="F133">
        <v>25.5</v>
      </c>
      <c r="G133">
        <v>106</v>
      </c>
      <c r="H133">
        <v>7.26</v>
      </c>
      <c r="I133">
        <v>31.97</v>
      </c>
      <c r="J133">
        <v>8.34</v>
      </c>
      <c r="K133">
        <v>1.59</v>
      </c>
      <c r="L133">
        <v>7.35</v>
      </c>
      <c r="M133">
        <v>22.44</v>
      </c>
    </row>
    <row r="134" spans="1:13" x14ac:dyDescent="0.35">
      <c r="A134" s="1" t="s">
        <v>43</v>
      </c>
      <c r="B134" s="2" t="s">
        <v>62</v>
      </c>
      <c r="C134" s="1" t="str">
        <f t="shared" si="2"/>
        <v>RB_4-24_WQ</v>
      </c>
      <c r="D134" s="10">
        <v>45393</v>
      </c>
      <c r="E134" s="58">
        <v>0.45763888888888887</v>
      </c>
      <c r="F134">
        <v>25.4</v>
      </c>
      <c r="G134">
        <v>97.6</v>
      </c>
      <c r="H134">
        <v>6.66</v>
      </c>
      <c r="I134">
        <v>32.700000000000003</v>
      </c>
      <c r="J134">
        <v>8.4700000000000006</v>
      </c>
      <c r="K134">
        <v>3.6</v>
      </c>
      <c r="L134">
        <v>13.42</v>
      </c>
      <c r="M134">
        <v>40.909999999999997</v>
      </c>
    </row>
    <row r="135" spans="1:13" x14ac:dyDescent="0.35">
      <c r="A135" s="1" t="s">
        <v>13</v>
      </c>
      <c r="B135" s="2" t="s">
        <v>58</v>
      </c>
      <c r="C135" s="1" t="str">
        <f t="shared" si="2"/>
        <v>P37_7-24_WQ</v>
      </c>
      <c r="D135" s="10">
        <v>45476</v>
      </c>
    </row>
    <row r="136" spans="1:13" x14ac:dyDescent="0.35">
      <c r="A136" s="1" t="s">
        <v>20</v>
      </c>
      <c r="B136" s="2" t="s">
        <v>58</v>
      </c>
      <c r="C136" s="1" t="str">
        <f t="shared" si="2"/>
        <v>EP146_7-24_WQ</v>
      </c>
      <c r="D136" s="10">
        <v>45476</v>
      </c>
    </row>
    <row r="137" spans="1:13" x14ac:dyDescent="0.35">
      <c r="A137" s="1" t="s">
        <v>22</v>
      </c>
      <c r="B137" s="2" t="s">
        <v>58</v>
      </c>
      <c r="C137" s="1" t="str">
        <f t="shared" si="2"/>
        <v>R127_7-24_WQ</v>
      </c>
      <c r="D137" s="10">
        <v>45476</v>
      </c>
    </row>
    <row r="138" spans="1:13" x14ac:dyDescent="0.35">
      <c r="A138" s="1" t="s">
        <v>19</v>
      </c>
      <c r="B138" s="2" t="s">
        <v>58</v>
      </c>
      <c r="C138" s="1" t="str">
        <f t="shared" si="2"/>
        <v>CP_7-24_WQ</v>
      </c>
      <c r="D138" s="10">
        <v>45476</v>
      </c>
    </row>
    <row r="139" spans="1:13" x14ac:dyDescent="0.35">
      <c r="A139" s="1" t="s">
        <v>21</v>
      </c>
      <c r="B139" s="2" t="s">
        <v>58</v>
      </c>
      <c r="C139" s="1" t="str">
        <f t="shared" si="2"/>
        <v>OL_7-24_WQ</v>
      </c>
      <c r="D139" s="10">
        <v>45476</v>
      </c>
    </row>
    <row r="140" spans="1:13" x14ac:dyDescent="0.35">
      <c r="A140" s="1" t="s">
        <v>18</v>
      </c>
      <c r="B140" s="2" t="s">
        <v>58</v>
      </c>
      <c r="C140" s="1" t="str">
        <f t="shared" si="2"/>
        <v>NCL_7-24_WQ</v>
      </c>
      <c r="D140" s="10">
        <v>45476</v>
      </c>
    </row>
    <row r="141" spans="1:13" x14ac:dyDescent="0.35">
      <c r="A141" s="1" t="s">
        <v>57</v>
      </c>
      <c r="B141" s="2" t="s">
        <v>58</v>
      </c>
      <c r="C141" s="1" t="str">
        <f t="shared" si="2"/>
        <v>TSH_7-24_WQ</v>
      </c>
      <c r="D141" s="10">
        <v>45476</v>
      </c>
    </row>
    <row r="142" spans="1:13" x14ac:dyDescent="0.35">
      <c r="A142" s="1" t="s">
        <v>29</v>
      </c>
      <c r="B142" s="2" t="s">
        <v>63</v>
      </c>
      <c r="C142" s="1" t="str">
        <f t="shared" si="2"/>
        <v>DC1_8-24_WQ</v>
      </c>
      <c r="D142" s="10">
        <v>45505</v>
      </c>
      <c r="E142" s="58">
        <v>0.39097222222222222</v>
      </c>
      <c r="F142">
        <v>29.103999999999999</v>
      </c>
      <c r="G142">
        <v>3.7</v>
      </c>
      <c r="H142">
        <v>0.23</v>
      </c>
      <c r="I142">
        <v>35.799999999999997</v>
      </c>
      <c r="J142">
        <v>8.11</v>
      </c>
      <c r="K142">
        <v>22.42</v>
      </c>
      <c r="L142">
        <v>3.71</v>
      </c>
      <c r="M142">
        <v>54.34</v>
      </c>
    </row>
    <row r="143" spans="1:13" x14ac:dyDescent="0.35">
      <c r="A143" s="1" t="s">
        <v>33</v>
      </c>
      <c r="B143" s="2" t="s">
        <v>63</v>
      </c>
      <c r="C143" s="1" t="str">
        <f t="shared" si="2"/>
        <v>GB1_8-24_WQ</v>
      </c>
      <c r="D143" s="10">
        <v>45505</v>
      </c>
      <c r="E143" s="58">
        <v>0.44930555555555557</v>
      </c>
      <c r="F143">
        <v>30.382999999999999</v>
      </c>
      <c r="G143">
        <v>86</v>
      </c>
      <c r="H143">
        <v>5.36</v>
      </c>
      <c r="I143">
        <v>33.770000000000003</v>
      </c>
      <c r="J143">
        <v>7.9</v>
      </c>
      <c r="K143">
        <v>11.94</v>
      </c>
      <c r="L143">
        <v>1.58</v>
      </c>
      <c r="M143">
        <v>32.200000000000003</v>
      </c>
    </row>
    <row r="144" spans="1:13" x14ac:dyDescent="0.35">
      <c r="A144" s="1" t="s">
        <v>37</v>
      </c>
      <c r="B144" s="2" t="s">
        <v>63</v>
      </c>
      <c r="C144" s="1" t="str">
        <f t="shared" si="2"/>
        <v>MCS4_8-24_WQ</v>
      </c>
      <c r="D144" s="10">
        <v>45505</v>
      </c>
      <c r="E144" s="58">
        <v>0.45347222222222222</v>
      </c>
      <c r="F144">
        <v>29.681000000000001</v>
      </c>
      <c r="G144">
        <v>69.2</v>
      </c>
      <c r="H144">
        <v>4.6399999999999997</v>
      </c>
      <c r="I144">
        <v>22.66</v>
      </c>
      <c r="J144">
        <v>7.8</v>
      </c>
      <c r="K144">
        <v>10.44</v>
      </c>
      <c r="L144">
        <v>1.1399999999999999</v>
      </c>
      <c r="M144">
        <v>20.71</v>
      </c>
    </row>
    <row r="145" spans="1:13" x14ac:dyDescent="0.35">
      <c r="A145" s="1" t="s">
        <v>38</v>
      </c>
      <c r="B145" s="2" t="s">
        <v>63</v>
      </c>
      <c r="C145" s="1" t="str">
        <f t="shared" si="2"/>
        <v>TBHM_8-24_WQ</v>
      </c>
      <c r="D145" s="10">
        <v>45505</v>
      </c>
      <c r="E145" s="58">
        <v>0.46319444444444446</v>
      </c>
      <c r="F145">
        <v>29.928000000000001</v>
      </c>
      <c r="G145">
        <v>61.8</v>
      </c>
      <c r="H145">
        <v>4.12</v>
      </c>
      <c r="I145">
        <v>23.47</v>
      </c>
      <c r="J145">
        <v>7.76</v>
      </c>
      <c r="K145">
        <v>12.14</v>
      </c>
      <c r="L145">
        <v>1.04</v>
      </c>
      <c r="M145">
        <v>19.5</v>
      </c>
    </row>
    <row r="146" spans="1:13" x14ac:dyDescent="0.35">
      <c r="A146" s="1" t="s">
        <v>41</v>
      </c>
      <c r="B146" s="2" t="s">
        <v>63</v>
      </c>
      <c r="C146" s="1" t="str">
        <f t="shared" si="2"/>
        <v>TB2_8-24_WQ</v>
      </c>
      <c r="D146" s="10">
        <v>45505</v>
      </c>
      <c r="E146" s="58">
        <v>0.55138888888888893</v>
      </c>
      <c r="F146">
        <v>30.242999999999999</v>
      </c>
      <c r="G146">
        <v>95.1</v>
      </c>
      <c r="H146">
        <v>6.05</v>
      </c>
      <c r="I146">
        <v>30.68</v>
      </c>
      <c r="J146">
        <v>7.76</v>
      </c>
      <c r="K146">
        <v>14.26</v>
      </c>
      <c r="L146">
        <v>0.26</v>
      </c>
      <c r="M146">
        <v>8.9600000000000009</v>
      </c>
    </row>
    <row r="147" spans="1:13" x14ac:dyDescent="0.35">
      <c r="A147" s="1" t="s">
        <v>42</v>
      </c>
      <c r="B147" s="2" t="s">
        <v>63</v>
      </c>
      <c r="C147" s="1" t="str">
        <f t="shared" si="2"/>
        <v>GB2_8-24_WQ</v>
      </c>
      <c r="D147" s="10">
        <v>45505</v>
      </c>
      <c r="E147" s="58">
        <v>0.39513888888888887</v>
      </c>
      <c r="F147">
        <v>29.824999999999999</v>
      </c>
      <c r="G147">
        <v>86.3</v>
      </c>
      <c r="H147">
        <v>5.32</v>
      </c>
      <c r="I147">
        <v>37.729999999999997</v>
      </c>
      <c r="J147">
        <v>8.14</v>
      </c>
      <c r="K147">
        <v>6.01</v>
      </c>
      <c r="L147">
        <v>0.5</v>
      </c>
      <c r="M147">
        <v>15.63</v>
      </c>
    </row>
    <row r="148" spans="1:13" x14ac:dyDescent="0.35">
      <c r="A148" s="1" t="s">
        <v>48</v>
      </c>
      <c r="B148" s="2" t="s">
        <v>63</v>
      </c>
      <c r="C148" s="1" t="str">
        <f t="shared" si="2"/>
        <v>SBT2_8-24_WQ</v>
      </c>
      <c r="D148" s="10">
        <v>45505</v>
      </c>
    </row>
    <row r="149" spans="1:13" x14ac:dyDescent="0.35">
      <c r="A149" s="1" t="s">
        <v>50</v>
      </c>
      <c r="B149" s="2" t="s">
        <v>63</v>
      </c>
      <c r="C149" s="1" t="str">
        <f t="shared" si="2"/>
        <v>TBC_8-24_WQ</v>
      </c>
      <c r="D149" s="10">
        <v>45505</v>
      </c>
      <c r="E149" s="58">
        <v>0.50694444444444442</v>
      </c>
      <c r="F149">
        <v>30.015999999999998</v>
      </c>
      <c r="G149">
        <v>40.4</v>
      </c>
      <c r="H149">
        <v>2.6</v>
      </c>
      <c r="I149">
        <v>27.72</v>
      </c>
      <c r="J149">
        <v>7.33</v>
      </c>
      <c r="K149">
        <v>6.2</v>
      </c>
      <c r="L149">
        <v>0.72</v>
      </c>
      <c r="M149">
        <v>24.67</v>
      </c>
    </row>
    <row r="150" spans="1:13" x14ac:dyDescent="0.35">
      <c r="A150" s="1" t="s">
        <v>32</v>
      </c>
      <c r="B150" s="2" t="s">
        <v>63</v>
      </c>
      <c r="C150" s="1" t="str">
        <f t="shared" si="2"/>
        <v>DCM2_8-24_WQ</v>
      </c>
      <c r="D150" s="10">
        <v>45505</v>
      </c>
    </row>
    <row r="151" spans="1:13" x14ac:dyDescent="0.35">
      <c r="A151" s="1" t="s">
        <v>23</v>
      </c>
      <c r="B151" s="2" t="s">
        <v>63</v>
      </c>
      <c r="C151" s="1" t="str">
        <f t="shared" si="2"/>
        <v>ACS1_8-24_WQ</v>
      </c>
      <c r="D151" s="10">
        <v>45505</v>
      </c>
      <c r="E151" s="58">
        <v>0.60069444444444442</v>
      </c>
      <c r="F151">
        <v>32.261000000000003</v>
      </c>
      <c r="G151">
        <v>116.2</v>
      </c>
      <c r="H151">
        <v>8</v>
      </c>
      <c r="I151">
        <v>10.26</v>
      </c>
      <c r="J151">
        <v>8.34</v>
      </c>
      <c r="K151">
        <v>5.89</v>
      </c>
      <c r="L151">
        <v>1.92</v>
      </c>
      <c r="M151">
        <v>25.48</v>
      </c>
    </row>
    <row r="152" spans="1:13" x14ac:dyDescent="0.35">
      <c r="A152" s="1" t="s">
        <v>43</v>
      </c>
      <c r="B152" s="2" t="s">
        <v>63</v>
      </c>
      <c r="C152" s="1" t="str">
        <f t="shared" si="2"/>
        <v>RB_8-24_WQ</v>
      </c>
      <c r="D152" s="10">
        <v>45505</v>
      </c>
      <c r="E152" s="58">
        <v>0.38124999999999998</v>
      </c>
      <c r="F152">
        <v>30.259</v>
      </c>
      <c r="G152">
        <v>98.5</v>
      </c>
      <c r="H152">
        <v>6.02</v>
      </c>
      <c r="I152">
        <v>38.04</v>
      </c>
      <c r="J152">
        <v>8.08</v>
      </c>
      <c r="K152">
        <v>5.28</v>
      </c>
      <c r="L152">
        <v>0.64</v>
      </c>
      <c r="M152">
        <v>14.91</v>
      </c>
    </row>
    <row r="153" spans="1:13" x14ac:dyDescent="0.35">
      <c r="A153" s="1" t="s">
        <v>26</v>
      </c>
      <c r="B153" s="2" t="s">
        <v>63</v>
      </c>
      <c r="C153" s="1" t="str">
        <f t="shared" si="2"/>
        <v>ACS4_8-24_WQ</v>
      </c>
      <c r="D153" s="10">
        <v>45505</v>
      </c>
      <c r="E153" s="58">
        <v>0.50486111111111109</v>
      </c>
      <c r="F153">
        <v>31.408000000000001</v>
      </c>
      <c r="G153">
        <v>95</v>
      </c>
      <c r="H153">
        <v>5.97</v>
      </c>
      <c r="I153">
        <v>29.74</v>
      </c>
      <c r="J153">
        <v>7.88</v>
      </c>
      <c r="K153">
        <v>13.01</v>
      </c>
      <c r="L153">
        <v>1.89</v>
      </c>
      <c r="M153">
        <v>31.76</v>
      </c>
    </row>
    <row r="154" spans="1:13" x14ac:dyDescent="0.35">
      <c r="A154" s="1" t="s">
        <v>27</v>
      </c>
      <c r="B154" s="2" t="s">
        <v>63</v>
      </c>
      <c r="C154" s="1" t="str">
        <f t="shared" si="2"/>
        <v>ACS5_8-24_WQ</v>
      </c>
      <c r="D154" s="10">
        <v>45505</v>
      </c>
      <c r="E154" s="58">
        <v>0.46458333333333335</v>
      </c>
      <c r="F154">
        <v>30.712</v>
      </c>
      <c r="G154">
        <v>86.8</v>
      </c>
      <c r="H154">
        <v>5.39</v>
      </c>
      <c r="I154">
        <v>33.53</v>
      </c>
      <c r="J154">
        <v>8.0299999999999994</v>
      </c>
      <c r="K154">
        <v>20.69</v>
      </c>
      <c r="L154">
        <v>1.28</v>
      </c>
      <c r="M154">
        <v>24.06</v>
      </c>
    </row>
    <row r="155" spans="1:13" x14ac:dyDescent="0.35">
      <c r="A155" s="1" t="s">
        <v>55</v>
      </c>
      <c r="B155" s="2" t="s">
        <v>63</v>
      </c>
      <c r="C155" s="1" t="str">
        <f t="shared" si="2"/>
        <v>CC_8-24_WQ</v>
      </c>
      <c r="D155" s="10">
        <v>45505</v>
      </c>
      <c r="E155" s="58">
        <v>0.45277777777777778</v>
      </c>
      <c r="F155">
        <v>29.696000000000002</v>
      </c>
      <c r="G155">
        <v>89.7</v>
      </c>
      <c r="H155">
        <v>5.52</v>
      </c>
      <c r="I155">
        <v>38.32</v>
      </c>
      <c r="J155">
        <v>7.86</v>
      </c>
      <c r="K155">
        <v>45.6</v>
      </c>
      <c r="L155">
        <v>1.21</v>
      </c>
      <c r="M155">
        <v>6.99</v>
      </c>
    </row>
    <row r="156" spans="1:13" x14ac:dyDescent="0.35">
      <c r="A156" s="1" t="s">
        <v>30</v>
      </c>
      <c r="B156" s="2" t="s">
        <v>63</v>
      </c>
      <c r="C156" s="1" t="str">
        <f t="shared" si="2"/>
        <v>DCM1_8-24_WQ</v>
      </c>
      <c r="D156" s="10">
        <v>45505</v>
      </c>
    </row>
    <row r="157" spans="1:13" x14ac:dyDescent="0.35">
      <c r="A157" s="1" t="s">
        <v>24</v>
      </c>
      <c r="B157" s="2" t="s">
        <v>63</v>
      </c>
      <c r="C157" s="1" t="str">
        <f t="shared" si="2"/>
        <v>ACS2_8-24_WQ</v>
      </c>
      <c r="D157" s="10">
        <v>45505</v>
      </c>
      <c r="E157" s="58">
        <v>0.57777777777777772</v>
      </c>
      <c r="F157">
        <v>32.392000000000003</v>
      </c>
      <c r="G157">
        <v>106.1</v>
      </c>
      <c r="H157">
        <v>7.21</v>
      </c>
      <c r="I157">
        <v>14.68</v>
      </c>
      <c r="J157">
        <v>8.14</v>
      </c>
      <c r="K157">
        <v>7.23</v>
      </c>
      <c r="L157">
        <v>1.61</v>
      </c>
      <c r="M157">
        <v>24.08</v>
      </c>
    </row>
    <row r="158" spans="1:13" x14ac:dyDescent="0.35">
      <c r="A158" s="1" t="s">
        <v>47</v>
      </c>
      <c r="B158" s="2" t="s">
        <v>63</v>
      </c>
      <c r="C158" s="1" t="str">
        <f t="shared" si="2"/>
        <v>SBT1_8-24_WQ</v>
      </c>
      <c r="D158" s="10">
        <v>45505</v>
      </c>
      <c r="E158" s="58"/>
      <c r="F158">
        <v>27.491</v>
      </c>
      <c r="G158">
        <v>14.5</v>
      </c>
      <c r="H158">
        <v>0.99</v>
      </c>
      <c r="I158">
        <v>33.03</v>
      </c>
      <c r="J158">
        <v>7.12</v>
      </c>
      <c r="K158">
        <v>15.59</v>
      </c>
      <c r="L158">
        <v>55.46</v>
      </c>
      <c r="M158">
        <v>169.55</v>
      </c>
    </row>
    <row r="159" spans="1:13" x14ac:dyDescent="0.35">
      <c r="A159" s="1" t="s">
        <v>53</v>
      </c>
      <c r="B159" s="2" t="s">
        <v>63</v>
      </c>
      <c r="C159" s="1" t="str">
        <f t="shared" si="2"/>
        <v>TKB_8-24_WQ</v>
      </c>
      <c r="D159" s="10">
        <v>45505</v>
      </c>
      <c r="E159" s="58">
        <v>0.55694444444444446</v>
      </c>
      <c r="F159">
        <v>30.808</v>
      </c>
      <c r="G159">
        <v>109.4</v>
      </c>
      <c r="H159">
        <v>6.63</v>
      </c>
      <c r="I159">
        <v>38.049999999999997</v>
      </c>
      <c r="J159">
        <v>7.91</v>
      </c>
      <c r="K159">
        <v>0.95</v>
      </c>
      <c r="L159">
        <v>0.22</v>
      </c>
      <c r="M159">
        <v>10.11</v>
      </c>
    </row>
    <row r="160" spans="1:13" x14ac:dyDescent="0.35">
      <c r="A160" s="1" t="s">
        <v>44</v>
      </c>
      <c r="B160" s="2" t="s">
        <v>63</v>
      </c>
      <c r="C160" s="1" t="str">
        <f t="shared" si="2"/>
        <v>TSM1_8-24_WQ</v>
      </c>
      <c r="D160" s="10">
        <v>45505</v>
      </c>
      <c r="F160">
        <v>29.524999999999999</v>
      </c>
      <c r="G160">
        <v>68.3</v>
      </c>
      <c r="H160">
        <v>5.19</v>
      </c>
      <c r="I160">
        <v>0.21</v>
      </c>
      <c r="J160">
        <v>7.64</v>
      </c>
      <c r="K160">
        <v>0.1</v>
      </c>
      <c r="L160">
        <v>28.83</v>
      </c>
      <c r="M160">
        <v>86.48</v>
      </c>
    </row>
    <row r="161" spans="1:13" x14ac:dyDescent="0.35">
      <c r="A161" s="1" t="s">
        <v>31</v>
      </c>
      <c r="B161" s="2" t="s">
        <v>63</v>
      </c>
      <c r="C161" s="1" t="str">
        <f t="shared" si="2"/>
        <v>DC2_8-24_WQ</v>
      </c>
      <c r="D161" s="10">
        <v>45505</v>
      </c>
      <c r="E161" s="58">
        <v>0.41666666666666669</v>
      </c>
      <c r="F161">
        <v>30.001999999999999</v>
      </c>
      <c r="G161">
        <v>5.4</v>
      </c>
      <c r="H161">
        <v>0.33</v>
      </c>
      <c r="I161">
        <v>29.07</v>
      </c>
      <c r="J161">
        <v>7.39</v>
      </c>
      <c r="K161">
        <v>22.45</v>
      </c>
      <c r="L161">
        <v>4.92</v>
      </c>
      <c r="M161">
        <v>67.239999999999995</v>
      </c>
    </row>
    <row r="162" spans="1:13" x14ac:dyDescent="0.35">
      <c r="A162" s="1" t="s">
        <v>52</v>
      </c>
      <c r="B162" s="2" t="s">
        <v>63</v>
      </c>
      <c r="C162" s="1" t="str">
        <f t="shared" si="2"/>
        <v>WB2_8-24_WQ</v>
      </c>
      <c r="D162" s="10">
        <v>45505</v>
      </c>
      <c r="E162" s="58">
        <v>0.58125000000000004</v>
      </c>
      <c r="F162">
        <v>31.443999999999999</v>
      </c>
      <c r="G162">
        <v>132.6</v>
      </c>
      <c r="H162">
        <v>8</v>
      </c>
      <c r="I162">
        <v>36.729999999999997</v>
      </c>
      <c r="J162">
        <v>8.08</v>
      </c>
      <c r="K162">
        <v>0.7</v>
      </c>
      <c r="L162">
        <v>0.12</v>
      </c>
      <c r="M162">
        <v>9.1999999999999993</v>
      </c>
    </row>
    <row r="163" spans="1:13" x14ac:dyDescent="0.35">
      <c r="A163" s="1" t="s">
        <v>39</v>
      </c>
      <c r="B163" s="2" t="s">
        <v>63</v>
      </c>
      <c r="C163" s="1" t="str">
        <f t="shared" si="2"/>
        <v>TBCM_8-24_WQ</v>
      </c>
      <c r="D163" s="10">
        <v>45505</v>
      </c>
      <c r="E163" s="58">
        <v>0.52222222222222225</v>
      </c>
      <c r="F163">
        <v>33.314999999999998</v>
      </c>
      <c r="G163">
        <v>124.1</v>
      </c>
      <c r="H163">
        <v>7.69</v>
      </c>
      <c r="I163">
        <v>27.91</v>
      </c>
      <c r="J163">
        <v>8</v>
      </c>
      <c r="K163">
        <v>29.3</v>
      </c>
      <c r="L163">
        <v>2.29</v>
      </c>
      <c r="M163">
        <v>20.96</v>
      </c>
    </row>
    <row r="164" spans="1:13" x14ac:dyDescent="0.35">
      <c r="A164" s="1" t="s">
        <v>25</v>
      </c>
      <c r="B164" s="2" t="s">
        <v>63</v>
      </c>
      <c r="C164" s="1" t="str">
        <f t="shared" si="2"/>
        <v>ACS3_8-24_WQ</v>
      </c>
      <c r="D164" s="10">
        <v>45505</v>
      </c>
      <c r="E164" s="58">
        <v>0.55486111111111114</v>
      </c>
      <c r="F164">
        <v>31.94</v>
      </c>
      <c r="G164">
        <v>88.7</v>
      </c>
      <c r="H164">
        <v>6.21</v>
      </c>
      <c r="I164">
        <v>7.97</v>
      </c>
      <c r="J164">
        <v>8.18</v>
      </c>
      <c r="K164">
        <v>5.61</v>
      </c>
      <c r="L164">
        <v>2.0699999999999998</v>
      </c>
      <c r="M164">
        <v>22.49</v>
      </c>
    </row>
    <row r="165" spans="1:13" x14ac:dyDescent="0.35">
      <c r="A165" s="1" t="s">
        <v>45</v>
      </c>
      <c r="B165" s="2" t="s">
        <v>63</v>
      </c>
      <c r="C165" s="1" t="str">
        <f t="shared" si="2"/>
        <v>TSM3_8-24_WQ</v>
      </c>
      <c r="D165" s="10">
        <v>45505</v>
      </c>
      <c r="F165">
        <v>29.55</v>
      </c>
      <c r="G165">
        <v>70</v>
      </c>
      <c r="H165">
        <v>5.33</v>
      </c>
      <c r="I165">
        <v>0.22</v>
      </c>
      <c r="J165">
        <v>7.61</v>
      </c>
      <c r="K165">
        <v>4.4400000000000004</v>
      </c>
      <c r="L165">
        <v>26.8</v>
      </c>
      <c r="M165">
        <v>80.19</v>
      </c>
    </row>
    <row r="166" spans="1:13" x14ac:dyDescent="0.35">
      <c r="A166" s="1" t="s">
        <v>36</v>
      </c>
      <c r="B166" s="2" t="s">
        <v>63</v>
      </c>
      <c r="C166" s="1" t="str">
        <f t="shared" si="2"/>
        <v>MCS3_8-24_WQ</v>
      </c>
      <c r="D166" s="10">
        <v>45505</v>
      </c>
      <c r="E166" s="58">
        <v>0.43541666666666667</v>
      </c>
      <c r="F166">
        <v>29.553999999999998</v>
      </c>
      <c r="G166">
        <v>98.7</v>
      </c>
      <c r="H166">
        <v>6.69</v>
      </c>
      <c r="I166">
        <v>21.19</v>
      </c>
      <c r="J166">
        <v>7.99</v>
      </c>
      <c r="K166">
        <v>9.6199999999999992</v>
      </c>
      <c r="L166">
        <v>1.05</v>
      </c>
      <c r="M166">
        <v>18.579999999999998</v>
      </c>
    </row>
    <row r="167" spans="1:13" x14ac:dyDescent="0.35">
      <c r="A167" s="1" t="s">
        <v>51</v>
      </c>
      <c r="B167" s="2" t="s">
        <v>63</v>
      </c>
      <c r="C167" s="1" t="str">
        <f t="shared" si="2"/>
        <v>WB1_8-24_WQ</v>
      </c>
      <c r="D167" s="10">
        <v>45505</v>
      </c>
      <c r="E167" s="58">
        <v>0.60138888888888886</v>
      </c>
      <c r="F167">
        <v>31.600999999999999</v>
      </c>
      <c r="G167">
        <v>139.9</v>
      </c>
      <c r="H167">
        <v>8.44</v>
      </c>
      <c r="I167">
        <v>36.46</v>
      </c>
      <c r="J167">
        <v>8.08</v>
      </c>
      <c r="K167">
        <v>1.53</v>
      </c>
      <c r="L167">
        <v>0.31</v>
      </c>
      <c r="M167">
        <v>10.62</v>
      </c>
    </row>
    <row r="168" spans="1:13" x14ac:dyDescent="0.35">
      <c r="A168" s="1" t="s">
        <v>34</v>
      </c>
      <c r="B168" s="2" t="s">
        <v>63</v>
      </c>
      <c r="C168" s="1" t="str">
        <f t="shared" si="2"/>
        <v>MCS1_8-24_WQ</v>
      </c>
      <c r="D168" s="10">
        <v>45505</v>
      </c>
      <c r="E168" s="58">
        <v>0.39305555555555555</v>
      </c>
      <c r="F168">
        <v>29.526</v>
      </c>
      <c r="G168">
        <v>94.9</v>
      </c>
      <c r="H168">
        <v>6.83</v>
      </c>
      <c r="I168">
        <v>10.64</v>
      </c>
      <c r="J168">
        <v>8.18</v>
      </c>
      <c r="K168">
        <v>3.7</v>
      </c>
      <c r="L168">
        <v>0.69</v>
      </c>
      <c r="M168">
        <v>19.420000000000002</v>
      </c>
    </row>
    <row r="169" spans="1:13" x14ac:dyDescent="0.35">
      <c r="A169" s="1" t="s">
        <v>40</v>
      </c>
      <c r="B169" s="2" t="s">
        <v>63</v>
      </c>
      <c r="C169" s="1" t="str">
        <f t="shared" si="2"/>
        <v>TB1_8-24_WQ</v>
      </c>
      <c r="D169" s="10">
        <v>45505</v>
      </c>
      <c r="E169" s="58">
        <v>0.48055555555555557</v>
      </c>
      <c r="F169">
        <v>30.048999999999999</v>
      </c>
      <c r="G169">
        <v>102.8</v>
      </c>
      <c r="H169">
        <v>6.67</v>
      </c>
      <c r="I169">
        <v>27.74</v>
      </c>
      <c r="J169">
        <v>7.88</v>
      </c>
      <c r="K169">
        <v>6.22</v>
      </c>
      <c r="L169">
        <v>0.35</v>
      </c>
      <c r="M169">
        <v>9.3699999999999992</v>
      </c>
    </row>
    <row r="170" spans="1:13" x14ac:dyDescent="0.35">
      <c r="A170" s="1" t="s">
        <v>54</v>
      </c>
      <c r="B170" s="2" t="s">
        <v>63</v>
      </c>
      <c r="C170" s="1" t="str">
        <f t="shared" si="2"/>
        <v>JB_8-24_WQ</v>
      </c>
      <c r="D170" s="10">
        <v>45505</v>
      </c>
      <c r="E170" s="58">
        <v>0.48472222222222222</v>
      </c>
      <c r="F170">
        <v>30.943999999999999</v>
      </c>
      <c r="G170">
        <v>104.3</v>
      </c>
      <c r="H170">
        <v>6.27</v>
      </c>
      <c r="I170">
        <v>38.799999999999997</v>
      </c>
      <c r="J170">
        <v>8.01</v>
      </c>
      <c r="K170">
        <v>7.0000000000000007E-2</v>
      </c>
      <c r="L170">
        <v>0.26</v>
      </c>
      <c r="M170">
        <v>11.78</v>
      </c>
    </row>
    <row r="171" spans="1:13" x14ac:dyDescent="0.35">
      <c r="A171" s="1" t="s">
        <v>35</v>
      </c>
      <c r="B171" s="2" t="s">
        <v>63</v>
      </c>
      <c r="C171" s="1" t="str">
        <f t="shared" si="2"/>
        <v>MCS2_8-24_WQ</v>
      </c>
      <c r="D171" s="10">
        <v>45505</v>
      </c>
      <c r="E171" s="58">
        <v>0.4201388888888889</v>
      </c>
      <c r="F171">
        <v>29.475999999999999</v>
      </c>
      <c r="G171">
        <v>96.3</v>
      </c>
      <c r="H171">
        <v>6.73</v>
      </c>
      <c r="I171">
        <v>15.9</v>
      </c>
      <c r="J171">
        <v>8.01</v>
      </c>
      <c r="K171">
        <v>6.36</v>
      </c>
      <c r="L171">
        <v>0.73</v>
      </c>
      <c r="M171">
        <v>18.02</v>
      </c>
    </row>
    <row r="172" spans="1:13" x14ac:dyDescent="0.35">
      <c r="A172" s="1" t="s">
        <v>46</v>
      </c>
      <c r="B172" s="2" t="s">
        <v>63</v>
      </c>
      <c r="C172" s="1" t="str">
        <f t="shared" si="2"/>
        <v>TSM4_8-24_WQ</v>
      </c>
      <c r="D172" s="10">
        <v>45505</v>
      </c>
      <c r="F172">
        <v>27.831</v>
      </c>
      <c r="G172">
        <v>18.2</v>
      </c>
      <c r="H172">
        <v>1.63</v>
      </c>
      <c r="I172">
        <v>0.34</v>
      </c>
      <c r="J172">
        <v>6.96</v>
      </c>
      <c r="K172">
        <v>22.1</v>
      </c>
      <c r="L172">
        <v>3.82</v>
      </c>
      <c r="M172">
        <v>10.199999999999999</v>
      </c>
    </row>
    <row r="173" spans="1:13" x14ac:dyDescent="0.35">
      <c r="A173" s="42" t="s">
        <v>23</v>
      </c>
      <c r="B173" s="43" t="s">
        <v>110</v>
      </c>
      <c r="C173" s="1" t="str">
        <f t="shared" si="2"/>
        <v>ACS1_11-24_WQ</v>
      </c>
      <c r="D173" s="44">
        <v>45606</v>
      </c>
      <c r="E173" s="58">
        <v>0.39097222222222222</v>
      </c>
      <c r="F173">
        <v>26.3</v>
      </c>
      <c r="G173">
        <v>56</v>
      </c>
      <c r="H173">
        <v>4.4000000000000004</v>
      </c>
      <c r="I173">
        <v>7.6</v>
      </c>
    </row>
    <row r="174" spans="1:13" x14ac:dyDescent="0.35">
      <c r="A174" s="42" t="s">
        <v>45</v>
      </c>
      <c r="B174" s="43" t="s">
        <v>110</v>
      </c>
      <c r="C174" s="1" t="str">
        <f t="shared" si="2"/>
        <v>TSM3_11-24_WQ</v>
      </c>
      <c r="D174" s="44">
        <v>45606</v>
      </c>
    </row>
    <row r="175" spans="1:13" x14ac:dyDescent="0.35">
      <c r="A175" s="42" t="s">
        <v>47</v>
      </c>
      <c r="B175" s="43" t="s">
        <v>110</v>
      </c>
      <c r="C175" s="1" t="str">
        <f t="shared" si="2"/>
        <v>SBT1_11-24_WQ</v>
      </c>
      <c r="D175" s="44">
        <v>45606</v>
      </c>
      <c r="E175" s="58">
        <v>0.44166666666666665</v>
      </c>
    </row>
    <row r="176" spans="1:13" x14ac:dyDescent="0.35">
      <c r="A176" s="42" t="s">
        <v>46</v>
      </c>
      <c r="B176" s="43" t="s">
        <v>110</v>
      </c>
      <c r="C176" s="1" t="str">
        <f t="shared" si="2"/>
        <v>TSM4_11-24_WQ</v>
      </c>
      <c r="D176" s="44">
        <v>45606</v>
      </c>
    </row>
    <row r="177" spans="1:13" x14ac:dyDescent="0.35">
      <c r="A177" s="42" t="s">
        <v>33</v>
      </c>
      <c r="B177" s="43" t="s">
        <v>110</v>
      </c>
      <c r="C177" s="1" t="str">
        <f t="shared" si="2"/>
        <v>GB1_11-24_WQ</v>
      </c>
      <c r="D177" s="44">
        <v>45612</v>
      </c>
      <c r="E177" s="58">
        <v>0.43055555555555558</v>
      </c>
      <c r="F177">
        <v>25.3</v>
      </c>
      <c r="G177">
        <v>108</v>
      </c>
      <c r="H177">
        <v>8</v>
      </c>
      <c r="I177">
        <v>19.600000000000001</v>
      </c>
    </row>
    <row r="178" spans="1:13" x14ac:dyDescent="0.35">
      <c r="A178" s="42" t="s">
        <v>41</v>
      </c>
      <c r="B178" s="43" t="s">
        <v>110</v>
      </c>
      <c r="C178" s="1" t="str">
        <f t="shared" si="2"/>
        <v>TB2_11-24_WQ</v>
      </c>
      <c r="D178" s="44">
        <v>45612</v>
      </c>
      <c r="E178" s="58">
        <v>0.52986111111111112</v>
      </c>
      <c r="F178">
        <v>26.4</v>
      </c>
      <c r="G178">
        <v>96</v>
      </c>
      <c r="H178">
        <v>6.5</v>
      </c>
      <c r="I178">
        <v>31.2</v>
      </c>
    </row>
    <row r="179" spans="1:13" x14ac:dyDescent="0.35">
      <c r="A179" s="42" t="s">
        <v>48</v>
      </c>
      <c r="B179" s="43" t="s">
        <v>110</v>
      </c>
      <c r="C179" s="1" t="str">
        <f t="shared" si="2"/>
        <v>SBT2_11-24_WQ</v>
      </c>
      <c r="D179" s="44">
        <v>45612</v>
      </c>
      <c r="E179" s="58">
        <v>0.42430555555555555</v>
      </c>
      <c r="F179">
        <v>30.579000000000001</v>
      </c>
      <c r="G179">
        <v>98.1</v>
      </c>
      <c r="H179">
        <v>5.97</v>
      </c>
      <c r="I179">
        <v>37.92</v>
      </c>
      <c r="J179">
        <v>7.87</v>
      </c>
      <c r="K179">
        <v>7.78</v>
      </c>
      <c r="L179">
        <v>1.08</v>
      </c>
      <c r="M179">
        <v>16.170000000000002</v>
      </c>
    </row>
    <row r="180" spans="1:13" x14ac:dyDescent="0.35">
      <c r="A180" s="42" t="s">
        <v>54</v>
      </c>
      <c r="B180" s="43" t="s">
        <v>110</v>
      </c>
      <c r="C180" s="1" t="str">
        <f t="shared" si="2"/>
        <v>JB_11-24_WQ</v>
      </c>
      <c r="D180" s="44">
        <v>45612</v>
      </c>
      <c r="E180" s="58">
        <v>0.66319444444444442</v>
      </c>
      <c r="F180">
        <v>26.7</v>
      </c>
      <c r="G180">
        <v>121</v>
      </c>
      <c r="H180">
        <v>8.4</v>
      </c>
      <c r="I180">
        <v>26.4</v>
      </c>
    </row>
    <row r="181" spans="1:13" x14ac:dyDescent="0.35">
      <c r="A181" s="42" t="s">
        <v>43</v>
      </c>
      <c r="B181" s="43" t="s">
        <v>110</v>
      </c>
      <c r="C181" s="1" t="str">
        <f t="shared" si="2"/>
        <v>RB_11-24_WQ</v>
      </c>
      <c r="D181" s="44">
        <v>45612</v>
      </c>
      <c r="E181" s="58">
        <v>0.375</v>
      </c>
      <c r="F181">
        <v>25.3</v>
      </c>
      <c r="G181">
        <v>100</v>
      </c>
      <c r="H181">
        <v>7.3</v>
      </c>
      <c r="I181">
        <v>21.4</v>
      </c>
    </row>
    <row r="182" spans="1:13" x14ac:dyDescent="0.35">
      <c r="A182" s="42" t="s">
        <v>40</v>
      </c>
      <c r="B182" s="43" t="s">
        <v>110</v>
      </c>
      <c r="C182" s="1" t="str">
        <f t="shared" si="2"/>
        <v>TB1_11-24_WQ</v>
      </c>
      <c r="D182" s="44">
        <v>45612</v>
      </c>
    </row>
    <row r="183" spans="1:13" x14ac:dyDescent="0.35">
      <c r="A183" s="42" t="s">
        <v>29</v>
      </c>
      <c r="B183" s="43" t="s">
        <v>110</v>
      </c>
      <c r="C183" s="1" t="str">
        <f t="shared" si="2"/>
        <v>DC1_11-24_WQ</v>
      </c>
      <c r="D183" s="44">
        <v>45612</v>
      </c>
      <c r="E183" s="58">
        <v>0.64444444444444449</v>
      </c>
      <c r="F183">
        <v>26.6</v>
      </c>
      <c r="G183">
        <v>103</v>
      </c>
      <c r="H183">
        <v>7</v>
      </c>
      <c r="I183">
        <v>29.4</v>
      </c>
    </row>
    <row r="184" spans="1:13" x14ac:dyDescent="0.35">
      <c r="A184" s="42" t="s">
        <v>34</v>
      </c>
      <c r="B184" s="43" t="s">
        <v>110</v>
      </c>
      <c r="C184" s="1" t="str">
        <f t="shared" si="2"/>
        <v>MCS1_11-24_WQ</v>
      </c>
      <c r="D184" s="44">
        <v>45612</v>
      </c>
      <c r="E184" s="58">
        <v>0.54236111111111107</v>
      </c>
      <c r="F184">
        <v>26.3</v>
      </c>
      <c r="G184">
        <v>104</v>
      </c>
      <c r="H184">
        <v>6.9</v>
      </c>
      <c r="I184">
        <v>31.3</v>
      </c>
    </row>
    <row r="185" spans="1:13" x14ac:dyDescent="0.35">
      <c r="A185" s="42" t="s">
        <v>53</v>
      </c>
      <c r="B185" s="43" t="s">
        <v>110</v>
      </c>
      <c r="C185" s="1" t="str">
        <f t="shared" si="2"/>
        <v>TKB_11-24_WQ</v>
      </c>
      <c r="D185" s="44">
        <v>45612</v>
      </c>
      <c r="E185" s="58">
        <v>0.48819444444444443</v>
      </c>
      <c r="F185">
        <v>25.8</v>
      </c>
      <c r="G185">
        <v>80</v>
      </c>
      <c r="H185">
        <v>5.5</v>
      </c>
      <c r="I185">
        <v>26.2</v>
      </c>
    </row>
  </sheetData>
  <autoFilter ref="A1:D192" xr:uid="{18D1EF5C-2B53-4A3C-AF77-8C34CCA15F95}">
    <sortState xmlns:xlrd2="http://schemas.microsoft.com/office/spreadsheetml/2017/richdata2" ref="A2:D192">
      <sortCondition ref="D1:D192"/>
    </sortState>
  </autoFilter>
  <conditionalFormatting sqref="E1 G1">
    <cfRule type="containsText" dxfId="7" priority="1" operator="containsText" text="Y">
      <formula>NOT(ISERROR(SEARCH("Y",E1)))</formula>
    </cfRule>
  </conditionalFormatting>
  <conditionalFormatting sqref="H1">
    <cfRule type="containsText" dxfId="6" priority="4" operator="containsText" text="C,N,S">
      <formula>NOT(ISERROR(SEARCH("C,N,S",H1)))</formula>
    </cfRule>
  </conditionalFormatting>
  <conditionalFormatting sqref="BD1:BE1">
    <cfRule type="containsText" dxfId="5" priority="2" operator="containsText" text="Y">
      <formula>NOT(ISERROR(SEARCH("Y",BD1)))</formula>
    </cfRule>
    <cfRule type="containsText" dxfId="4" priority="3" operator="containsText" text="N">
      <formula>NOT(ISERROR(SEARCH("N",BD1)))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15E3-4BDC-454A-A05D-20BB71F17961}">
  <sheetPr filterMode="1"/>
  <dimension ref="A1:H351"/>
  <sheetViews>
    <sheetView workbookViewId="0">
      <pane ySplit="1" topLeftCell="A20" activePane="bottomLeft" state="frozen"/>
      <selection pane="bottomLeft" activeCell="J345" sqref="J345"/>
    </sheetView>
  </sheetViews>
  <sheetFormatPr defaultRowHeight="14.5" x14ac:dyDescent="0.35"/>
  <cols>
    <col min="1" max="1" width="13" style="1" customWidth="1"/>
    <col min="2" max="3" width="16.1796875" style="2" customWidth="1"/>
    <col min="4" max="5" width="16.54296875" style="1" customWidth="1"/>
    <col min="6" max="6" width="15" style="1" customWidth="1"/>
    <col min="7" max="7" width="14.453125" style="1" customWidth="1"/>
    <col min="8" max="8" width="15.1796875" style="1" customWidth="1"/>
  </cols>
  <sheetData>
    <row r="1" spans="1:8" s="7" customFormat="1" x14ac:dyDescent="0.35">
      <c r="A1" s="8" t="s">
        <v>0</v>
      </c>
      <c r="B1" s="9" t="s">
        <v>1</v>
      </c>
      <c r="C1" s="9" t="s">
        <v>112</v>
      </c>
      <c r="D1" s="8" t="s">
        <v>3</v>
      </c>
      <c r="E1" s="8" t="s">
        <v>4</v>
      </c>
      <c r="F1" s="8" t="s">
        <v>126</v>
      </c>
      <c r="G1" s="8" t="s">
        <v>127</v>
      </c>
      <c r="H1" s="8" t="s">
        <v>128</v>
      </c>
    </row>
    <row r="2" spans="1:8" hidden="1" x14ac:dyDescent="0.35">
      <c r="A2" s="1" t="s">
        <v>13</v>
      </c>
      <c r="B2" s="2" t="s">
        <v>114</v>
      </c>
      <c r="C2" s="2" t="s">
        <v>129</v>
      </c>
      <c r="D2" s="1" t="str">
        <f t="shared" ref="D2:D62" si="0">A2&amp;"_"&amp;B2&amp;"_"&amp;C2</f>
        <v>P37_9_23_1</v>
      </c>
      <c r="E2" s="10">
        <v>45184</v>
      </c>
      <c r="F2" s="1">
        <v>47</v>
      </c>
      <c r="G2" s="1" t="s">
        <v>130</v>
      </c>
      <c r="H2" s="1" t="s">
        <v>130</v>
      </c>
    </row>
    <row r="3" spans="1:8" hidden="1" x14ac:dyDescent="0.35">
      <c r="A3" s="1" t="s">
        <v>13</v>
      </c>
      <c r="B3" s="2" t="s">
        <v>114</v>
      </c>
      <c r="C3" s="2" t="s">
        <v>131</v>
      </c>
      <c r="D3" s="1" t="str">
        <f t="shared" si="0"/>
        <v>P37_9_23_2</v>
      </c>
      <c r="E3" s="10">
        <v>45184</v>
      </c>
      <c r="F3" s="1">
        <v>60</v>
      </c>
      <c r="G3" s="1" t="s">
        <v>130</v>
      </c>
      <c r="H3" s="1" t="s">
        <v>130</v>
      </c>
    </row>
    <row r="4" spans="1:8" hidden="1" x14ac:dyDescent="0.35">
      <c r="A4" s="1" t="s">
        <v>18</v>
      </c>
      <c r="B4" s="2" t="s">
        <v>114</v>
      </c>
      <c r="C4" s="2" t="s">
        <v>129</v>
      </c>
      <c r="D4" s="1" t="str">
        <f t="shared" si="0"/>
        <v>NCL_9_23_1</v>
      </c>
      <c r="E4" s="10">
        <v>45184</v>
      </c>
      <c r="F4" s="1">
        <v>60</v>
      </c>
      <c r="G4" s="1" t="s">
        <v>130</v>
      </c>
      <c r="H4" s="1" t="s">
        <v>130</v>
      </c>
    </row>
    <row r="5" spans="1:8" hidden="1" x14ac:dyDescent="0.35">
      <c r="A5" s="1" t="s">
        <v>18</v>
      </c>
      <c r="B5" s="2" t="s">
        <v>114</v>
      </c>
      <c r="C5" s="2" t="s">
        <v>131</v>
      </c>
      <c r="D5" s="1" t="str">
        <f t="shared" si="0"/>
        <v>NCL_9_23_2</v>
      </c>
      <c r="E5" s="10">
        <v>45184</v>
      </c>
      <c r="F5" s="1">
        <v>57</v>
      </c>
      <c r="G5" s="1" t="s">
        <v>130</v>
      </c>
      <c r="H5" s="1" t="s">
        <v>130</v>
      </c>
    </row>
    <row r="6" spans="1:8" hidden="1" x14ac:dyDescent="0.35">
      <c r="A6" s="1" t="s">
        <v>19</v>
      </c>
      <c r="B6" s="2" t="s">
        <v>114</v>
      </c>
      <c r="C6" s="2" t="s">
        <v>129</v>
      </c>
      <c r="D6" s="1" t="str">
        <f t="shared" si="0"/>
        <v>CP_9_23_1</v>
      </c>
      <c r="E6" s="10">
        <v>45184</v>
      </c>
      <c r="F6" s="1">
        <v>58</v>
      </c>
      <c r="G6" s="1" t="s">
        <v>130</v>
      </c>
      <c r="H6" s="1" t="s">
        <v>130</v>
      </c>
    </row>
    <row r="7" spans="1:8" hidden="1" x14ac:dyDescent="0.35">
      <c r="A7" s="1" t="s">
        <v>19</v>
      </c>
      <c r="B7" s="2" t="s">
        <v>114</v>
      </c>
      <c r="C7" s="2" t="s">
        <v>131</v>
      </c>
      <c r="D7" s="1" t="str">
        <f t="shared" si="0"/>
        <v>CP_9_23_2</v>
      </c>
      <c r="E7" s="10">
        <v>45184</v>
      </c>
      <c r="F7" s="1">
        <v>60</v>
      </c>
      <c r="G7" s="1" t="s">
        <v>130</v>
      </c>
      <c r="H7" s="1" t="s">
        <v>130</v>
      </c>
    </row>
    <row r="8" spans="1:8" hidden="1" x14ac:dyDescent="0.35">
      <c r="A8" s="1" t="s">
        <v>20</v>
      </c>
      <c r="B8" s="2" t="s">
        <v>114</v>
      </c>
      <c r="C8" s="2" t="s">
        <v>129</v>
      </c>
      <c r="D8" s="1" t="str">
        <f t="shared" si="0"/>
        <v>EP146_9_23_1</v>
      </c>
      <c r="E8" s="10">
        <v>45184</v>
      </c>
      <c r="F8" s="1">
        <v>58</v>
      </c>
      <c r="G8" s="1" t="s">
        <v>130</v>
      </c>
      <c r="H8" s="1" t="s">
        <v>130</v>
      </c>
    </row>
    <row r="9" spans="1:8" hidden="1" x14ac:dyDescent="0.35">
      <c r="A9" s="1" t="s">
        <v>20</v>
      </c>
      <c r="B9" s="2" t="s">
        <v>114</v>
      </c>
      <c r="C9" s="2" t="s">
        <v>131</v>
      </c>
      <c r="D9" s="1" t="str">
        <f t="shared" si="0"/>
        <v>EP146_9_23_2</v>
      </c>
      <c r="E9" s="10">
        <v>45184</v>
      </c>
      <c r="F9" s="1">
        <v>60</v>
      </c>
      <c r="G9" s="1" t="s">
        <v>130</v>
      </c>
      <c r="H9" s="1" t="s">
        <v>130</v>
      </c>
    </row>
    <row r="10" spans="1:8" hidden="1" x14ac:dyDescent="0.35">
      <c r="A10" s="1" t="s">
        <v>21</v>
      </c>
      <c r="B10" s="2" t="s">
        <v>114</v>
      </c>
      <c r="C10" s="2" t="s">
        <v>129</v>
      </c>
      <c r="D10" s="1" t="str">
        <f t="shared" si="0"/>
        <v>OL_9_23_1</v>
      </c>
      <c r="E10" s="10">
        <v>45184</v>
      </c>
      <c r="F10" s="1" t="s">
        <v>130</v>
      </c>
      <c r="G10" s="1" t="s">
        <v>130</v>
      </c>
      <c r="H10" s="1" t="s">
        <v>130</v>
      </c>
    </row>
    <row r="11" spans="1:8" hidden="1" x14ac:dyDescent="0.35">
      <c r="A11" s="1" t="s">
        <v>21</v>
      </c>
      <c r="B11" s="2" t="s">
        <v>114</v>
      </c>
      <c r="C11" s="2" t="s">
        <v>131</v>
      </c>
      <c r="D11" s="1" t="str">
        <f t="shared" si="0"/>
        <v>OL_9_23_2</v>
      </c>
      <c r="E11" s="10">
        <v>45184</v>
      </c>
      <c r="F11" s="1">
        <v>58</v>
      </c>
      <c r="G11" s="1" t="s">
        <v>130</v>
      </c>
      <c r="H11" s="1" t="s">
        <v>130</v>
      </c>
    </row>
    <row r="12" spans="1:8" hidden="1" x14ac:dyDescent="0.35">
      <c r="A12" s="1" t="s">
        <v>57</v>
      </c>
      <c r="B12" s="2" t="s">
        <v>114</v>
      </c>
      <c r="C12" s="2" t="s">
        <v>129</v>
      </c>
      <c r="D12" s="1" t="str">
        <f t="shared" si="0"/>
        <v>TSH_9_23_1</v>
      </c>
      <c r="E12" s="10">
        <v>45184</v>
      </c>
      <c r="F12" s="1">
        <v>58</v>
      </c>
      <c r="G12" s="1" t="s">
        <v>130</v>
      </c>
      <c r="H12" s="1" t="s">
        <v>130</v>
      </c>
    </row>
    <row r="13" spans="1:8" hidden="1" x14ac:dyDescent="0.35">
      <c r="A13" s="1" t="s">
        <v>57</v>
      </c>
      <c r="B13" s="2" t="s">
        <v>114</v>
      </c>
      <c r="C13" s="2" t="s">
        <v>131</v>
      </c>
      <c r="D13" s="1" t="str">
        <f t="shared" si="0"/>
        <v>TSH_9_23_2</v>
      </c>
      <c r="E13" s="10">
        <v>45184</v>
      </c>
      <c r="F13" s="1">
        <v>55</v>
      </c>
      <c r="G13" s="1" t="s">
        <v>130</v>
      </c>
      <c r="H13" s="1" t="s">
        <v>130</v>
      </c>
    </row>
    <row r="14" spans="1:8" hidden="1" x14ac:dyDescent="0.35">
      <c r="A14" s="1" t="s">
        <v>22</v>
      </c>
      <c r="B14" s="2" t="s">
        <v>114</v>
      </c>
      <c r="C14" s="2" t="s">
        <v>129</v>
      </c>
      <c r="D14" s="1" t="str">
        <f t="shared" si="0"/>
        <v>R127_9_23_1</v>
      </c>
      <c r="E14" s="10">
        <v>45184</v>
      </c>
      <c r="F14" s="1">
        <v>58</v>
      </c>
      <c r="G14" s="1" t="s">
        <v>130</v>
      </c>
      <c r="H14" s="1" t="s">
        <v>130</v>
      </c>
    </row>
    <row r="15" spans="1:8" hidden="1" x14ac:dyDescent="0.35">
      <c r="A15" s="1" t="s">
        <v>22</v>
      </c>
      <c r="B15" s="2" t="s">
        <v>114</v>
      </c>
      <c r="C15" s="2" t="s">
        <v>131</v>
      </c>
      <c r="D15" s="1" t="str">
        <f t="shared" si="0"/>
        <v>R127_9_23_2</v>
      </c>
      <c r="E15" s="10">
        <v>45184</v>
      </c>
      <c r="F15" s="1">
        <v>55</v>
      </c>
      <c r="G15" s="1" t="s">
        <v>130</v>
      </c>
      <c r="H15" s="1" t="s">
        <v>130</v>
      </c>
    </row>
    <row r="16" spans="1:8" x14ac:dyDescent="0.35">
      <c r="A16" s="1" t="s">
        <v>23</v>
      </c>
      <c r="B16" s="2" t="s">
        <v>14</v>
      </c>
      <c r="C16" s="2" t="s">
        <v>129</v>
      </c>
      <c r="D16" s="1" t="str">
        <f t="shared" si="0"/>
        <v>ACS1_9-23_1</v>
      </c>
      <c r="E16" s="10">
        <v>45195</v>
      </c>
      <c r="F16" s="1">
        <v>56</v>
      </c>
      <c r="G16" s="10">
        <v>45261</v>
      </c>
      <c r="H16" s="1">
        <v>31.63</v>
      </c>
    </row>
    <row r="17" spans="1:8" x14ac:dyDescent="0.35">
      <c r="A17" s="1" t="s">
        <v>24</v>
      </c>
      <c r="B17" s="2" t="s">
        <v>14</v>
      </c>
      <c r="C17" s="2" t="s">
        <v>129</v>
      </c>
      <c r="D17" s="1" t="str">
        <f t="shared" si="0"/>
        <v>ACS2_9-23_1</v>
      </c>
      <c r="E17" s="10">
        <v>45195</v>
      </c>
      <c r="F17" s="1">
        <v>57</v>
      </c>
      <c r="G17" s="10">
        <v>45261</v>
      </c>
      <c r="H17" s="1">
        <v>35.99</v>
      </c>
    </row>
    <row r="18" spans="1:8" hidden="1" x14ac:dyDescent="0.35">
      <c r="A18" s="1" t="s">
        <v>25</v>
      </c>
      <c r="B18" s="2" t="s">
        <v>14</v>
      </c>
      <c r="C18" s="2" t="s">
        <v>129</v>
      </c>
      <c r="D18" s="1" t="str">
        <f t="shared" si="0"/>
        <v>ACS3_9-23_1</v>
      </c>
      <c r="E18" s="10">
        <v>45195</v>
      </c>
      <c r="F18" s="1">
        <v>32</v>
      </c>
      <c r="G18" s="10">
        <v>45261</v>
      </c>
      <c r="H18" s="1">
        <v>45.99</v>
      </c>
    </row>
    <row r="19" spans="1:8" x14ac:dyDescent="0.35">
      <c r="A19" s="1" t="s">
        <v>26</v>
      </c>
      <c r="B19" s="2" t="s">
        <v>14</v>
      </c>
      <c r="C19" s="2" t="s">
        <v>129</v>
      </c>
      <c r="D19" s="1" t="str">
        <f t="shared" si="0"/>
        <v>ACS4_9-23_1</v>
      </c>
      <c r="E19" s="10">
        <v>45195</v>
      </c>
      <c r="F19" s="1">
        <v>53</v>
      </c>
      <c r="G19" s="10">
        <v>45261</v>
      </c>
      <c r="H19" s="1">
        <v>24.9</v>
      </c>
    </row>
    <row r="20" spans="1:8" x14ac:dyDescent="0.35">
      <c r="A20" s="1" t="s">
        <v>27</v>
      </c>
      <c r="B20" s="2" t="s">
        <v>14</v>
      </c>
      <c r="C20" s="2" t="s">
        <v>129</v>
      </c>
      <c r="D20" s="1" t="str">
        <f t="shared" si="0"/>
        <v>ACS5_9-23_1</v>
      </c>
      <c r="E20" s="10">
        <v>45195</v>
      </c>
      <c r="F20" s="1">
        <v>53</v>
      </c>
      <c r="G20" s="10">
        <v>45261</v>
      </c>
      <c r="H20" s="1">
        <v>34.880000000000003</v>
      </c>
    </row>
    <row r="21" spans="1:8" x14ac:dyDescent="0.35">
      <c r="A21" s="1" t="s">
        <v>28</v>
      </c>
      <c r="B21" s="2" t="s">
        <v>14</v>
      </c>
      <c r="C21" s="2" t="s">
        <v>129</v>
      </c>
      <c r="D21" s="1" t="str">
        <f t="shared" si="0"/>
        <v>GBHM_9-23_1</v>
      </c>
      <c r="E21" s="10">
        <v>45195</v>
      </c>
      <c r="F21" s="1">
        <v>53</v>
      </c>
      <c r="G21" s="10">
        <v>45261</v>
      </c>
      <c r="H21" s="1">
        <v>23.46</v>
      </c>
    </row>
    <row r="22" spans="1:8" x14ac:dyDescent="0.35">
      <c r="A22" s="1" t="s">
        <v>29</v>
      </c>
      <c r="B22" s="2" t="s">
        <v>14</v>
      </c>
      <c r="C22" s="2" t="s">
        <v>129</v>
      </c>
      <c r="D22" s="1" t="str">
        <f t="shared" si="0"/>
        <v>DC1_9-23_1</v>
      </c>
      <c r="E22" s="10">
        <v>45195</v>
      </c>
      <c r="F22" s="1">
        <v>51</v>
      </c>
      <c r="G22" s="10">
        <v>45261</v>
      </c>
      <c r="H22" s="1">
        <v>25.07</v>
      </c>
    </row>
    <row r="23" spans="1:8" x14ac:dyDescent="0.35">
      <c r="A23" s="1" t="s">
        <v>30</v>
      </c>
      <c r="B23" s="2" t="s">
        <v>14</v>
      </c>
      <c r="C23" s="2" t="s">
        <v>129</v>
      </c>
      <c r="D23" s="1" t="str">
        <f t="shared" si="0"/>
        <v>DCM1_9-23_1</v>
      </c>
      <c r="E23" s="10">
        <v>45195</v>
      </c>
      <c r="F23" s="1">
        <v>57</v>
      </c>
      <c r="G23" s="10">
        <v>45261</v>
      </c>
      <c r="H23" s="1">
        <v>38.770000000000003</v>
      </c>
    </row>
    <row r="24" spans="1:8" x14ac:dyDescent="0.35">
      <c r="A24" s="1" t="s">
        <v>31</v>
      </c>
      <c r="B24" s="2" t="s">
        <v>14</v>
      </c>
      <c r="C24" s="2" t="s">
        <v>129</v>
      </c>
      <c r="D24" s="1" t="str">
        <f t="shared" si="0"/>
        <v>DC2_9-23_1</v>
      </c>
      <c r="E24" s="10">
        <v>45195</v>
      </c>
      <c r="F24" s="1">
        <v>55</v>
      </c>
      <c r="G24" s="10">
        <v>45261</v>
      </c>
      <c r="H24" s="1">
        <v>34.130000000000003</v>
      </c>
    </row>
    <row r="25" spans="1:8" x14ac:dyDescent="0.35">
      <c r="A25" s="1" t="s">
        <v>32</v>
      </c>
      <c r="B25" s="2" t="s">
        <v>14</v>
      </c>
      <c r="C25" s="2" t="s">
        <v>129</v>
      </c>
      <c r="D25" s="1" t="str">
        <f t="shared" si="0"/>
        <v>DCM2_9-23_1</v>
      </c>
      <c r="E25" s="10">
        <v>45195</v>
      </c>
      <c r="F25" s="1">
        <v>56</v>
      </c>
      <c r="G25" s="10">
        <v>45261</v>
      </c>
      <c r="H25" s="1">
        <v>39.03</v>
      </c>
    </row>
    <row r="26" spans="1:8" x14ac:dyDescent="0.35">
      <c r="A26" s="1" t="s">
        <v>33</v>
      </c>
      <c r="B26" s="2" t="s">
        <v>14</v>
      </c>
      <c r="C26" s="2" t="s">
        <v>129</v>
      </c>
      <c r="D26" s="1" t="str">
        <f t="shared" si="0"/>
        <v>GB1_9-23_1</v>
      </c>
      <c r="E26" s="10">
        <v>45195</v>
      </c>
      <c r="F26" s="1">
        <v>53</v>
      </c>
      <c r="G26" s="10">
        <v>45261</v>
      </c>
      <c r="H26" s="1">
        <v>15.8</v>
      </c>
    </row>
    <row r="27" spans="1:8" x14ac:dyDescent="0.35">
      <c r="A27" s="1" t="s">
        <v>23</v>
      </c>
      <c r="B27" s="2" t="s">
        <v>14</v>
      </c>
      <c r="C27" s="2" t="s">
        <v>131</v>
      </c>
      <c r="D27" s="1" t="str">
        <f t="shared" si="0"/>
        <v>ACS1_9-23_2</v>
      </c>
      <c r="E27" s="10">
        <v>45195</v>
      </c>
      <c r="F27" s="1">
        <v>58</v>
      </c>
      <c r="G27" s="10">
        <v>45261</v>
      </c>
      <c r="H27" s="1">
        <v>30.25</v>
      </c>
    </row>
    <row r="28" spans="1:8" x14ac:dyDescent="0.35">
      <c r="A28" s="1" t="s">
        <v>24</v>
      </c>
      <c r="B28" s="2" t="s">
        <v>14</v>
      </c>
      <c r="C28" s="2" t="s">
        <v>131</v>
      </c>
      <c r="D28" s="1" t="str">
        <f t="shared" si="0"/>
        <v>ACS2_9-23_2</v>
      </c>
      <c r="E28" s="10">
        <v>45195</v>
      </c>
      <c r="F28" s="1">
        <v>55</v>
      </c>
      <c r="G28" s="10">
        <v>45261</v>
      </c>
      <c r="H28" s="1">
        <v>36.630000000000003</v>
      </c>
    </row>
    <row r="29" spans="1:8" hidden="1" x14ac:dyDescent="0.35">
      <c r="A29" s="1" t="s">
        <v>25</v>
      </c>
      <c r="B29" s="2" t="s">
        <v>14</v>
      </c>
      <c r="C29" s="2" t="s">
        <v>131</v>
      </c>
      <c r="D29" s="1" t="str">
        <f t="shared" si="0"/>
        <v>ACS3_9-23_2</v>
      </c>
      <c r="E29" s="10">
        <v>45195</v>
      </c>
      <c r="F29" s="1">
        <v>27</v>
      </c>
      <c r="G29" s="10">
        <v>45261</v>
      </c>
      <c r="H29" s="1">
        <v>41.89</v>
      </c>
    </row>
    <row r="30" spans="1:8" x14ac:dyDescent="0.35">
      <c r="A30" s="1" t="s">
        <v>26</v>
      </c>
      <c r="B30" s="2" t="s">
        <v>14</v>
      </c>
      <c r="C30" s="2" t="s">
        <v>131</v>
      </c>
      <c r="D30" s="1" t="str">
        <f t="shared" si="0"/>
        <v>ACS4_9-23_2</v>
      </c>
      <c r="E30" s="10">
        <v>45195</v>
      </c>
      <c r="F30" s="1">
        <v>58</v>
      </c>
      <c r="G30" s="10">
        <v>45261</v>
      </c>
      <c r="H30" s="1">
        <v>23.29</v>
      </c>
    </row>
    <row r="31" spans="1:8" x14ac:dyDescent="0.35">
      <c r="A31" s="1" t="s">
        <v>27</v>
      </c>
      <c r="B31" s="2" t="s">
        <v>14</v>
      </c>
      <c r="C31" s="2" t="s">
        <v>131</v>
      </c>
      <c r="D31" s="1" t="str">
        <f t="shared" si="0"/>
        <v>ACS5_9-23_2</v>
      </c>
      <c r="E31" s="10">
        <v>45195</v>
      </c>
      <c r="F31" s="1">
        <v>57</v>
      </c>
      <c r="G31" s="10">
        <v>45261</v>
      </c>
      <c r="H31" s="1">
        <v>30.08</v>
      </c>
    </row>
    <row r="32" spans="1:8" hidden="1" x14ac:dyDescent="0.35">
      <c r="A32" s="1" t="s">
        <v>28</v>
      </c>
      <c r="B32" s="2" t="s">
        <v>14</v>
      </c>
      <c r="C32" s="2" t="s">
        <v>131</v>
      </c>
      <c r="D32" s="1" t="str">
        <f t="shared" si="0"/>
        <v>GBHM_9-23_2</v>
      </c>
      <c r="E32" s="10">
        <v>45195</v>
      </c>
      <c r="F32" s="1">
        <v>60</v>
      </c>
      <c r="G32" s="10">
        <v>45261</v>
      </c>
      <c r="H32" s="1">
        <v>39.619999999999997</v>
      </c>
    </row>
    <row r="33" spans="1:8" x14ac:dyDescent="0.35">
      <c r="A33" s="1" t="s">
        <v>29</v>
      </c>
      <c r="B33" s="2" t="s">
        <v>14</v>
      </c>
      <c r="C33" s="2" t="s">
        <v>131</v>
      </c>
      <c r="D33" s="1" t="str">
        <f t="shared" si="0"/>
        <v>DC1_9-23_2</v>
      </c>
      <c r="E33" s="10">
        <v>45195</v>
      </c>
      <c r="F33" s="1">
        <v>58</v>
      </c>
      <c r="G33" s="10">
        <v>45261</v>
      </c>
      <c r="H33" s="1">
        <v>32.869999999999997</v>
      </c>
    </row>
    <row r="34" spans="1:8" hidden="1" x14ac:dyDescent="0.35">
      <c r="A34" s="1" t="s">
        <v>30</v>
      </c>
      <c r="B34" s="2" t="s">
        <v>14</v>
      </c>
      <c r="C34" s="2" t="s">
        <v>131</v>
      </c>
      <c r="D34" s="1" t="str">
        <f t="shared" si="0"/>
        <v>DCM1_9-23_2</v>
      </c>
      <c r="E34" s="10">
        <v>45195</v>
      </c>
      <c r="F34" s="1">
        <v>60</v>
      </c>
      <c r="G34" s="10">
        <v>45261</v>
      </c>
      <c r="H34" s="1">
        <v>26.71</v>
      </c>
    </row>
    <row r="35" spans="1:8" x14ac:dyDescent="0.35">
      <c r="A35" s="1" t="s">
        <v>31</v>
      </c>
      <c r="B35" s="2" t="s">
        <v>14</v>
      </c>
      <c r="C35" s="2" t="s">
        <v>131</v>
      </c>
      <c r="D35" s="1" t="str">
        <f t="shared" si="0"/>
        <v>DC2_9-23_2</v>
      </c>
      <c r="E35" s="10">
        <v>45195</v>
      </c>
      <c r="F35" s="1">
        <v>57</v>
      </c>
      <c r="G35" s="10">
        <v>45261</v>
      </c>
      <c r="H35" s="1">
        <v>34.39</v>
      </c>
    </row>
    <row r="36" spans="1:8" x14ac:dyDescent="0.35">
      <c r="A36" s="1" t="s">
        <v>32</v>
      </c>
      <c r="B36" s="2" t="s">
        <v>14</v>
      </c>
      <c r="C36" s="2" t="s">
        <v>131</v>
      </c>
      <c r="D36" s="1" t="str">
        <f t="shared" si="0"/>
        <v>DCM2_9-23_2</v>
      </c>
      <c r="E36" s="10">
        <v>45195</v>
      </c>
      <c r="F36" s="1">
        <v>56</v>
      </c>
      <c r="G36" s="10">
        <v>45261</v>
      </c>
      <c r="H36" s="1">
        <v>15.23</v>
      </c>
    </row>
    <row r="37" spans="1:8" x14ac:dyDescent="0.35">
      <c r="A37" s="1" t="s">
        <v>33</v>
      </c>
      <c r="B37" s="2" t="s">
        <v>14</v>
      </c>
      <c r="C37" s="2" t="s">
        <v>131</v>
      </c>
      <c r="D37" s="1" t="str">
        <f t="shared" si="0"/>
        <v>GB1_9-23_2</v>
      </c>
      <c r="E37" s="10">
        <v>45195</v>
      </c>
      <c r="F37" s="1">
        <v>57</v>
      </c>
      <c r="G37" s="10">
        <v>45261</v>
      </c>
      <c r="H37" s="1">
        <v>17.21</v>
      </c>
    </row>
    <row r="38" spans="1:8" x14ac:dyDescent="0.35">
      <c r="A38" s="1" t="s">
        <v>34</v>
      </c>
      <c r="B38" s="2" t="s">
        <v>14</v>
      </c>
      <c r="C38" s="2" t="s">
        <v>129</v>
      </c>
      <c r="D38" s="1" t="str">
        <f t="shared" si="0"/>
        <v>MCS1_9-23_1</v>
      </c>
      <c r="E38" s="10">
        <v>45196</v>
      </c>
      <c r="F38" s="1">
        <v>55</v>
      </c>
      <c r="G38" s="10">
        <v>45261</v>
      </c>
      <c r="H38" s="1">
        <v>14.61</v>
      </c>
    </row>
    <row r="39" spans="1:8" x14ac:dyDescent="0.35">
      <c r="A39" s="1" t="s">
        <v>35</v>
      </c>
      <c r="B39" s="2" t="s">
        <v>14</v>
      </c>
      <c r="C39" s="2" t="s">
        <v>129</v>
      </c>
      <c r="D39" s="1" t="str">
        <f t="shared" si="0"/>
        <v>MCS2_9-23_1</v>
      </c>
      <c r="E39" s="10">
        <v>45196</v>
      </c>
      <c r="F39" s="1">
        <v>53</v>
      </c>
      <c r="G39" s="10">
        <v>45261</v>
      </c>
      <c r="H39" s="1">
        <v>17.75</v>
      </c>
    </row>
    <row r="40" spans="1:8" x14ac:dyDescent="0.35">
      <c r="A40" s="1" t="s">
        <v>36</v>
      </c>
      <c r="B40" s="2" t="s">
        <v>14</v>
      </c>
      <c r="C40" s="2" t="s">
        <v>129</v>
      </c>
      <c r="D40" s="1" t="str">
        <f t="shared" si="0"/>
        <v>MCS3_9-23_1</v>
      </c>
      <c r="E40" s="10">
        <v>45196</v>
      </c>
      <c r="F40" s="1">
        <v>56</v>
      </c>
      <c r="G40" s="10">
        <v>45261</v>
      </c>
      <c r="H40" s="1">
        <v>21.45</v>
      </c>
    </row>
    <row r="41" spans="1:8" x14ac:dyDescent="0.35">
      <c r="A41" s="1" t="s">
        <v>37</v>
      </c>
      <c r="B41" s="2" t="s">
        <v>14</v>
      </c>
      <c r="C41" s="2" t="s">
        <v>129</v>
      </c>
      <c r="D41" s="1" t="str">
        <f t="shared" si="0"/>
        <v>MCS4_9-23_1</v>
      </c>
      <c r="E41" s="10">
        <v>45196</v>
      </c>
      <c r="F41" s="1">
        <v>57</v>
      </c>
      <c r="G41" s="10">
        <v>45261</v>
      </c>
      <c r="H41" s="1">
        <v>22.23</v>
      </c>
    </row>
    <row r="42" spans="1:8" hidden="1" x14ac:dyDescent="0.35">
      <c r="A42" s="1" t="s">
        <v>38</v>
      </c>
      <c r="B42" s="2" t="s">
        <v>14</v>
      </c>
      <c r="C42" s="2" t="s">
        <v>129</v>
      </c>
      <c r="D42" s="1" t="str">
        <f t="shared" si="0"/>
        <v>TBHM_9-23_1</v>
      </c>
      <c r="E42" s="10">
        <v>45196</v>
      </c>
      <c r="F42" s="1">
        <v>60</v>
      </c>
      <c r="G42" s="10">
        <v>45261</v>
      </c>
      <c r="H42" s="1">
        <v>22.07</v>
      </c>
    </row>
    <row r="43" spans="1:8" x14ac:dyDescent="0.35">
      <c r="A43" s="1" t="s">
        <v>50</v>
      </c>
      <c r="B43" s="2" t="s">
        <v>14</v>
      </c>
      <c r="C43" s="2" t="s">
        <v>129</v>
      </c>
      <c r="D43" s="1" t="str">
        <f t="shared" si="0"/>
        <v>TBC_9-23_1</v>
      </c>
      <c r="E43" s="10">
        <v>45196</v>
      </c>
      <c r="F43" s="1">
        <v>56</v>
      </c>
      <c r="G43" s="10">
        <v>45261</v>
      </c>
      <c r="H43" s="1">
        <v>10.1</v>
      </c>
    </row>
    <row r="44" spans="1:8" hidden="1" x14ac:dyDescent="0.35">
      <c r="A44" s="1" t="s">
        <v>39</v>
      </c>
      <c r="B44" s="2" t="s">
        <v>14</v>
      </c>
      <c r="C44" s="2" t="s">
        <v>129</v>
      </c>
      <c r="D44" s="1" t="str">
        <f t="shared" si="0"/>
        <v>TBCM_9-23_1</v>
      </c>
      <c r="E44" s="10">
        <v>45196</v>
      </c>
      <c r="F44" s="1">
        <v>62</v>
      </c>
      <c r="G44" s="10">
        <v>45261</v>
      </c>
      <c r="H44" s="1">
        <v>9.76</v>
      </c>
    </row>
    <row r="45" spans="1:8" x14ac:dyDescent="0.35">
      <c r="A45" s="1" t="s">
        <v>40</v>
      </c>
      <c r="B45" s="2" t="s">
        <v>14</v>
      </c>
      <c r="C45" s="2" t="s">
        <v>129</v>
      </c>
      <c r="D45" s="1" t="str">
        <f t="shared" si="0"/>
        <v>TB1_9-23_1</v>
      </c>
      <c r="E45" s="10">
        <v>45196</v>
      </c>
      <c r="F45" s="1">
        <v>55</v>
      </c>
      <c r="G45" s="10">
        <v>45261</v>
      </c>
      <c r="H45" s="1">
        <v>18.420000000000002</v>
      </c>
    </row>
    <row r="46" spans="1:8" x14ac:dyDescent="0.35">
      <c r="A46" s="1" t="s">
        <v>41</v>
      </c>
      <c r="B46" s="2" t="s">
        <v>14</v>
      </c>
      <c r="C46" s="2" t="s">
        <v>129</v>
      </c>
      <c r="D46" s="1" t="str">
        <f t="shared" si="0"/>
        <v>TB2_9-23_1</v>
      </c>
      <c r="E46" s="10">
        <v>45196</v>
      </c>
      <c r="F46" s="1">
        <v>55</v>
      </c>
      <c r="G46" s="10">
        <v>45261</v>
      </c>
      <c r="H46" s="1">
        <v>1.69</v>
      </c>
    </row>
    <row r="47" spans="1:8" x14ac:dyDescent="0.35">
      <c r="A47" s="1" t="s">
        <v>42</v>
      </c>
      <c r="B47" s="2" t="s">
        <v>14</v>
      </c>
      <c r="C47" s="2" t="s">
        <v>129</v>
      </c>
      <c r="D47" s="1" t="str">
        <f t="shared" si="0"/>
        <v>GB2_9-23_1</v>
      </c>
      <c r="E47" s="10">
        <v>45196</v>
      </c>
      <c r="F47" s="1">
        <v>56</v>
      </c>
      <c r="G47" s="10">
        <v>45261</v>
      </c>
      <c r="H47" s="1">
        <v>7.98</v>
      </c>
    </row>
    <row r="48" spans="1:8" x14ac:dyDescent="0.35">
      <c r="A48" s="1" t="s">
        <v>43</v>
      </c>
      <c r="B48" s="2" t="s">
        <v>14</v>
      </c>
      <c r="C48" s="2" t="s">
        <v>129</v>
      </c>
      <c r="D48" s="1" t="str">
        <f t="shared" si="0"/>
        <v>RB_9-23_1</v>
      </c>
      <c r="E48" s="10">
        <v>45196</v>
      </c>
      <c r="F48" s="1">
        <v>56</v>
      </c>
      <c r="G48" s="10">
        <v>45261</v>
      </c>
      <c r="H48" s="1">
        <v>2.74</v>
      </c>
    </row>
    <row r="49" spans="1:8" x14ac:dyDescent="0.35">
      <c r="A49" s="1" t="s">
        <v>34</v>
      </c>
      <c r="B49" s="2" t="s">
        <v>14</v>
      </c>
      <c r="C49" s="2" t="s">
        <v>131</v>
      </c>
      <c r="D49" s="1" t="str">
        <f t="shared" si="0"/>
        <v>MCS1_9-23_2</v>
      </c>
      <c r="E49" s="10">
        <v>45196</v>
      </c>
      <c r="F49" s="1">
        <v>54</v>
      </c>
      <c r="G49" s="10">
        <v>45261</v>
      </c>
      <c r="H49" s="1">
        <v>15.42</v>
      </c>
    </row>
    <row r="50" spans="1:8" x14ac:dyDescent="0.35">
      <c r="A50" s="1" t="s">
        <v>35</v>
      </c>
      <c r="B50" s="2" t="s">
        <v>14</v>
      </c>
      <c r="C50" s="2" t="s">
        <v>131</v>
      </c>
      <c r="D50" s="1" t="str">
        <f t="shared" si="0"/>
        <v>MCS2_9-23_2</v>
      </c>
      <c r="E50" s="10">
        <v>45196</v>
      </c>
      <c r="F50" s="1">
        <v>58</v>
      </c>
      <c r="G50" s="10">
        <v>45261</v>
      </c>
      <c r="H50" s="1">
        <v>17.71</v>
      </c>
    </row>
    <row r="51" spans="1:8" x14ac:dyDescent="0.35">
      <c r="A51" s="1" t="s">
        <v>36</v>
      </c>
      <c r="B51" s="2" t="s">
        <v>14</v>
      </c>
      <c r="C51" s="2" t="s">
        <v>131</v>
      </c>
      <c r="D51" s="1" t="str">
        <f t="shared" si="0"/>
        <v>MCS3_9-23_2</v>
      </c>
      <c r="E51" s="10">
        <v>45196</v>
      </c>
      <c r="F51" s="1">
        <v>57</v>
      </c>
      <c r="G51" s="10">
        <v>45261</v>
      </c>
      <c r="H51" s="1">
        <v>22.27</v>
      </c>
    </row>
    <row r="52" spans="1:8" x14ac:dyDescent="0.35">
      <c r="A52" s="1" t="s">
        <v>37</v>
      </c>
      <c r="B52" s="2" t="s">
        <v>14</v>
      </c>
      <c r="C52" s="2" t="s">
        <v>131</v>
      </c>
      <c r="D52" s="1" t="str">
        <f t="shared" si="0"/>
        <v>MCS4_9-23_2</v>
      </c>
      <c r="E52" s="10">
        <v>45196</v>
      </c>
      <c r="F52" s="1">
        <v>56</v>
      </c>
      <c r="G52" s="10">
        <v>45261</v>
      </c>
      <c r="H52" s="1">
        <v>22.79</v>
      </c>
    </row>
    <row r="53" spans="1:8" hidden="1" x14ac:dyDescent="0.35">
      <c r="A53" s="1" t="s">
        <v>38</v>
      </c>
      <c r="B53" s="2" t="s">
        <v>14</v>
      </c>
      <c r="C53" s="2" t="s">
        <v>131</v>
      </c>
      <c r="D53" s="1" t="str">
        <f t="shared" si="0"/>
        <v>TBHM_9-23_2</v>
      </c>
      <c r="E53" s="10">
        <v>45196</v>
      </c>
      <c r="F53" s="1">
        <v>62</v>
      </c>
      <c r="G53" s="10">
        <v>45261</v>
      </c>
      <c r="H53" s="1">
        <v>17.47</v>
      </c>
    </row>
    <row r="54" spans="1:8" x14ac:dyDescent="0.35">
      <c r="A54" s="1" t="s">
        <v>50</v>
      </c>
      <c r="B54" s="2" t="s">
        <v>14</v>
      </c>
      <c r="C54" s="2" t="s">
        <v>131</v>
      </c>
      <c r="D54" s="1" t="str">
        <f t="shared" si="0"/>
        <v>TBC_9-23_2</v>
      </c>
      <c r="E54" s="10">
        <v>45196</v>
      </c>
      <c r="F54" s="1">
        <v>56</v>
      </c>
      <c r="G54" s="10">
        <v>45261</v>
      </c>
      <c r="H54" s="1">
        <v>9.32</v>
      </c>
    </row>
    <row r="55" spans="1:8" x14ac:dyDescent="0.35">
      <c r="A55" s="1" t="s">
        <v>39</v>
      </c>
      <c r="B55" s="2" t="s">
        <v>14</v>
      </c>
      <c r="C55" s="2" t="s">
        <v>131</v>
      </c>
      <c r="D55" s="1" t="str">
        <f t="shared" si="0"/>
        <v>TBCM_9-23_2</v>
      </c>
      <c r="E55" s="10">
        <v>45196</v>
      </c>
      <c r="F55" s="1">
        <v>54</v>
      </c>
      <c r="G55" s="10">
        <v>45261</v>
      </c>
      <c r="H55" s="1">
        <v>13.99</v>
      </c>
    </row>
    <row r="56" spans="1:8" x14ac:dyDescent="0.35">
      <c r="A56" s="1" t="s">
        <v>40</v>
      </c>
      <c r="B56" s="2" t="s">
        <v>14</v>
      </c>
      <c r="C56" s="2" t="s">
        <v>131</v>
      </c>
      <c r="D56" s="1" t="str">
        <f t="shared" si="0"/>
        <v>TB1_9-23_2</v>
      </c>
      <c r="E56" s="10">
        <v>45196</v>
      </c>
      <c r="F56" s="1">
        <v>56</v>
      </c>
      <c r="G56" s="10">
        <v>45261</v>
      </c>
      <c r="H56" s="1">
        <v>17.04</v>
      </c>
    </row>
    <row r="57" spans="1:8" x14ac:dyDescent="0.35">
      <c r="A57" s="1" t="s">
        <v>41</v>
      </c>
      <c r="B57" s="2" t="s">
        <v>14</v>
      </c>
      <c r="C57" s="2" t="s">
        <v>131</v>
      </c>
      <c r="D57" s="1" t="str">
        <f t="shared" si="0"/>
        <v>TB2_9-23_2</v>
      </c>
      <c r="E57" s="10">
        <v>45196</v>
      </c>
      <c r="F57" s="1">
        <v>53</v>
      </c>
      <c r="G57" s="10">
        <v>45261</v>
      </c>
      <c r="H57" s="1">
        <v>1.3</v>
      </c>
    </row>
    <row r="58" spans="1:8" x14ac:dyDescent="0.35">
      <c r="A58" s="1" t="s">
        <v>42</v>
      </c>
      <c r="B58" s="2" t="s">
        <v>14</v>
      </c>
      <c r="C58" s="2" t="s">
        <v>131</v>
      </c>
      <c r="D58" s="1" t="str">
        <f t="shared" si="0"/>
        <v>GB2_9-23_2</v>
      </c>
      <c r="E58" s="10">
        <v>45196</v>
      </c>
      <c r="F58" s="1">
        <v>57</v>
      </c>
      <c r="G58" s="10">
        <v>45261</v>
      </c>
      <c r="H58" s="1">
        <v>8.1199999999999992</v>
      </c>
    </row>
    <row r="59" spans="1:8" x14ac:dyDescent="0.35">
      <c r="A59" s="1" t="s">
        <v>43</v>
      </c>
      <c r="B59" s="2" t="s">
        <v>14</v>
      </c>
      <c r="C59" s="2" t="s">
        <v>131</v>
      </c>
      <c r="D59" s="1" t="str">
        <f t="shared" si="0"/>
        <v>RB_9-23_2</v>
      </c>
      <c r="E59" s="10">
        <v>45196</v>
      </c>
      <c r="F59" s="1">
        <v>56</v>
      </c>
      <c r="G59" s="10">
        <v>45261</v>
      </c>
      <c r="H59" s="1">
        <v>3.31</v>
      </c>
    </row>
    <row r="60" spans="1:8" hidden="1" x14ac:dyDescent="0.35">
      <c r="A60" s="1" t="s">
        <v>44</v>
      </c>
      <c r="B60" s="2" t="s">
        <v>14</v>
      </c>
      <c r="C60" s="2" t="s">
        <v>129</v>
      </c>
      <c r="D60" s="1" t="str">
        <f t="shared" si="0"/>
        <v>TSM1_9-23_1</v>
      </c>
      <c r="E60" s="10">
        <v>45199</v>
      </c>
      <c r="F60" s="1">
        <v>53</v>
      </c>
      <c r="G60" s="1" t="s">
        <v>130</v>
      </c>
      <c r="H60" s="1" t="s">
        <v>130</v>
      </c>
    </row>
    <row r="61" spans="1:8" hidden="1" x14ac:dyDescent="0.35">
      <c r="A61" s="1" t="s">
        <v>45</v>
      </c>
      <c r="B61" s="2" t="s">
        <v>14</v>
      </c>
      <c r="C61" s="2" t="s">
        <v>129</v>
      </c>
      <c r="D61" s="1" t="str">
        <f t="shared" si="0"/>
        <v>TSM3_9-23_1</v>
      </c>
      <c r="E61" s="10">
        <v>45199</v>
      </c>
      <c r="F61" s="1">
        <v>52</v>
      </c>
      <c r="G61" s="1" t="s">
        <v>130</v>
      </c>
      <c r="H61" s="1" t="s">
        <v>130</v>
      </c>
    </row>
    <row r="62" spans="1:8" hidden="1" x14ac:dyDescent="0.35">
      <c r="A62" s="1" t="s">
        <v>46</v>
      </c>
      <c r="B62" s="2" t="s">
        <v>14</v>
      </c>
      <c r="C62" s="2" t="s">
        <v>129</v>
      </c>
      <c r="D62" s="1" t="str">
        <f t="shared" si="0"/>
        <v>TSM4_9-23_1</v>
      </c>
      <c r="E62" s="10">
        <v>45199</v>
      </c>
      <c r="F62" s="1">
        <v>53</v>
      </c>
      <c r="G62" s="1" t="s">
        <v>130</v>
      </c>
      <c r="H62" s="1" t="s">
        <v>130</v>
      </c>
    </row>
    <row r="63" spans="1:8" x14ac:dyDescent="0.35">
      <c r="A63" s="1" t="s">
        <v>47</v>
      </c>
      <c r="B63" s="2" t="s">
        <v>14</v>
      </c>
      <c r="C63" s="2" t="s">
        <v>129</v>
      </c>
      <c r="D63" s="1" t="str">
        <f t="shared" ref="D63:D126" si="1">A63&amp;"_"&amp;B63&amp;"_"&amp;C63</f>
        <v>SBT1_9-23_1</v>
      </c>
      <c r="E63" s="10">
        <v>45199</v>
      </c>
      <c r="F63" s="1">
        <v>56</v>
      </c>
      <c r="G63" s="10">
        <v>45602</v>
      </c>
      <c r="H63" s="1">
        <v>17.71</v>
      </c>
    </row>
    <row r="64" spans="1:8" hidden="1" x14ac:dyDescent="0.35">
      <c r="A64" s="1" t="s">
        <v>44</v>
      </c>
      <c r="B64" s="2" t="s">
        <v>14</v>
      </c>
      <c r="C64" s="2" t="s">
        <v>131</v>
      </c>
      <c r="D64" s="1" t="str">
        <f t="shared" si="1"/>
        <v>TSM1_9-23_2</v>
      </c>
      <c r="E64" s="10">
        <v>45199</v>
      </c>
      <c r="F64" s="1">
        <v>56</v>
      </c>
      <c r="G64" s="1" t="s">
        <v>130</v>
      </c>
      <c r="H64" s="1" t="s">
        <v>130</v>
      </c>
    </row>
    <row r="65" spans="1:8" hidden="1" x14ac:dyDescent="0.35">
      <c r="A65" s="1" t="s">
        <v>45</v>
      </c>
      <c r="B65" s="2" t="s">
        <v>14</v>
      </c>
      <c r="C65" s="2" t="s">
        <v>131</v>
      </c>
      <c r="D65" s="1" t="str">
        <f t="shared" si="1"/>
        <v>TSM3_9-23_2</v>
      </c>
      <c r="E65" s="10">
        <v>45199</v>
      </c>
      <c r="F65" s="1">
        <v>54</v>
      </c>
      <c r="G65" s="1" t="s">
        <v>130</v>
      </c>
      <c r="H65" s="1" t="s">
        <v>130</v>
      </c>
    </row>
    <row r="66" spans="1:8" hidden="1" x14ac:dyDescent="0.35">
      <c r="A66" s="1" t="s">
        <v>46</v>
      </c>
      <c r="B66" s="2" t="s">
        <v>14</v>
      </c>
      <c r="C66" s="2" t="s">
        <v>131</v>
      </c>
      <c r="D66" s="1" t="str">
        <f t="shared" si="1"/>
        <v>TSM4_9-23_2</v>
      </c>
      <c r="E66" s="10">
        <v>45199</v>
      </c>
      <c r="F66" s="1">
        <v>57</v>
      </c>
      <c r="G66" s="1" t="s">
        <v>130</v>
      </c>
      <c r="H66" s="1" t="s">
        <v>130</v>
      </c>
    </row>
    <row r="67" spans="1:8" x14ac:dyDescent="0.35">
      <c r="A67" s="1" t="s">
        <v>47</v>
      </c>
      <c r="B67" s="2" t="s">
        <v>14</v>
      </c>
      <c r="C67" s="2" t="s">
        <v>131</v>
      </c>
      <c r="D67" s="1" t="str">
        <f t="shared" si="1"/>
        <v>SBT1_9-23_2</v>
      </c>
      <c r="E67" s="10">
        <v>45199</v>
      </c>
      <c r="F67" s="1">
        <v>53</v>
      </c>
      <c r="G67" s="10">
        <v>45602</v>
      </c>
      <c r="H67" s="1">
        <v>14.25</v>
      </c>
    </row>
    <row r="68" spans="1:8" x14ac:dyDescent="0.35">
      <c r="A68" s="1" t="s">
        <v>48</v>
      </c>
      <c r="B68" s="2" t="s">
        <v>14</v>
      </c>
      <c r="C68" s="2" t="s">
        <v>129</v>
      </c>
      <c r="D68" s="1" t="str">
        <f t="shared" si="1"/>
        <v>SBT2_9-23_1</v>
      </c>
      <c r="E68" s="10">
        <v>45204</v>
      </c>
      <c r="F68" s="1">
        <v>55</v>
      </c>
      <c r="G68" s="10">
        <v>45602</v>
      </c>
      <c r="H68" s="1">
        <v>1.36</v>
      </c>
    </row>
    <row r="69" spans="1:8" x14ac:dyDescent="0.35">
      <c r="A69" s="1" t="s">
        <v>51</v>
      </c>
      <c r="B69" s="2" t="s">
        <v>14</v>
      </c>
      <c r="C69" s="2" t="s">
        <v>129</v>
      </c>
      <c r="D69" s="1" t="str">
        <f t="shared" si="1"/>
        <v>WB1_9-23_1</v>
      </c>
      <c r="E69" s="10">
        <v>45204</v>
      </c>
      <c r="F69" s="1">
        <v>53</v>
      </c>
      <c r="G69" s="10">
        <v>45602</v>
      </c>
      <c r="H69" s="1">
        <v>4.09</v>
      </c>
    </row>
    <row r="70" spans="1:8" x14ac:dyDescent="0.35">
      <c r="A70" s="1" t="s">
        <v>52</v>
      </c>
      <c r="B70" s="2" t="s">
        <v>14</v>
      </c>
      <c r="C70" s="2" t="s">
        <v>129</v>
      </c>
      <c r="D70" s="1" t="str">
        <f t="shared" si="1"/>
        <v>WB2_9-23_1</v>
      </c>
      <c r="E70" s="10">
        <v>45204</v>
      </c>
      <c r="F70" s="1">
        <v>52</v>
      </c>
      <c r="G70" s="10">
        <v>45602</v>
      </c>
      <c r="H70" s="1">
        <v>3.4</v>
      </c>
    </row>
    <row r="71" spans="1:8" x14ac:dyDescent="0.35">
      <c r="A71" s="1" t="s">
        <v>53</v>
      </c>
      <c r="B71" s="2" t="s">
        <v>14</v>
      </c>
      <c r="C71" s="2" t="s">
        <v>129</v>
      </c>
      <c r="D71" s="1" t="str">
        <f t="shared" si="1"/>
        <v>TKB_9-23_1</v>
      </c>
      <c r="E71" s="10">
        <v>45204</v>
      </c>
      <c r="F71" s="1">
        <v>56</v>
      </c>
      <c r="G71" s="10">
        <v>45602</v>
      </c>
      <c r="H71" s="1">
        <v>0.66</v>
      </c>
    </row>
    <row r="72" spans="1:8" x14ac:dyDescent="0.35">
      <c r="A72" s="1" t="s">
        <v>54</v>
      </c>
      <c r="B72" s="2" t="s">
        <v>14</v>
      </c>
      <c r="C72" s="2" t="s">
        <v>129</v>
      </c>
      <c r="D72" s="1" t="str">
        <f t="shared" si="1"/>
        <v>JB_9-23_1</v>
      </c>
      <c r="E72" s="10">
        <v>45204</v>
      </c>
      <c r="F72" s="1">
        <v>56</v>
      </c>
      <c r="G72" s="10">
        <v>45602</v>
      </c>
      <c r="H72" s="1">
        <v>0.86</v>
      </c>
    </row>
    <row r="73" spans="1:8" x14ac:dyDescent="0.35">
      <c r="A73" s="1" t="s">
        <v>55</v>
      </c>
      <c r="B73" s="2" t="s">
        <v>14</v>
      </c>
      <c r="C73" s="2" t="s">
        <v>129</v>
      </c>
      <c r="D73" s="1" t="str">
        <f t="shared" si="1"/>
        <v>CC_9-23_1</v>
      </c>
      <c r="E73" s="10">
        <v>45204</v>
      </c>
      <c r="F73" s="1">
        <v>55</v>
      </c>
      <c r="G73" s="10">
        <v>45602</v>
      </c>
      <c r="H73" s="1">
        <v>3.08</v>
      </c>
    </row>
    <row r="74" spans="1:8" x14ac:dyDescent="0.35">
      <c r="A74" s="1" t="s">
        <v>48</v>
      </c>
      <c r="B74" s="2" t="s">
        <v>14</v>
      </c>
      <c r="C74" s="2" t="s">
        <v>131</v>
      </c>
      <c r="D74" s="1" t="str">
        <f t="shared" si="1"/>
        <v>SBT2_9-23_2</v>
      </c>
      <c r="E74" s="10">
        <v>45204</v>
      </c>
      <c r="F74" s="1">
        <v>54</v>
      </c>
      <c r="G74" s="10">
        <v>45602</v>
      </c>
      <c r="H74" s="1">
        <v>1.25</v>
      </c>
    </row>
    <row r="75" spans="1:8" x14ac:dyDescent="0.35">
      <c r="A75" s="1" t="s">
        <v>51</v>
      </c>
      <c r="B75" s="2" t="s">
        <v>14</v>
      </c>
      <c r="C75" s="2" t="s">
        <v>131</v>
      </c>
      <c r="D75" s="1" t="str">
        <f t="shared" si="1"/>
        <v>WB1_9-23_2</v>
      </c>
      <c r="E75" s="10">
        <v>45204</v>
      </c>
      <c r="F75" s="1">
        <v>55</v>
      </c>
      <c r="G75" s="10">
        <v>45602</v>
      </c>
      <c r="H75" s="1">
        <v>5.04</v>
      </c>
    </row>
    <row r="76" spans="1:8" x14ac:dyDescent="0.35">
      <c r="A76" s="1" t="s">
        <v>52</v>
      </c>
      <c r="B76" s="2" t="s">
        <v>14</v>
      </c>
      <c r="C76" s="2" t="s">
        <v>131</v>
      </c>
      <c r="D76" s="1" t="str">
        <f t="shared" si="1"/>
        <v>WB2_9-23_2</v>
      </c>
      <c r="E76" s="10">
        <v>45204</v>
      </c>
      <c r="F76" s="1">
        <v>52</v>
      </c>
      <c r="G76" s="10">
        <v>45602</v>
      </c>
      <c r="H76" s="1">
        <v>3.13</v>
      </c>
    </row>
    <row r="77" spans="1:8" x14ac:dyDescent="0.35">
      <c r="A77" s="1" t="s">
        <v>53</v>
      </c>
      <c r="B77" s="2" t="s">
        <v>14</v>
      </c>
      <c r="C77" s="2" t="s">
        <v>131</v>
      </c>
      <c r="D77" s="1" t="str">
        <f t="shared" si="1"/>
        <v>TKB_9-23_2</v>
      </c>
      <c r="E77" s="10">
        <v>45204</v>
      </c>
      <c r="F77" s="1">
        <v>53</v>
      </c>
      <c r="G77" s="10">
        <v>45602</v>
      </c>
      <c r="H77" s="1">
        <v>0.63</v>
      </c>
    </row>
    <row r="78" spans="1:8" x14ac:dyDescent="0.35">
      <c r="A78" s="1" t="s">
        <v>54</v>
      </c>
      <c r="B78" s="2" t="s">
        <v>14</v>
      </c>
      <c r="C78" s="2" t="s">
        <v>131</v>
      </c>
      <c r="D78" s="1" t="str">
        <f t="shared" si="1"/>
        <v>JB_9-23_2</v>
      </c>
      <c r="E78" s="10">
        <v>45204</v>
      </c>
      <c r="F78" s="1">
        <v>54</v>
      </c>
      <c r="G78" s="10">
        <v>45602</v>
      </c>
      <c r="H78" s="1">
        <v>0.78</v>
      </c>
    </row>
    <row r="79" spans="1:8" x14ac:dyDescent="0.35">
      <c r="A79" s="1" t="s">
        <v>55</v>
      </c>
      <c r="B79" s="2" t="s">
        <v>14</v>
      </c>
      <c r="C79" s="2" t="s">
        <v>131</v>
      </c>
      <c r="D79" s="1" t="str">
        <f t="shared" si="1"/>
        <v>CC_9-23_2</v>
      </c>
      <c r="E79" s="10">
        <v>45204</v>
      </c>
      <c r="F79" s="1">
        <v>56</v>
      </c>
      <c r="G79" s="10">
        <v>45602</v>
      </c>
      <c r="H79" s="1">
        <v>2.69</v>
      </c>
    </row>
    <row r="80" spans="1:8" hidden="1" x14ac:dyDescent="0.35">
      <c r="A80" s="1" t="s">
        <v>45</v>
      </c>
      <c r="B80" s="2" t="s">
        <v>109</v>
      </c>
      <c r="C80" s="2" t="s">
        <v>129</v>
      </c>
      <c r="D80" s="1" t="str">
        <f t="shared" si="1"/>
        <v>TSM3_1123E_1</v>
      </c>
      <c r="E80" s="10">
        <v>45258</v>
      </c>
      <c r="F80" s="1">
        <v>54</v>
      </c>
      <c r="G80" s="1" t="s">
        <v>130</v>
      </c>
      <c r="H80" s="1" t="s">
        <v>130</v>
      </c>
    </row>
    <row r="81" spans="1:8" hidden="1" x14ac:dyDescent="0.35">
      <c r="A81" s="1" t="s">
        <v>46</v>
      </c>
      <c r="B81" s="2" t="s">
        <v>109</v>
      </c>
      <c r="C81" s="2" t="s">
        <v>129</v>
      </c>
      <c r="D81" s="1" t="str">
        <f t="shared" si="1"/>
        <v>TSM4_1123E_1</v>
      </c>
      <c r="E81" s="10">
        <v>45258</v>
      </c>
      <c r="F81" s="1">
        <v>55</v>
      </c>
      <c r="G81" s="1" t="s">
        <v>130</v>
      </c>
      <c r="H81" s="1" t="s">
        <v>130</v>
      </c>
    </row>
    <row r="82" spans="1:8" x14ac:dyDescent="0.35">
      <c r="A82" s="1" t="s">
        <v>47</v>
      </c>
      <c r="B82" s="2" t="s">
        <v>109</v>
      </c>
      <c r="C82" s="2" t="s">
        <v>129</v>
      </c>
      <c r="D82" s="1" t="str">
        <f t="shared" si="1"/>
        <v>SBT1_1123E_1</v>
      </c>
      <c r="E82" s="10">
        <v>45258</v>
      </c>
      <c r="F82" s="1">
        <v>53</v>
      </c>
      <c r="G82" s="10">
        <v>45602</v>
      </c>
      <c r="H82" s="1">
        <v>16.59</v>
      </c>
    </row>
    <row r="83" spans="1:8" x14ac:dyDescent="0.35">
      <c r="A83" s="1" t="s">
        <v>23</v>
      </c>
      <c r="B83" s="2" t="s">
        <v>109</v>
      </c>
      <c r="C83" s="2" t="s">
        <v>129</v>
      </c>
      <c r="D83" s="1" t="str">
        <f t="shared" si="1"/>
        <v>ACS1_1123E_1</v>
      </c>
      <c r="E83" s="10">
        <v>45258</v>
      </c>
      <c r="F83" s="1">
        <v>53</v>
      </c>
      <c r="G83" s="10">
        <v>45602</v>
      </c>
      <c r="H83" s="1">
        <v>13.29</v>
      </c>
    </row>
    <row r="84" spans="1:8" hidden="1" x14ac:dyDescent="0.35">
      <c r="A84" s="1" t="s">
        <v>29</v>
      </c>
      <c r="B84" s="2" t="s">
        <v>109</v>
      </c>
      <c r="C84" s="2" t="s">
        <v>129</v>
      </c>
      <c r="D84" s="1" t="str">
        <f t="shared" si="1"/>
        <v>DC1_1123E_1</v>
      </c>
      <c r="E84" s="10">
        <v>45258</v>
      </c>
      <c r="F84" s="1">
        <v>54</v>
      </c>
      <c r="G84" s="10"/>
    </row>
    <row r="85" spans="1:8" hidden="1" x14ac:dyDescent="0.35">
      <c r="A85" s="1" t="s">
        <v>30</v>
      </c>
      <c r="B85" s="2" t="s">
        <v>109</v>
      </c>
      <c r="C85" s="2" t="s">
        <v>129</v>
      </c>
      <c r="D85" s="1" t="str">
        <f t="shared" si="1"/>
        <v>DCM1_1123E_1</v>
      </c>
      <c r="E85" s="10">
        <v>45258</v>
      </c>
      <c r="F85" s="1">
        <v>55</v>
      </c>
      <c r="G85" s="10"/>
    </row>
    <row r="86" spans="1:8" x14ac:dyDescent="0.35">
      <c r="A86" s="1" t="s">
        <v>33</v>
      </c>
      <c r="B86" s="2" t="s">
        <v>109</v>
      </c>
      <c r="C86" s="2" t="s">
        <v>129</v>
      </c>
      <c r="D86" s="1" t="str">
        <f t="shared" si="1"/>
        <v>GB1_1123E_1</v>
      </c>
      <c r="E86" s="10">
        <v>45258</v>
      </c>
      <c r="F86" s="1">
        <v>55</v>
      </c>
      <c r="G86" s="10">
        <v>45602</v>
      </c>
      <c r="H86" s="1">
        <v>19.829999999999998</v>
      </c>
    </row>
    <row r="87" spans="1:8" hidden="1" x14ac:dyDescent="0.35">
      <c r="A87" s="1" t="s">
        <v>45</v>
      </c>
      <c r="B87" s="2" t="s">
        <v>109</v>
      </c>
      <c r="C87" s="2" t="s">
        <v>131</v>
      </c>
      <c r="D87" s="1" t="str">
        <f t="shared" si="1"/>
        <v>TSM3_1123E_2</v>
      </c>
      <c r="E87" s="10">
        <v>45258</v>
      </c>
      <c r="F87" s="1">
        <v>56</v>
      </c>
      <c r="G87" s="1" t="s">
        <v>130</v>
      </c>
      <c r="H87" s="1" t="s">
        <v>130</v>
      </c>
    </row>
    <row r="88" spans="1:8" hidden="1" x14ac:dyDescent="0.35">
      <c r="A88" s="1" t="s">
        <v>46</v>
      </c>
      <c r="B88" s="2" t="s">
        <v>109</v>
      </c>
      <c r="C88" s="2" t="s">
        <v>131</v>
      </c>
      <c r="D88" s="1" t="str">
        <f t="shared" si="1"/>
        <v>TSM4_1123E_2</v>
      </c>
      <c r="E88" s="10">
        <v>45258</v>
      </c>
      <c r="F88" s="1">
        <v>53</v>
      </c>
      <c r="G88" s="1" t="s">
        <v>130</v>
      </c>
      <c r="H88" s="1" t="s">
        <v>130</v>
      </c>
    </row>
    <row r="89" spans="1:8" x14ac:dyDescent="0.35">
      <c r="A89" s="1" t="s">
        <v>47</v>
      </c>
      <c r="B89" s="2" t="s">
        <v>109</v>
      </c>
      <c r="C89" s="2" t="s">
        <v>131</v>
      </c>
      <c r="D89" s="1" t="str">
        <f t="shared" si="1"/>
        <v>SBT1_1123E_2</v>
      </c>
      <c r="E89" s="10">
        <v>45258</v>
      </c>
      <c r="F89" s="1">
        <v>53</v>
      </c>
      <c r="G89" s="10">
        <v>45602</v>
      </c>
      <c r="H89" s="1">
        <v>16.47</v>
      </c>
    </row>
    <row r="90" spans="1:8" x14ac:dyDescent="0.35">
      <c r="A90" s="1" t="s">
        <v>23</v>
      </c>
      <c r="B90" s="2" t="s">
        <v>109</v>
      </c>
      <c r="C90" s="2" t="s">
        <v>131</v>
      </c>
      <c r="D90" s="1" t="str">
        <f t="shared" si="1"/>
        <v>ACS1_1123E_2</v>
      </c>
      <c r="E90" s="10">
        <v>45258</v>
      </c>
      <c r="F90" s="1">
        <v>55</v>
      </c>
      <c r="G90" s="10">
        <v>45602</v>
      </c>
      <c r="H90" s="1">
        <v>13.85</v>
      </c>
    </row>
    <row r="91" spans="1:8" hidden="1" x14ac:dyDescent="0.35">
      <c r="A91" s="1" t="s">
        <v>29</v>
      </c>
      <c r="B91" s="2" t="s">
        <v>109</v>
      </c>
      <c r="C91" s="2" t="s">
        <v>131</v>
      </c>
      <c r="D91" s="1" t="str">
        <f t="shared" si="1"/>
        <v>DC1_1123E_2</v>
      </c>
      <c r="E91" s="10">
        <v>45258</v>
      </c>
      <c r="F91" s="1">
        <v>56</v>
      </c>
      <c r="G91" s="10"/>
    </row>
    <row r="92" spans="1:8" hidden="1" x14ac:dyDescent="0.35">
      <c r="A92" s="1" t="s">
        <v>30</v>
      </c>
      <c r="B92" s="2" t="s">
        <v>109</v>
      </c>
      <c r="C92" s="2" t="s">
        <v>131</v>
      </c>
      <c r="D92" s="1" t="str">
        <f t="shared" si="1"/>
        <v>DCM1_1123E_2</v>
      </c>
      <c r="E92" s="10">
        <v>45258</v>
      </c>
      <c r="F92" s="1">
        <v>54</v>
      </c>
      <c r="G92" s="10"/>
    </row>
    <row r="93" spans="1:8" x14ac:dyDescent="0.35">
      <c r="A93" s="1" t="s">
        <v>33</v>
      </c>
      <c r="B93" s="2" t="s">
        <v>109</v>
      </c>
      <c r="C93" s="2" t="s">
        <v>131</v>
      </c>
      <c r="D93" s="1" t="str">
        <f t="shared" si="1"/>
        <v>GB1_1123E_2</v>
      </c>
      <c r="E93" s="10">
        <v>45258</v>
      </c>
      <c r="F93" s="1">
        <v>57</v>
      </c>
      <c r="G93" s="10">
        <v>45602</v>
      </c>
      <c r="H93" s="1">
        <v>27.93</v>
      </c>
    </row>
    <row r="94" spans="1:8" hidden="1" x14ac:dyDescent="0.35">
      <c r="A94" s="1" t="s">
        <v>13</v>
      </c>
      <c r="B94" s="2" t="s">
        <v>56</v>
      </c>
      <c r="C94" s="2" t="s">
        <v>129</v>
      </c>
      <c r="D94" s="1" t="str">
        <f t="shared" si="1"/>
        <v>P37_11_23_1</v>
      </c>
      <c r="E94" s="10">
        <v>45259</v>
      </c>
      <c r="F94" s="1">
        <v>54</v>
      </c>
      <c r="G94" s="1" t="s">
        <v>130</v>
      </c>
      <c r="H94" s="1" t="s">
        <v>130</v>
      </c>
    </row>
    <row r="95" spans="1:8" hidden="1" x14ac:dyDescent="0.35">
      <c r="A95" s="1" t="s">
        <v>13</v>
      </c>
      <c r="B95" s="2" t="s">
        <v>56</v>
      </c>
      <c r="C95" s="2" t="s">
        <v>131</v>
      </c>
      <c r="D95" s="1" t="str">
        <f t="shared" si="1"/>
        <v>P37_11_23_2</v>
      </c>
      <c r="E95" s="10">
        <v>45259</v>
      </c>
      <c r="F95" s="1">
        <v>52</v>
      </c>
      <c r="G95" s="1" t="s">
        <v>130</v>
      </c>
      <c r="H95" s="1" t="s">
        <v>130</v>
      </c>
    </row>
    <row r="96" spans="1:8" hidden="1" x14ac:dyDescent="0.35">
      <c r="A96" s="1" t="s">
        <v>18</v>
      </c>
      <c r="B96" s="2" t="s">
        <v>56</v>
      </c>
      <c r="C96" s="2" t="s">
        <v>129</v>
      </c>
      <c r="D96" s="1" t="str">
        <f t="shared" si="1"/>
        <v>NCL_11_23_1</v>
      </c>
      <c r="E96" s="10">
        <v>45259</v>
      </c>
      <c r="F96" s="1">
        <v>55</v>
      </c>
      <c r="G96" s="1" t="s">
        <v>130</v>
      </c>
      <c r="H96" s="1" t="s">
        <v>130</v>
      </c>
    </row>
    <row r="97" spans="1:8" hidden="1" x14ac:dyDescent="0.35">
      <c r="A97" s="1" t="s">
        <v>18</v>
      </c>
      <c r="B97" s="2" t="s">
        <v>56</v>
      </c>
      <c r="C97" s="2" t="s">
        <v>131</v>
      </c>
      <c r="D97" s="1" t="str">
        <f t="shared" si="1"/>
        <v>NCL_11_23_2</v>
      </c>
      <c r="E97" s="10">
        <v>45259</v>
      </c>
      <c r="F97" s="1">
        <v>53</v>
      </c>
      <c r="G97" s="1" t="s">
        <v>130</v>
      </c>
      <c r="H97" s="1" t="s">
        <v>130</v>
      </c>
    </row>
    <row r="98" spans="1:8" hidden="1" x14ac:dyDescent="0.35">
      <c r="A98" s="1" t="s">
        <v>19</v>
      </c>
      <c r="B98" s="2" t="s">
        <v>56</v>
      </c>
      <c r="C98" s="2" t="s">
        <v>129</v>
      </c>
      <c r="D98" s="1" t="str">
        <f t="shared" si="1"/>
        <v>CP_11_23_1</v>
      </c>
      <c r="E98" s="10">
        <v>45259</v>
      </c>
      <c r="F98" s="1">
        <v>54</v>
      </c>
      <c r="G98" s="1" t="s">
        <v>130</v>
      </c>
      <c r="H98" s="1" t="s">
        <v>130</v>
      </c>
    </row>
    <row r="99" spans="1:8" hidden="1" x14ac:dyDescent="0.35">
      <c r="A99" s="1" t="s">
        <v>19</v>
      </c>
      <c r="B99" s="2" t="s">
        <v>56</v>
      </c>
      <c r="C99" s="2" t="s">
        <v>131</v>
      </c>
      <c r="D99" s="1" t="str">
        <f t="shared" si="1"/>
        <v>CP_11_23_2</v>
      </c>
      <c r="E99" s="10">
        <v>45259</v>
      </c>
      <c r="F99" s="1">
        <v>53</v>
      </c>
      <c r="G99" s="1" t="s">
        <v>130</v>
      </c>
      <c r="H99" s="1" t="s">
        <v>130</v>
      </c>
    </row>
    <row r="100" spans="1:8" hidden="1" x14ac:dyDescent="0.35">
      <c r="A100" s="1" t="s">
        <v>20</v>
      </c>
      <c r="B100" s="2" t="s">
        <v>56</v>
      </c>
      <c r="C100" s="2" t="s">
        <v>129</v>
      </c>
      <c r="D100" s="1" t="str">
        <f t="shared" si="1"/>
        <v>EP146_11_23_1</v>
      </c>
      <c r="E100" s="10">
        <v>45259</v>
      </c>
      <c r="F100" s="1">
        <v>55</v>
      </c>
      <c r="G100" s="1" t="s">
        <v>130</v>
      </c>
      <c r="H100" s="1" t="s">
        <v>130</v>
      </c>
    </row>
    <row r="101" spans="1:8" hidden="1" x14ac:dyDescent="0.35">
      <c r="A101" s="1" t="s">
        <v>20</v>
      </c>
      <c r="B101" s="2" t="s">
        <v>56</v>
      </c>
      <c r="C101" s="2" t="s">
        <v>131</v>
      </c>
      <c r="D101" s="1" t="str">
        <f t="shared" si="1"/>
        <v>EP146_11_23_2</v>
      </c>
      <c r="E101" s="10">
        <v>45259</v>
      </c>
      <c r="F101" s="1">
        <v>53</v>
      </c>
      <c r="G101" s="1" t="s">
        <v>130</v>
      </c>
      <c r="H101" s="1" t="s">
        <v>130</v>
      </c>
    </row>
    <row r="102" spans="1:8" hidden="1" x14ac:dyDescent="0.35">
      <c r="A102" s="1" t="s">
        <v>21</v>
      </c>
      <c r="B102" s="2" t="s">
        <v>56</v>
      </c>
      <c r="C102" s="2" t="s">
        <v>129</v>
      </c>
      <c r="D102" s="1" t="str">
        <f t="shared" si="1"/>
        <v>OL_11_23_1</v>
      </c>
      <c r="E102" s="10">
        <v>45259</v>
      </c>
      <c r="F102" s="1">
        <v>54</v>
      </c>
      <c r="G102" s="1" t="s">
        <v>130</v>
      </c>
      <c r="H102" s="1" t="s">
        <v>130</v>
      </c>
    </row>
    <row r="103" spans="1:8" hidden="1" x14ac:dyDescent="0.35">
      <c r="A103" s="1" t="s">
        <v>21</v>
      </c>
      <c r="B103" s="2" t="s">
        <v>56</v>
      </c>
      <c r="C103" s="2" t="s">
        <v>131</v>
      </c>
      <c r="D103" s="1" t="str">
        <f t="shared" si="1"/>
        <v>OL_11_23_2</v>
      </c>
      <c r="E103" s="10">
        <v>45259</v>
      </c>
      <c r="F103" s="1">
        <v>54</v>
      </c>
      <c r="G103" s="1" t="s">
        <v>130</v>
      </c>
      <c r="H103" s="1" t="s">
        <v>130</v>
      </c>
    </row>
    <row r="104" spans="1:8" hidden="1" x14ac:dyDescent="0.35">
      <c r="A104" s="1" t="s">
        <v>57</v>
      </c>
      <c r="B104" s="2" t="s">
        <v>56</v>
      </c>
      <c r="C104" s="2" t="s">
        <v>129</v>
      </c>
      <c r="D104" s="1" t="str">
        <f t="shared" si="1"/>
        <v>TSH_11_23_1</v>
      </c>
      <c r="E104" s="10">
        <v>45259</v>
      </c>
      <c r="F104" s="1">
        <v>54</v>
      </c>
      <c r="G104" s="1" t="s">
        <v>130</v>
      </c>
      <c r="H104" s="1" t="s">
        <v>130</v>
      </c>
    </row>
    <row r="105" spans="1:8" hidden="1" x14ac:dyDescent="0.35">
      <c r="A105" s="1" t="s">
        <v>57</v>
      </c>
      <c r="B105" s="2" t="s">
        <v>56</v>
      </c>
      <c r="C105" s="2" t="s">
        <v>131</v>
      </c>
      <c r="D105" s="1" t="str">
        <f t="shared" si="1"/>
        <v>TSH_11_23_2</v>
      </c>
      <c r="E105" s="10">
        <v>45259</v>
      </c>
      <c r="F105" s="1">
        <v>53</v>
      </c>
      <c r="G105" s="1" t="s">
        <v>130</v>
      </c>
      <c r="H105" s="1" t="s">
        <v>130</v>
      </c>
    </row>
    <row r="106" spans="1:8" hidden="1" x14ac:dyDescent="0.35">
      <c r="A106" s="1" t="s">
        <v>22</v>
      </c>
      <c r="B106" s="2" t="s">
        <v>56</v>
      </c>
      <c r="C106" s="2" t="s">
        <v>129</v>
      </c>
      <c r="D106" s="1" t="str">
        <f t="shared" si="1"/>
        <v>R127_11_23_1</v>
      </c>
      <c r="E106" s="10">
        <v>45259</v>
      </c>
      <c r="F106" s="1">
        <v>52</v>
      </c>
      <c r="G106" s="1" t="s">
        <v>130</v>
      </c>
      <c r="H106" s="1" t="s">
        <v>130</v>
      </c>
    </row>
    <row r="107" spans="1:8" hidden="1" x14ac:dyDescent="0.35">
      <c r="A107" s="1" t="s">
        <v>22</v>
      </c>
      <c r="B107" s="2" t="s">
        <v>56</v>
      </c>
      <c r="C107" s="2" t="s">
        <v>131</v>
      </c>
      <c r="D107" s="1" t="str">
        <f t="shared" si="1"/>
        <v>R127_11_23_2</v>
      </c>
      <c r="E107" s="10">
        <v>45259</v>
      </c>
      <c r="F107" s="1">
        <v>51</v>
      </c>
      <c r="G107" s="1" t="s">
        <v>130</v>
      </c>
      <c r="H107" s="1" t="s">
        <v>130</v>
      </c>
    </row>
    <row r="108" spans="1:8" x14ac:dyDescent="0.35">
      <c r="A108" s="1" t="s">
        <v>48</v>
      </c>
      <c r="B108" s="2" t="s">
        <v>109</v>
      </c>
      <c r="C108" s="2" t="s">
        <v>129</v>
      </c>
      <c r="D108" s="1" t="str">
        <f t="shared" si="1"/>
        <v>SBT2_1123E_1</v>
      </c>
      <c r="E108" s="10">
        <v>45260</v>
      </c>
      <c r="F108" s="1">
        <v>51</v>
      </c>
      <c r="G108" s="10">
        <v>45602</v>
      </c>
      <c r="H108" s="1">
        <v>3.31</v>
      </c>
    </row>
    <row r="109" spans="1:8" x14ac:dyDescent="0.35">
      <c r="A109" s="1" t="s">
        <v>34</v>
      </c>
      <c r="B109" s="2" t="s">
        <v>109</v>
      </c>
      <c r="C109" s="2" t="s">
        <v>129</v>
      </c>
      <c r="D109" s="1" t="str">
        <f t="shared" si="1"/>
        <v>MCS1_1123E_1</v>
      </c>
      <c r="E109" s="10">
        <v>45260</v>
      </c>
      <c r="F109" s="1">
        <v>51</v>
      </c>
      <c r="G109" s="10">
        <v>45602</v>
      </c>
      <c r="H109" s="1">
        <v>7.59</v>
      </c>
    </row>
    <row r="110" spans="1:8" x14ac:dyDescent="0.35">
      <c r="A110" s="1" t="s">
        <v>40</v>
      </c>
      <c r="B110" s="2" t="s">
        <v>109</v>
      </c>
      <c r="C110" s="2" t="s">
        <v>129</v>
      </c>
      <c r="D110" s="1" t="str">
        <f t="shared" si="1"/>
        <v>TB1_1123E_1</v>
      </c>
      <c r="E110" s="10">
        <v>45260</v>
      </c>
      <c r="F110" s="1">
        <v>55</v>
      </c>
      <c r="G110" s="10">
        <v>45602</v>
      </c>
      <c r="H110" s="1">
        <v>14.23</v>
      </c>
    </row>
    <row r="111" spans="1:8" x14ac:dyDescent="0.35">
      <c r="A111" s="1" t="s">
        <v>41</v>
      </c>
      <c r="B111" s="2" t="s">
        <v>109</v>
      </c>
      <c r="C111" s="2" t="s">
        <v>129</v>
      </c>
      <c r="D111" s="1" t="str">
        <f t="shared" si="1"/>
        <v>TB2_1123E_1</v>
      </c>
      <c r="E111" s="10">
        <v>45260</v>
      </c>
      <c r="F111" s="1">
        <v>54</v>
      </c>
      <c r="G111" s="10">
        <v>45602</v>
      </c>
      <c r="H111" s="1">
        <v>1.9</v>
      </c>
    </row>
    <row r="112" spans="1:8" x14ac:dyDescent="0.35">
      <c r="A112" s="1" t="s">
        <v>42</v>
      </c>
      <c r="B112" s="2" t="s">
        <v>109</v>
      </c>
      <c r="C112" s="2" t="s">
        <v>129</v>
      </c>
      <c r="D112" s="1" t="str">
        <f t="shared" si="1"/>
        <v>GB2_1123E_1</v>
      </c>
      <c r="E112" s="10">
        <v>45260</v>
      </c>
      <c r="F112" s="1">
        <v>52</v>
      </c>
      <c r="G112" s="10">
        <v>45602</v>
      </c>
      <c r="H112" s="1">
        <v>21.26</v>
      </c>
    </row>
    <row r="113" spans="1:8" x14ac:dyDescent="0.35">
      <c r="A113" s="1" t="s">
        <v>43</v>
      </c>
      <c r="B113" s="2" t="s">
        <v>109</v>
      </c>
      <c r="C113" s="2" t="s">
        <v>129</v>
      </c>
      <c r="D113" s="1" t="str">
        <f t="shared" si="1"/>
        <v>RB_1123E_1</v>
      </c>
      <c r="E113" s="10">
        <v>45260</v>
      </c>
      <c r="F113" s="1">
        <v>52</v>
      </c>
      <c r="G113" s="10">
        <v>45602</v>
      </c>
      <c r="H113" s="1">
        <v>19.61</v>
      </c>
    </row>
    <row r="114" spans="1:8" x14ac:dyDescent="0.35">
      <c r="A114" s="1" t="s">
        <v>51</v>
      </c>
      <c r="B114" s="2" t="s">
        <v>109</v>
      </c>
      <c r="C114" s="2" t="s">
        <v>129</v>
      </c>
      <c r="D114" s="1" t="str">
        <f t="shared" si="1"/>
        <v>WB1_1123E_1</v>
      </c>
      <c r="E114" s="10">
        <v>45260</v>
      </c>
      <c r="F114" s="1">
        <v>53</v>
      </c>
      <c r="G114" s="10">
        <v>45602</v>
      </c>
      <c r="H114" s="1">
        <v>1.06</v>
      </c>
    </row>
    <row r="115" spans="1:8" x14ac:dyDescent="0.35">
      <c r="A115" s="1" t="s">
        <v>53</v>
      </c>
      <c r="B115" s="2" t="s">
        <v>109</v>
      </c>
      <c r="C115" s="2" t="s">
        <v>129</v>
      </c>
      <c r="D115" s="1" t="str">
        <f t="shared" si="1"/>
        <v>TKB_1123E_1</v>
      </c>
      <c r="E115" s="10">
        <v>45260</v>
      </c>
      <c r="F115" s="1">
        <v>58</v>
      </c>
      <c r="G115" s="10">
        <v>45602</v>
      </c>
      <c r="H115" s="1">
        <v>0.59</v>
      </c>
    </row>
    <row r="116" spans="1:8" x14ac:dyDescent="0.35">
      <c r="A116" s="1" t="s">
        <v>54</v>
      </c>
      <c r="B116" s="2" t="s">
        <v>109</v>
      </c>
      <c r="C116" s="2" t="s">
        <v>129</v>
      </c>
      <c r="D116" s="1" t="str">
        <f t="shared" si="1"/>
        <v>JB_1123E_1</v>
      </c>
      <c r="E116" s="10">
        <v>45260</v>
      </c>
      <c r="F116" s="1">
        <v>53</v>
      </c>
      <c r="G116" s="10">
        <v>45602</v>
      </c>
      <c r="H116" s="1">
        <v>0.39</v>
      </c>
    </row>
    <row r="117" spans="1:8" x14ac:dyDescent="0.35">
      <c r="A117" s="1" t="s">
        <v>48</v>
      </c>
      <c r="B117" s="2" t="s">
        <v>109</v>
      </c>
      <c r="C117" s="2" t="s">
        <v>131</v>
      </c>
      <c r="D117" s="1" t="str">
        <f t="shared" si="1"/>
        <v>SBT2_1123E_2</v>
      </c>
      <c r="E117" s="10">
        <v>45260</v>
      </c>
      <c r="F117" s="1">
        <v>51</v>
      </c>
      <c r="G117" s="10">
        <v>45602</v>
      </c>
      <c r="H117" s="1">
        <v>2.42</v>
      </c>
    </row>
    <row r="118" spans="1:8" x14ac:dyDescent="0.35">
      <c r="A118" s="1" t="s">
        <v>34</v>
      </c>
      <c r="B118" s="2" t="s">
        <v>109</v>
      </c>
      <c r="C118" s="2" t="s">
        <v>131</v>
      </c>
      <c r="D118" s="1" t="str">
        <f t="shared" si="1"/>
        <v>MCS1_1123E_2</v>
      </c>
      <c r="E118" s="10">
        <v>45260</v>
      </c>
      <c r="F118" s="1">
        <v>55</v>
      </c>
      <c r="G118" s="10">
        <v>45602</v>
      </c>
      <c r="H118" s="1">
        <v>6.85</v>
      </c>
    </row>
    <row r="119" spans="1:8" x14ac:dyDescent="0.35">
      <c r="A119" s="1" t="s">
        <v>40</v>
      </c>
      <c r="B119" s="2" t="s">
        <v>109</v>
      </c>
      <c r="C119" s="2" t="s">
        <v>131</v>
      </c>
      <c r="D119" s="1" t="str">
        <f t="shared" si="1"/>
        <v>TB1_1123E_2</v>
      </c>
      <c r="E119" s="10">
        <v>45260</v>
      </c>
      <c r="F119" s="1">
        <v>52</v>
      </c>
      <c r="G119" s="10">
        <v>45602</v>
      </c>
      <c r="H119" s="1">
        <v>13.95</v>
      </c>
    </row>
    <row r="120" spans="1:8" x14ac:dyDescent="0.35">
      <c r="A120" s="1" t="s">
        <v>41</v>
      </c>
      <c r="B120" s="2" t="s">
        <v>109</v>
      </c>
      <c r="C120" s="2" t="s">
        <v>131</v>
      </c>
      <c r="D120" s="1" t="str">
        <f t="shared" si="1"/>
        <v>TB2_1123E_2</v>
      </c>
      <c r="E120" s="10">
        <v>45260</v>
      </c>
      <c r="F120" s="1">
        <v>56</v>
      </c>
      <c r="G120" s="10">
        <v>45602</v>
      </c>
      <c r="H120" s="1">
        <v>1.47</v>
      </c>
    </row>
    <row r="121" spans="1:8" x14ac:dyDescent="0.35">
      <c r="A121" s="1" t="s">
        <v>42</v>
      </c>
      <c r="B121" s="2" t="s">
        <v>109</v>
      </c>
      <c r="C121" s="2" t="s">
        <v>131</v>
      </c>
      <c r="D121" s="1" t="str">
        <f t="shared" si="1"/>
        <v>GB2_1123E_2</v>
      </c>
      <c r="E121" s="10">
        <v>45260</v>
      </c>
      <c r="F121" s="1">
        <v>52</v>
      </c>
      <c r="G121" s="10">
        <v>45602</v>
      </c>
      <c r="H121" s="1">
        <v>16.95</v>
      </c>
    </row>
    <row r="122" spans="1:8" x14ac:dyDescent="0.35">
      <c r="A122" s="1" t="s">
        <v>43</v>
      </c>
      <c r="B122" s="2" t="s">
        <v>109</v>
      </c>
      <c r="C122" s="2" t="s">
        <v>131</v>
      </c>
      <c r="D122" s="1" t="str">
        <f t="shared" si="1"/>
        <v>RB_1123E_2</v>
      </c>
      <c r="E122" s="10">
        <v>45260</v>
      </c>
      <c r="F122" s="1">
        <v>55</v>
      </c>
      <c r="G122" s="10">
        <v>45602</v>
      </c>
      <c r="H122" s="1">
        <v>19.95</v>
      </c>
    </row>
    <row r="123" spans="1:8" x14ac:dyDescent="0.35">
      <c r="A123" s="1" t="s">
        <v>51</v>
      </c>
      <c r="B123" s="2" t="s">
        <v>109</v>
      </c>
      <c r="C123" s="2" t="s">
        <v>131</v>
      </c>
      <c r="D123" s="1" t="str">
        <f t="shared" si="1"/>
        <v>WB1_1123E_2</v>
      </c>
      <c r="E123" s="10">
        <v>45260</v>
      </c>
      <c r="F123" s="1">
        <v>56</v>
      </c>
      <c r="G123" s="10">
        <v>45602</v>
      </c>
      <c r="H123" s="1">
        <v>0.86</v>
      </c>
    </row>
    <row r="124" spans="1:8" x14ac:dyDescent="0.35">
      <c r="A124" s="1" t="s">
        <v>53</v>
      </c>
      <c r="B124" s="2" t="s">
        <v>109</v>
      </c>
      <c r="C124" s="2" t="s">
        <v>131</v>
      </c>
      <c r="D124" s="1" t="str">
        <f t="shared" si="1"/>
        <v>TKB_1123E_2</v>
      </c>
      <c r="E124" s="10">
        <v>45260</v>
      </c>
      <c r="F124" s="1">
        <v>54</v>
      </c>
      <c r="G124" s="10">
        <v>45602</v>
      </c>
      <c r="H124" s="1">
        <v>0.56000000000000005</v>
      </c>
    </row>
    <row r="125" spans="1:8" x14ac:dyDescent="0.35">
      <c r="A125" s="1" t="s">
        <v>54</v>
      </c>
      <c r="B125" s="2" t="s">
        <v>109</v>
      </c>
      <c r="C125" s="2" t="s">
        <v>131</v>
      </c>
      <c r="D125" s="1" t="str">
        <f t="shared" si="1"/>
        <v>JB_1123E_2</v>
      </c>
      <c r="E125" s="10">
        <v>45260</v>
      </c>
      <c r="F125" s="1">
        <v>57</v>
      </c>
      <c r="G125" s="10">
        <v>45602</v>
      </c>
      <c r="H125" s="1">
        <v>0.41</v>
      </c>
    </row>
    <row r="126" spans="1:8" hidden="1" x14ac:dyDescent="0.35">
      <c r="A126" s="1" t="s">
        <v>48</v>
      </c>
      <c r="B126" s="2" t="s">
        <v>60</v>
      </c>
      <c r="C126" s="2" t="s">
        <v>129</v>
      </c>
      <c r="D126" s="1" t="str">
        <f t="shared" si="1"/>
        <v>SBT2_1-24_1</v>
      </c>
      <c r="E126" s="10">
        <v>45297</v>
      </c>
      <c r="F126" s="1">
        <v>54</v>
      </c>
      <c r="G126" s="10"/>
    </row>
    <row r="127" spans="1:8" hidden="1" x14ac:dyDescent="0.35">
      <c r="A127" s="1" t="s">
        <v>42</v>
      </c>
      <c r="B127" s="2" t="s">
        <v>60</v>
      </c>
      <c r="C127" s="2" t="s">
        <v>129</v>
      </c>
      <c r="D127" s="1" t="str">
        <f t="shared" ref="D127:D190" si="2">A127&amp;"_"&amp;B127&amp;"_"&amp;C127</f>
        <v>GB2_1-24_1</v>
      </c>
      <c r="E127" s="10">
        <v>45297</v>
      </c>
      <c r="F127" s="1">
        <v>53</v>
      </c>
      <c r="G127" s="10"/>
    </row>
    <row r="128" spans="1:8" hidden="1" x14ac:dyDescent="0.35">
      <c r="A128" s="1" t="s">
        <v>43</v>
      </c>
      <c r="B128" s="2" t="s">
        <v>60</v>
      </c>
      <c r="C128" s="2" t="s">
        <v>129</v>
      </c>
      <c r="D128" s="1" t="str">
        <f t="shared" si="2"/>
        <v>RB_1-24_1</v>
      </c>
      <c r="E128" s="10">
        <v>45297</v>
      </c>
      <c r="F128" s="1">
        <v>57</v>
      </c>
      <c r="G128" s="10"/>
    </row>
    <row r="129" spans="1:7" hidden="1" x14ac:dyDescent="0.35">
      <c r="A129" s="1" t="s">
        <v>53</v>
      </c>
      <c r="B129" s="2" t="s">
        <v>60</v>
      </c>
      <c r="C129" s="2" t="s">
        <v>129</v>
      </c>
      <c r="D129" s="1" t="str">
        <f t="shared" si="2"/>
        <v>TKB_1-24_1</v>
      </c>
      <c r="E129" s="10">
        <v>45297</v>
      </c>
      <c r="F129" s="1">
        <v>57</v>
      </c>
      <c r="G129" s="10"/>
    </row>
    <row r="130" spans="1:7" hidden="1" x14ac:dyDescent="0.35">
      <c r="A130" s="1" t="s">
        <v>54</v>
      </c>
      <c r="B130" s="2" t="s">
        <v>60</v>
      </c>
      <c r="C130" s="2" t="s">
        <v>129</v>
      </c>
      <c r="D130" s="1" t="str">
        <f t="shared" si="2"/>
        <v>JB_1-24_1</v>
      </c>
      <c r="E130" s="10">
        <v>45297</v>
      </c>
      <c r="F130" s="1">
        <v>53</v>
      </c>
      <c r="G130" s="10"/>
    </row>
    <row r="131" spans="1:7" hidden="1" x14ac:dyDescent="0.35">
      <c r="A131" s="1" t="s">
        <v>55</v>
      </c>
      <c r="B131" s="2" t="s">
        <v>60</v>
      </c>
      <c r="C131" s="2" t="s">
        <v>129</v>
      </c>
      <c r="D131" s="1" t="str">
        <f t="shared" si="2"/>
        <v>CC_1-24_1</v>
      </c>
      <c r="E131" s="10">
        <v>45297</v>
      </c>
      <c r="F131" s="1">
        <v>55</v>
      </c>
      <c r="G131" s="10"/>
    </row>
    <row r="132" spans="1:7" hidden="1" x14ac:dyDescent="0.35">
      <c r="A132" s="1" t="s">
        <v>48</v>
      </c>
      <c r="B132" s="2" t="s">
        <v>60</v>
      </c>
      <c r="C132" s="2" t="s">
        <v>131</v>
      </c>
      <c r="D132" s="1" t="str">
        <f t="shared" si="2"/>
        <v>SBT2_1-24_2</v>
      </c>
      <c r="E132" s="10">
        <v>45297</v>
      </c>
      <c r="F132" s="1">
        <v>53</v>
      </c>
      <c r="G132" s="10"/>
    </row>
    <row r="133" spans="1:7" hidden="1" x14ac:dyDescent="0.35">
      <c r="A133" s="1" t="s">
        <v>42</v>
      </c>
      <c r="B133" s="2" t="s">
        <v>60</v>
      </c>
      <c r="C133" s="2" t="s">
        <v>131</v>
      </c>
      <c r="D133" s="1" t="str">
        <f t="shared" si="2"/>
        <v>GB2_1-24_2</v>
      </c>
      <c r="E133" s="10">
        <v>45297</v>
      </c>
      <c r="F133" s="1">
        <v>55</v>
      </c>
      <c r="G133" s="10"/>
    </row>
    <row r="134" spans="1:7" hidden="1" x14ac:dyDescent="0.35">
      <c r="A134" s="1" t="s">
        <v>43</v>
      </c>
      <c r="B134" s="2" t="s">
        <v>60</v>
      </c>
      <c r="C134" s="2" t="s">
        <v>131</v>
      </c>
      <c r="D134" s="1" t="str">
        <f t="shared" si="2"/>
        <v>RB_1-24_2</v>
      </c>
      <c r="E134" s="10">
        <v>45297</v>
      </c>
      <c r="F134" s="1">
        <v>56</v>
      </c>
      <c r="G134" s="10"/>
    </row>
    <row r="135" spans="1:7" hidden="1" x14ac:dyDescent="0.35">
      <c r="A135" s="1" t="s">
        <v>53</v>
      </c>
      <c r="B135" s="2" t="s">
        <v>60</v>
      </c>
      <c r="C135" s="2" t="s">
        <v>131</v>
      </c>
      <c r="D135" s="1" t="str">
        <f t="shared" si="2"/>
        <v>TKB_1-24_2</v>
      </c>
      <c r="E135" s="10">
        <v>45297</v>
      </c>
      <c r="F135" s="1">
        <v>52</v>
      </c>
      <c r="G135" s="10"/>
    </row>
    <row r="136" spans="1:7" hidden="1" x14ac:dyDescent="0.35">
      <c r="A136" s="1" t="s">
        <v>54</v>
      </c>
      <c r="B136" s="2" t="s">
        <v>60</v>
      </c>
      <c r="C136" s="2" t="s">
        <v>131</v>
      </c>
      <c r="D136" s="1" t="str">
        <f t="shared" si="2"/>
        <v>JB_1-24_2</v>
      </c>
      <c r="E136" s="10">
        <v>45297</v>
      </c>
      <c r="F136" s="1">
        <v>56</v>
      </c>
      <c r="G136" s="10"/>
    </row>
    <row r="137" spans="1:7" hidden="1" x14ac:dyDescent="0.35">
      <c r="A137" s="1" t="s">
        <v>55</v>
      </c>
      <c r="B137" s="2" t="s">
        <v>60</v>
      </c>
      <c r="C137" s="2" t="s">
        <v>131</v>
      </c>
      <c r="D137" s="1" t="str">
        <f t="shared" si="2"/>
        <v>CC_1-24_2</v>
      </c>
      <c r="E137" s="10">
        <v>45297</v>
      </c>
      <c r="F137" s="1">
        <v>54</v>
      </c>
      <c r="G137" s="10"/>
    </row>
    <row r="138" spans="1:7" hidden="1" x14ac:dyDescent="0.35">
      <c r="A138" s="1" t="s">
        <v>34</v>
      </c>
      <c r="B138" s="2" t="s">
        <v>60</v>
      </c>
      <c r="C138" s="2" t="s">
        <v>129</v>
      </c>
      <c r="D138" s="1" t="str">
        <f t="shared" si="2"/>
        <v>MCS1_1-24_1</v>
      </c>
      <c r="E138" s="10">
        <v>45298</v>
      </c>
      <c r="F138" s="1">
        <v>56</v>
      </c>
      <c r="G138" s="10"/>
    </row>
    <row r="139" spans="1:7" hidden="1" x14ac:dyDescent="0.35">
      <c r="A139" s="1" t="s">
        <v>35</v>
      </c>
      <c r="B139" s="2" t="s">
        <v>60</v>
      </c>
      <c r="C139" s="2" t="s">
        <v>129</v>
      </c>
      <c r="D139" s="1" t="str">
        <f t="shared" si="2"/>
        <v>MCS2_1-24_1</v>
      </c>
      <c r="E139" s="10">
        <v>45298</v>
      </c>
      <c r="F139" s="1">
        <v>55</v>
      </c>
      <c r="G139" s="10"/>
    </row>
    <row r="140" spans="1:7" hidden="1" x14ac:dyDescent="0.35">
      <c r="A140" s="1" t="s">
        <v>36</v>
      </c>
      <c r="B140" s="2" t="s">
        <v>60</v>
      </c>
      <c r="C140" s="2" t="s">
        <v>129</v>
      </c>
      <c r="D140" s="1" t="str">
        <f t="shared" si="2"/>
        <v>MCS3_1-24_1</v>
      </c>
      <c r="E140" s="10">
        <v>45298</v>
      </c>
      <c r="F140" s="1">
        <v>54</v>
      </c>
      <c r="G140" s="10"/>
    </row>
    <row r="141" spans="1:7" hidden="1" x14ac:dyDescent="0.35">
      <c r="A141" s="1" t="s">
        <v>37</v>
      </c>
      <c r="B141" s="2" t="s">
        <v>60</v>
      </c>
      <c r="C141" s="2" t="s">
        <v>129</v>
      </c>
      <c r="D141" s="1" t="str">
        <f t="shared" si="2"/>
        <v>MCS4_1-24_1</v>
      </c>
      <c r="E141" s="10">
        <v>45298</v>
      </c>
      <c r="F141" s="1">
        <v>54</v>
      </c>
      <c r="G141" s="10"/>
    </row>
    <row r="142" spans="1:7" hidden="1" x14ac:dyDescent="0.35">
      <c r="A142" s="1" t="s">
        <v>38</v>
      </c>
      <c r="B142" s="2" t="s">
        <v>60</v>
      </c>
      <c r="C142" s="2" t="s">
        <v>129</v>
      </c>
      <c r="D142" s="1" t="str">
        <f t="shared" si="2"/>
        <v>TBHM_1-24_1</v>
      </c>
      <c r="E142" s="10">
        <v>45298</v>
      </c>
      <c r="F142" s="1">
        <v>51</v>
      </c>
      <c r="G142" s="10"/>
    </row>
    <row r="143" spans="1:7" hidden="1" x14ac:dyDescent="0.35">
      <c r="A143" s="1" t="s">
        <v>50</v>
      </c>
      <c r="B143" s="2" t="s">
        <v>60</v>
      </c>
      <c r="C143" s="2" t="s">
        <v>129</v>
      </c>
      <c r="D143" s="1" t="str">
        <f t="shared" si="2"/>
        <v>TBC_1-24_1</v>
      </c>
      <c r="E143" s="10">
        <v>45298</v>
      </c>
      <c r="F143" s="1">
        <v>54</v>
      </c>
      <c r="G143" s="10"/>
    </row>
    <row r="144" spans="1:7" hidden="1" x14ac:dyDescent="0.35">
      <c r="A144" s="1" t="s">
        <v>39</v>
      </c>
      <c r="B144" s="2" t="s">
        <v>60</v>
      </c>
      <c r="C144" s="2" t="s">
        <v>129</v>
      </c>
      <c r="D144" s="1" t="str">
        <f t="shared" si="2"/>
        <v>TBCM_1-24_1</v>
      </c>
      <c r="E144" s="10">
        <v>45298</v>
      </c>
      <c r="F144" s="1">
        <v>53</v>
      </c>
      <c r="G144" s="10"/>
    </row>
    <row r="145" spans="1:7" hidden="1" x14ac:dyDescent="0.35">
      <c r="A145" s="1" t="s">
        <v>40</v>
      </c>
      <c r="B145" s="2" t="s">
        <v>60</v>
      </c>
      <c r="C145" s="2" t="s">
        <v>129</v>
      </c>
      <c r="D145" s="1" t="str">
        <f t="shared" si="2"/>
        <v>TB1_1-24_1</v>
      </c>
      <c r="E145" s="10">
        <v>45298</v>
      </c>
      <c r="F145" s="1">
        <v>53</v>
      </c>
      <c r="G145" s="10"/>
    </row>
    <row r="146" spans="1:7" hidden="1" x14ac:dyDescent="0.35">
      <c r="A146" s="1" t="s">
        <v>41</v>
      </c>
      <c r="B146" s="2" t="s">
        <v>60</v>
      </c>
      <c r="C146" s="2" t="s">
        <v>129</v>
      </c>
      <c r="D146" s="1" t="str">
        <f t="shared" si="2"/>
        <v>TB2_1-24_1</v>
      </c>
      <c r="E146" s="10">
        <v>45298</v>
      </c>
      <c r="F146" s="1">
        <v>53</v>
      </c>
      <c r="G146" s="10"/>
    </row>
    <row r="147" spans="1:7" hidden="1" x14ac:dyDescent="0.35">
      <c r="A147" s="1" t="s">
        <v>51</v>
      </c>
      <c r="B147" s="2" t="s">
        <v>60</v>
      </c>
      <c r="C147" s="2" t="s">
        <v>129</v>
      </c>
      <c r="D147" s="1" t="str">
        <f t="shared" si="2"/>
        <v>WB1_1-24_1</v>
      </c>
      <c r="E147" s="10">
        <v>45298</v>
      </c>
      <c r="F147" s="1">
        <v>51</v>
      </c>
      <c r="G147" s="10"/>
    </row>
    <row r="148" spans="1:7" hidden="1" x14ac:dyDescent="0.35">
      <c r="A148" s="1" t="s">
        <v>52</v>
      </c>
      <c r="B148" s="2" t="s">
        <v>60</v>
      </c>
      <c r="C148" s="2" t="s">
        <v>129</v>
      </c>
      <c r="D148" s="1" t="str">
        <f t="shared" si="2"/>
        <v>WB2_1-24_1</v>
      </c>
      <c r="E148" s="10">
        <v>45298</v>
      </c>
      <c r="F148" s="1">
        <v>55</v>
      </c>
      <c r="G148" s="10"/>
    </row>
    <row r="149" spans="1:7" hidden="1" x14ac:dyDescent="0.35">
      <c r="A149" s="1" t="s">
        <v>34</v>
      </c>
      <c r="B149" s="2" t="s">
        <v>60</v>
      </c>
      <c r="C149" s="2" t="s">
        <v>131</v>
      </c>
      <c r="D149" s="1" t="str">
        <f t="shared" si="2"/>
        <v>MCS1_1-24_2</v>
      </c>
      <c r="E149" s="10">
        <v>45298</v>
      </c>
      <c r="F149" s="1">
        <v>55</v>
      </c>
      <c r="G149" s="10"/>
    </row>
    <row r="150" spans="1:7" hidden="1" x14ac:dyDescent="0.35">
      <c r="A150" s="1" t="s">
        <v>35</v>
      </c>
      <c r="B150" s="2" t="s">
        <v>60</v>
      </c>
      <c r="C150" s="2" t="s">
        <v>131</v>
      </c>
      <c r="D150" s="1" t="str">
        <f t="shared" si="2"/>
        <v>MCS2_1-24_2</v>
      </c>
      <c r="E150" s="10">
        <v>45298</v>
      </c>
      <c r="F150" s="1">
        <v>54</v>
      </c>
      <c r="G150" s="10"/>
    </row>
    <row r="151" spans="1:7" hidden="1" x14ac:dyDescent="0.35">
      <c r="A151" s="1" t="s">
        <v>36</v>
      </c>
      <c r="B151" s="2" t="s">
        <v>60</v>
      </c>
      <c r="C151" s="2" t="s">
        <v>131</v>
      </c>
      <c r="D151" s="1" t="str">
        <f t="shared" si="2"/>
        <v>MCS3_1-24_2</v>
      </c>
      <c r="E151" s="10">
        <v>45298</v>
      </c>
      <c r="F151" s="1">
        <v>51</v>
      </c>
      <c r="G151" s="10"/>
    </row>
    <row r="152" spans="1:7" hidden="1" x14ac:dyDescent="0.35">
      <c r="A152" s="1" t="s">
        <v>37</v>
      </c>
      <c r="B152" s="2" t="s">
        <v>60</v>
      </c>
      <c r="C152" s="2" t="s">
        <v>131</v>
      </c>
      <c r="D152" s="1" t="str">
        <f t="shared" si="2"/>
        <v>MCS4_1-24_2</v>
      </c>
      <c r="E152" s="10">
        <v>45298</v>
      </c>
      <c r="F152" s="1">
        <v>51</v>
      </c>
      <c r="G152" s="10"/>
    </row>
    <row r="153" spans="1:7" hidden="1" x14ac:dyDescent="0.35">
      <c r="A153" s="1" t="s">
        <v>38</v>
      </c>
      <c r="B153" s="2" t="s">
        <v>60</v>
      </c>
      <c r="C153" s="2" t="s">
        <v>131</v>
      </c>
      <c r="D153" s="1" t="str">
        <f t="shared" si="2"/>
        <v>TBHM_1-24_2</v>
      </c>
      <c r="E153" s="10">
        <v>45298</v>
      </c>
      <c r="F153" s="1">
        <v>53</v>
      </c>
      <c r="G153" s="10"/>
    </row>
    <row r="154" spans="1:7" hidden="1" x14ac:dyDescent="0.35">
      <c r="A154" s="1" t="s">
        <v>50</v>
      </c>
      <c r="B154" s="2" t="s">
        <v>60</v>
      </c>
      <c r="C154" s="2" t="s">
        <v>131</v>
      </c>
      <c r="D154" s="1" t="str">
        <f t="shared" si="2"/>
        <v>TBC_1-24_2</v>
      </c>
      <c r="E154" s="10">
        <v>45298</v>
      </c>
      <c r="F154" s="1">
        <v>53</v>
      </c>
      <c r="G154" s="10"/>
    </row>
    <row r="155" spans="1:7" hidden="1" x14ac:dyDescent="0.35">
      <c r="A155" s="1" t="s">
        <v>39</v>
      </c>
      <c r="B155" s="2" t="s">
        <v>60</v>
      </c>
      <c r="C155" s="2" t="s">
        <v>131</v>
      </c>
      <c r="D155" s="1" t="str">
        <f t="shared" si="2"/>
        <v>TBCM_1-24_2</v>
      </c>
      <c r="E155" s="10">
        <v>45298</v>
      </c>
      <c r="F155" s="1">
        <v>50</v>
      </c>
      <c r="G155" s="10"/>
    </row>
    <row r="156" spans="1:7" hidden="1" x14ac:dyDescent="0.35">
      <c r="A156" s="1" t="s">
        <v>40</v>
      </c>
      <c r="B156" s="2" t="s">
        <v>60</v>
      </c>
      <c r="C156" s="2" t="s">
        <v>131</v>
      </c>
      <c r="D156" s="1" t="str">
        <f t="shared" si="2"/>
        <v>TB1_1-24_2</v>
      </c>
      <c r="E156" s="10">
        <v>45298</v>
      </c>
      <c r="F156" s="1">
        <v>55</v>
      </c>
      <c r="G156" s="10"/>
    </row>
    <row r="157" spans="1:7" hidden="1" x14ac:dyDescent="0.35">
      <c r="A157" s="1" t="s">
        <v>41</v>
      </c>
      <c r="B157" s="2" t="s">
        <v>60</v>
      </c>
      <c r="C157" s="2" t="s">
        <v>131</v>
      </c>
      <c r="D157" s="1" t="str">
        <f t="shared" si="2"/>
        <v>TB2_1-24_2</v>
      </c>
      <c r="E157" s="10">
        <v>45298</v>
      </c>
      <c r="F157" s="1">
        <v>52</v>
      </c>
      <c r="G157" s="10"/>
    </row>
    <row r="158" spans="1:7" hidden="1" x14ac:dyDescent="0.35">
      <c r="A158" s="1" t="s">
        <v>51</v>
      </c>
      <c r="B158" s="2" t="s">
        <v>60</v>
      </c>
      <c r="C158" s="2" t="s">
        <v>131</v>
      </c>
      <c r="D158" s="1" t="str">
        <f t="shared" si="2"/>
        <v>WB1_1-24_2</v>
      </c>
      <c r="E158" s="10">
        <v>45298</v>
      </c>
      <c r="F158" s="1">
        <v>53</v>
      </c>
      <c r="G158" s="10"/>
    </row>
    <row r="159" spans="1:7" hidden="1" x14ac:dyDescent="0.35">
      <c r="A159" s="1" t="s">
        <v>52</v>
      </c>
      <c r="B159" s="2" t="s">
        <v>60</v>
      </c>
      <c r="C159" s="2" t="s">
        <v>131</v>
      </c>
      <c r="D159" s="1" t="str">
        <f t="shared" si="2"/>
        <v>WB2_1-24_2</v>
      </c>
      <c r="E159" s="10">
        <v>45298</v>
      </c>
      <c r="F159" s="1">
        <v>53</v>
      </c>
      <c r="G159" s="10"/>
    </row>
    <row r="160" spans="1:7" hidden="1" x14ac:dyDescent="0.35">
      <c r="A160" s="1" t="s">
        <v>23</v>
      </c>
      <c r="B160" s="2" t="s">
        <v>60</v>
      </c>
      <c r="C160" s="2" t="s">
        <v>129</v>
      </c>
      <c r="D160" s="1" t="str">
        <f t="shared" si="2"/>
        <v>ACS1_1-24_1</v>
      </c>
      <c r="E160" s="10">
        <v>45302</v>
      </c>
      <c r="F160" s="1">
        <v>25</v>
      </c>
      <c r="G160" s="10"/>
    </row>
    <row r="161" spans="1:8" hidden="1" x14ac:dyDescent="0.35">
      <c r="A161" s="1" t="s">
        <v>24</v>
      </c>
      <c r="B161" s="2" t="s">
        <v>60</v>
      </c>
      <c r="C161" s="2" t="s">
        <v>129</v>
      </c>
      <c r="D161" s="1" t="str">
        <f t="shared" si="2"/>
        <v>ACS2_1-24_1</v>
      </c>
      <c r="E161" s="10">
        <v>45302</v>
      </c>
      <c r="F161" s="1">
        <v>25</v>
      </c>
      <c r="G161" s="10"/>
    </row>
    <row r="162" spans="1:8" hidden="1" x14ac:dyDescent="0.35">
      <c r="A162" s="1" t="s">
        <v>25</v>
      </c>
      <c r="B162" s="2" t="s">
        <v>60</v>
      </c>
      <c r="C162" s="2" t="s">
        <v>129</v>
      </c>
      <c r="D162" s="1" t="str">
        <f t="shared" si="2"/>
        <v>ACS3_1-24_1</v>
      </c>
      <c r="E162" s="10">
        <v>45302</v>
      </c>
      <c r="F162" s="1">
        <v>25</v>
      </c>
      <c r="G162" s="10"/>
    </row>
    <row r="163" spans="1:8" hidden="1" x14ac:dyDescent="0.35">
      <c r="A163" s="1" t="s">
        <v>26</v>
      </c>
      <c r="B163" s="2" t="s">
        <v>60</v>
      </c>
      <c r="C163" s="2" t="s">
        <v>129</v>
      </c>
      <c r="D163" s="1" t="str">
        <f t="shared" si="2"/>
        <v>ACS4_1-24_1</v>
      </c>
      <c r="E163" s="10">
        <v>45302</v>
      </c>
      <c r="F163" s="1">
        <v>51</v>
      </c>
      <c r="G163" s="10"/>
    </row>
    <row r="164" spans="1:8" hidden="1" x14ac:dyDescent="0.35">
      <c r="A164" s="1" t="s">
        <v>27</v>
      </c>
      <c r="B164" s="2" t="s">
        <v>60</v>
      </c>
      <c r="C164" s="2" t="s">
        <v>129</v>
      </c>
      <c r="D164" s="1" t="str">
        <f t="shared" si="2"/>
        <v>ACS5_1-24_1</v>
      </c>
      <c r="E164" s="10">
        <v>45302</v>
      </c>
      <c r="F164" s="1">
        <v>51</v>
      </c>
      <c r="G164" s="10"/>
    </row>
    <row r="165" spans="1:8" hidden="1" x14ac:dyDescent="0.35">
      <c r="A165" s="1" t="s">
        <v>28</v>
      </c>
      <c r="B165" s="2" t="s">
        <v>60</v>
      </c>
      <c r="C165" s="2" t="s">
        <v>129</v>
      </c>
      <c r="D165" s="1" t="str">
        <f t="shared" si="2"/>
        <v>GBHM_1-24_1</v>
      </c>
      <c r="E165" s="10">
        <v>45302</v>
      </c>
      <c r="F165" s="1">
        <v>51</v>
      </c>
      <c r="G165" s="10"/>
    </row>
    <row r="166" spans="1:8" hidden="1" x14ac:dyDescent="0.35">
      <c r="A166" s="1" t="s">
        <v>29</v>
      </c>
      <c r="B166" s="2" t="s">
        <v>60</v>
      </c>
      <c r="C166" s="2" t="s">
        <v>129</v>
      </c>
      <c r="D166" s="1" t="str">
        <f t="shared" si="2"/>
        <v>DC1_1-24_1</v>
      </c>
      <c r="E166" s="10">
        <v>45302</v>
      </c>
      <c r="F166" s="1">
        <v>52</v>
      </c>
      <c r="G166" s="10"/>
    </row>
    <row r="167" spans="1:8" hidden="1" x14ac:dyDescent="0.35">
      <c r="A167" s="1" t="s">
        <v>30</v>
      </c>
      <c r="B167" s="2" t="s">
        <v>60</v>
      </c>
      <c r="C167" s="2" t="s">
        <v>129</v>
      </c>
      <c r="D167" s="1" t="str">
        <f t="shared" si="2"/>
        <v>DCM1_1-24_1</v>
      </c>
      <c r="E167" s="10">
        <v>45302</v>
      </c>
      <c r="F167" s="1">
        <v>52</v>
      </c>
      <c r="G167" s="10"/>
    </row>
    <row r="168" spans="1:8" hidden="1" x14ac:dyDescent="0.35">
      <c r="A168" s="1" t="s">
        <v>31</v>
      </c>
      <c r="B168" s="2" t="s">
        <v>60</v>
      </c>
      <c r="C168" s="2" t="s">
        <v>129</v>
      </c>
      <c r="D168" s="1" t="str">
        <f t="shared" si="2"/>
        <v>DC2_1-24_1</v>
      </c>
      <c r="E168" s="10">
        <v>45302</v>
      </c>
      <c r="F168" s="1">
        <v>51</v>
      </c>
      <c r="G168" s="10"/>
    </row>
    <row r="169" spans="1:8" hidden="1" x14ac:dyDescent="0.35">
      <c r="A169" s="1" t="s">
        <v>32</v>
      </c>
      <c r="B169" s="2" t="s">
        <v>60</v>
      </c>
      <c r="C169" s="2" t="s">
        <v>129</v>
      </c>
      <c r="D169" s="1" t="str">
        <f t="shared" si="2"/>
        <v>DCM2_1-24_1</v>
      </c>
      <c r="E169" s="10">
        <v>45302</v>
      </c>
      <c r="F169" s="1">
        <v>52</v>
      </c>
      <c r="G169" s="10"/>
    </row>
    <row r="170" spans="1:8" x14ac:dyDescent="0.35">
      <c r="A170" s="1" t="s">
        <v>33</v>
      </c>
      <c r="B170" s="2" t="s">
        <v>60</v>
      </c>
      <c r="C170" s="2" t="s">
        <v>129</v>
      </c>
      <c r="D170" s="1" t="str">
        <f t="shared" si="2"/>
        <v>GB1_1-24_1</v>
      </c>
      <c r="E170" s="10">
        <v>45302</v>
      </c>
      <c r="F170" s="1">
        <v>51</v>
      </c>
      <c r="G170" s="10">
        <v>45602</v>
      </c>
      <c r="H170" s="1">
        <v>15.17</v>
      </c>
    </row>
    <row r="171" spans="1:8" hidden="1" x14ac:dyDescent="0.35">
      <c r="A171" s="1" t="s">
        <v>23</v>
      </c>
      <c r="B171" s="2" t="s">
        <v>60</v>
      </c>
      <c r="C171" s="2" t="s">
        <v>131</v>
      </c>
      <c r="D171" s="1" t="str">
        <f t="shared" si="2"/>
        <v>ACS1_1-24_2</v>
      </c>
      <c r="E171" s="10">
        <v>45302</v>
      </c>
      <c r="F171" s="1">
        <v>25</v>
      </c>
      <c r="G171" s="10"/>
    </row>
    <row r="172" spans="1:8" hidden="1" x14ac:dyDescent="0.35">
      <c r="A172" s="1" t="s">
        <v>24</v>
      </c>
      <c r="B172" s="2" t="s">
        <v>60</v>
      </c>
      <c r="C172" s="2" t="s">
        <v>131</v>
      </c>
      <c r="D172" s="1" t="str">
        <f t="shared" si="2"/>
        <v>ACS2_1-24_2</v>
      </c>
      <c r="E172" s="10">
        <v>45302</v>
      </c>
      <c r="F172" s="1" t="s">
        <v>130</v>
      </c>
      <c r="G172" s="10">
        <v>45602</v>
      </c>
    </row>
    <row r="173" spans="1:8" hidden="1" x14ac:dyDescent="0.35">
      <c r="A173" s="1" t="s">
        <v>25</v>
      </c>
      <c r="B173" s="2" t="s">
        <v>60</v>
      </c>
      <c r="C173" s="2" t="s">
        <v>131</v>
      </c>
      <c r="D173" s="1" t="str">
        <f t="shared" si="2"/>
        <v>ACS3_1-24_2</v>
      </c>
      <c r="E173" s="10">
        <v>45302</v>
      </c>
      <c r="F173" s="1" t="s">
        <v>130</v>
      </c>
      <c r="G173" s="10">
        <v>45602</v>
      </c>
    </row>
    <row r="174" spans="1:8" hidden="1" x14ac:dyDescent="0.35">
      <c r="A174" s="1" t="s">
        <v>26</v>
      </c>
      <c r="B174" s="2" t="s">
        <v>60</v>
      </c>
      <c r="C174" s="2" t="s">
        <v>131</v>
      </c>
      <c r="D174" s="1" t="str">
        <f t="shared" si="2"/>
        <v>ACS4_1-24_2</v>
      </c>
      <c r="E174" s="10">
        <v>45302</v>
      </c>
      <c r="F174" s="1">
        <v>51</v>
      </c>
      <c r="G174" s="10"/>
    </row>
    <row r="175" spans="1:8" hidden="1" x14ac:dyDescent="0.35">
      <c r="A175" s="1" t="s">
        <v>27</v>
      </c>
      <c r="B175" s="2" t="s">
        <v>60</v>
      </c>
      <c r="C175" s="2" t="s">
        <v>131</v>
      </c>
      <c r="D175" s="1" t="str">
        <f t="shared" si="2"/>
        <v>ACS5_1-24_2</v>
      </c>
      <c r="E175" s="10">
        <v>45302</v>
      </c>
      <c r="F175" s="1">
        <v>30</v>
      </c>
      <c r="G175" s="10"/>
    </row>
    <row r="176" spans="1:8" hidden="1" x14ac:dyDescent="0.35">
      <c r="A176" s="1" t="s">
        <v>28</v>
      </c>
      <c r="B176" s="2" t="s">
        <v>60</v>
      </c>
      <c r="C176" s="2" t="s">
        <v>131</v>
      </c>
      <c r="D176" s="1" t="str">
        <f t="shared" si="2"/>
        <v>GBHM_1-24_2</v>
      </c>
      <c r="E176" s="10">
        <v>45302</v>
      </c>
      <c r="F176" s="1">
        <v>50</v>
      </c>
      <c r="G176" s="10"/>
    </row>
    <row r="177" spans="1:8" hidden="1" x14ac:dyDescent="0.35">
      <c r="A177" s="1" t="s">
        <v>29</v>
      </c>
      <c r="B177" s="2" t="s">
        <v>60</v>
      </c>
      <c r="C177" s="2" t="s">
        <v>131</v>
      </c>
      <c r="D177" s="1" t="str">
        <f t="shared" si="2"/>
        <v>DC1_1-24_2</v>
      </c>
      <c r="E177" s="10">
        <v>45302</v>
      </c>
      <c r="F177" s="1">
        <v>52</v>
      </c>
      <c r="G177" s="10"/>
    </row>
    <row r="178" spans="1:8" hidden="1" x14ac:dyDescent="0.35">
      <c r="A178" s="1" t="s">
        <v>30</v>
      </c>
      <c r="B178" s="2" t="s">
        <v>60</v>
      </c>
      <c r="C178" s="2" t="s">
        <v>131</v>
      </c>
      <c r="D178" s="1" t="str">
        <f t="shared" si="2"/>
        <v>DCM1_1-24_2</v>
      </c>
      <c r="E178" s="10">
        <v>45302</v>
      </c>
      <c r="F178" s="1">
        <v>53</v>
      </c>
      <c r="G178" s="10"/>
    </row>
    <row r="179" spans="1:8" hidden="1" x14ac:dyDescent="0.35">
      <c r="A179" s="1" t="s">
        <v>31</v>
      </c>
      <c r="B179" s="2" t="s">
        <v>60</v>
      </c>
      <c r="C179" s="2" t="s">
        <v>131</v>
      </c>
      <c r="D179" s="1" t="str">
        <f t="shared" si="2"/>
        <v>DC2_1-24_2</v>
      </c>
      <c r="E179" s="10">
        <v>45302</v>
      </c>
      <c r="F179" s="1">
        <v>51</v>
      </c>
      <c r="G179" s="10"/>
    </row>
    <row r="180" spans="1:8" hidden="1" x14ac:dyDescent="0.35">
      <c r="A180" s="1" t="s">
        <v>32</v>
      </c>
      <c r="B180" s="2" t="s">
        <v>60</v>
      </c>
      <c r="C180" s="2" t="s">
        <v>131</v>
      </c>
      <c r="D180" s="1" t="str">
        <f t="shared" si="2"/>
        <v>DCM2_1-24_2</v>
      </c>
      <c r="E180" s="10">
        <v>45302</v>
      </c>
      <c r="F180" s="1">
        <v>51</v>
      </c>
      <c r="G180" s="10"/>
    </row>
    <row r="181" spans="1:8" x14ac:dyDescent="0.35">
      <c r="A181" s="1" t="s">
        <v>33</v>
      </c>
      <c r="B181" s="2" t="s">
        <v>60</v>
      </c>
      <c r="C181" s="2" t="s">
        <v>131</v>
      </c>
      <c r="D181" s="1" t="str">
        <f t="shared" si="2"/>
        <v>GB1_1-24_2</v>
      </c>
      <c r="E181" s="10">
        <v>45302</v>
      </c>
      <c r="F181" s="1">
        <v>52</v>
      </c>
      <c r="G181" s="10">
        <v>45602</v>
      </c>
      <c r="H181" s="1">
        <v>16.8</v>
      </c>
    </row>
    <row r="182" spans="1:8" hidden="1" x14ac:dyDescent="0.35">
      <c r="A182" s="1" t="s">
        <v>44</v>
      </c>
      <c r="B182" s="2" t="s">
        <v>60</v>
      </c>
      <c r="C182" s="2" t="s">
        <v>129</v>
      </c>
      <c r="D182" s="1" t="str">
        <f t="shared" si="2"/>
        <v>TSM1_1-24_1</v>
      </c>
      <c r="E182" s="10">
        <v>45324</v>
      </c>
      <c r="F182" s="1" t="s">
        <v>130</v>
      </c>
      <c r="G182" s="1" t="s">
        <v>130</v>
      </c>
      <c r="H182" s="1" t="s">
        <v>130</v>
      </c>
    </row>
    <row r="183" spans="1:8" hidden="1" x14ac:dyDescent="0.35">
      <c r="A183" s="1" t="s">
        <v>45</v>
      </c>
      <c r="B183" s="2" t="s">
        <v>60</v>
      </c>
      <c r="C183" s="2" t="s">
        <v>129</v>
      </c>
      <c r="D183" s="1" t="str">
        <f t="shared" si="2"/>
        <v>TSM3_1-24_1</v>
      </c>
      <c r="E183" s="10">
        <v>45324</v>
      </c>
      <c r="F183" s="1" t="s">
        <v>130</v>
      </c>
      <c r="G183" s="1" t="s">
        <v>130</v>
      </c>
      <c r="H183" s="1" t="s">
        <v>130</v>
      </c>
    </row>
    <row r="184" spans="1:8" hidden="1" x14ac:dyDescent="0.35">
      <c r="A184" s="1" t="s">
        <v>46</v>
      </c>
      <c r="B184" s="2" t="s">
        <v>60</v>
      </c>
      <c r="C184" s="2" t="s">
        <v>129</v>
      </c>
      <c r="D184" s="1" t="str">
        <f t="shared" si="2"/>
        <v>TSM4_1-24_1</v>
      </c>
      <c r="E184" s="10">
        <v>45324</v>
      </c>
      <c r="F184" s="1" t="s">
        <v>130</v>
      </c>
      <c r="G184" s="1" t="s">
        <v>130</v>
      </c>
      <c r="H184" s="1" t="s">
        <v>130</v>
      </c>
    </row>
    <row r="185" spans="1:8" x14ac:dyDescent="0.35">
      <c r="A185" s="1" t="s">
        <v>47</v>
      </c>
      <c r="B185" s="2" t="s">
        <v>60</v>
      </c>
      <c r="C185" s="2" t="s">
        <v>129</v>
      </c>
      <c r="D185" s="1" t="str">
        <f t="shared" si="2"/>
        <v>SBT1_1-24_1</v>
      </c>
      <c r="E185" s="10">
        <v>45324</v>
      </c>
      <c r="F185" s="1">
        <v>52</v>
      </c>
      <c r="G185" s="10">
        <v>45602</v>
      </c>
      <c r="H185" s="1">
        <v>134.87</v>
      </c>
    </row>
    <row r="186" spans="1:8" hidden="1" x14ac:dyDescent="0.35">
      <c r="A186" s="1" t="s">
        <v>44</v>
      </c>
      <c r="B186" s="2" t="s">
        <v>60</v>
      </c>
      <c r="C186" s="2" t="s">
        <v>131</v>
      </c>
      <c r="D186" s="1" t="str">
        <f t="shared" si="2"/>
        <v>TSM1_1-24_2</v>
      </c>
      <c r="E186" s="10">
        <v>45324</v>
      </c>
      <c r="F186" s="1" t="s">
        <v>130</v>
      </c>
      <c r="G186" s="1" t="s">
        <v>130</v>
      </c>
      <c r="H186" s="1" t="s">
        <v>130</v>
      </c>
    </row>
    <row r="187" spans="1:8" hidden="1" x14ac:dyDescent="0.35">
      <c r="A187" s="1" t="s">
        <v>45</v>
      </c>
      <c r="B187" s="2" t="s">
        <v>60</v>
      </c>
      <c r="C187" s="2" t="s">
        <v>131</v>
      </c>
      <c r="D187" s="1" t="str">
        <f t="shared" si="2"/>
        <v>TSM3_1-24_2</v>
      </c>
      <c r="E187" s="10">
        <v>45324</v>
      </c>
      <c r="F187" s="1" t="s">
        <v>130</v>
      </c>
      <c r="G187" s="1" t="s">
        <v>130</v>
      </c>
      <c r="H187" s="1" t="s">
        <v>130</v>
      </c>
    </row>
    <row r="188" spans="1:8" hidden="1" x14ac:dyDescent="0.35">
      <c r="A188" s="1" t="s">
        <v>46</v>
      </c>
      <c r="B188" s="2" t="s">
        <v>60</v>
      </c>
      <c r="C188" s="2" t="s">
        <v>131</v>
      </c>
      <c r="D188" s="1" t="str">
        <f t="shared" si="2"/>
        <v>TSM4_1-24_2</v>
      </c>
      <c r="E188" s="10">
        <v>45324</v>
      </c>
      <c r="F188" s="1" t="s">
        <v>130</v>
      </c>
      <c r="G188" s="1" t="s">
        <v>130</v>
      </c>
      <c r="H188" s="1" t="s">
        <v>130</v>
      </c>
    </row>
    <row r="189" spans="1:8" x14ac:dyDescent="0.35">
      <c r="A189" s="1" t="s">
        <v>47</v>
      </c>
      <c r="B189" s="2" t="s">
        <v>60</v>
      </c>
      <c r="C189" s="2" t="s">
        <v>131</v>
      </c>
      <c r="D189" s="1" t="str">
        <f t="shared" si="2"/>
        <v>SBT1_1-24_2</v>
      </c>
      <c r="E189" s="10">
        <v>45324</v>
      </c>
      <c r="F189" s="1">
        <v>54</v>
      </c>
      <c r="G189" s="10">
        <v>45602</v>
      </c>
      <c r="H189" s="1">
        <v>138.94999999999999</v>
      </c>
    </row>
    <row r="190" spans="1:8" hidden="1" x14ac:dyDescent="0.35">
      <c r="A190" s="1" t="s">
        <v>13</v>
      </c>
      <c r="B190" s="2" t="s">
        <v>61</v>
      </c>
      <c r="C190" s="2" t="s">
        <v>129</v>
      </c>
      <c r="D190" s="1" t="str">
        <f t="shared" si="2"/>
        <v>P37_3-24_1</v>
      </c>
      <c r="E190" s="10">
        <v>45358</v>
      </c>
      <c r="F190" s="1" t="s">
        <v>130</v>
      </c>
      <c r="G190" s="1" t="s">
        <v>130</v>
      </c>
      <c r="H190" s="1" t="s">
        <v>130</v>
      </c>
    </row>
    <row r="191" spans="1:8" hidden="1" x14ac:dyDescent="0.35">
      <c r="A191" s="1" t="s">
        <v>18</v>
      </c>
      <c r="B191" s="2" t="s">
        <v>61</v>
      </c>
      <c r="C191" s="2" t="s">
        <v>129</v>
      </c>
      <c r="D191" s="1" t="str">
        <f t="shared" ref="D191:D254" si="3">A191&amp;"_"&amp;B191&amp;"_"&amp;C191</f>
        <v>NCL_3-24_1</v>
      </c>
      <c r="E191" s="10">
        <v>45358</v>
      </c>
      <c r="F191" s="1" t="s">
        <v>130</v>
      </c>
      <c r="G191" s="1" t="s">
        <v>130</v>
      </c>
      <c r="H191" s="1" t="s">
        <v>130</v>
      </c>
    </row>
    <row r="192" spans="1:8" hidden="1" x14ac:dyDescent="0.35">
      <c r="A192" s="1" t="s">
        <v>19</v>
      </c>
      <c r="B192" s="2" t="s">
        <v>61</v>
      </c>
      <c r="C192" s="2" t="s">
        <v>129</v>
      </c>
      <c r="D192" s="1" t="str">
        <f t="shared" si="3"/>
        <v>CP_3-24_1</v>
      </c>
      <c r="E192" s="10">
        <v>45358</v>
      </c>
      <c r="F192" s="1" t="s">
        <v>130</v>
      </c>
      <c r="G192" s="1" t="s">
        <v>130</v>
      </c>
      <c r="H192" s="1" t="s">
        <v>130</v>
      </c>
    </row>
    <row r="193" spans="1:8" hidden="1" x14ac:dyDescent="0.35">
      <c r="A193" s="1" t="s">
        <v>20</v>
      </c>
      <c r="B193" s="2" t="s">
        <v>61</v>
      </c>
      <c r="C193" s="2" t="s">
        <v>129</v>
      </c>
      <c r="D193" s="1" t="str">
        <f t="shared" si="3"/>
        <v>EP146_3-24_1</v>
      </c>
      <c r="E193" s="10">
        <v>45358</v>
      </c>
      <c r="F193" s="1" t="s">
        <v>130</v>
      </c>
      <c r="G193" s="1" t="s">
        <v>130</v>
      </c>
      <c r="H193" s="1" t="s">
        <v>130</v>
      </c>
    </row>
    <row r="194" spans="1:8" hidden="1" x14ac:dyDescent="0.35">
      <c r="A194" s="1" t="s">
        <v>21</v>
      </c>
      <c r="B194" s="2" t="s">
        <v>61</v>
      </c>
      <c r="C194" s="2" t="s">
        <v>129</v>
      </c>
      <c r="D194" s="1" t="str">
        <f t="shared" si="3"/>
        <v>OL_3-24_1</v>
      </c>
      <c r="E194" s="10">
        <v>45358</v>
      </c>
      <c r="F194" s="1" t="s">
        <v>130</v>
      </c>
      <c r="G194" s="1" t="s">
        <v>130</v>
      </c>
      <c r="H194" s="1" t="s">
        <v>130</v>
      </c>
    </row>
    <row r="195" spans="1:8" hidden="1" x14ac:dyDescent="0.35">
      <c r="A195" s="1" t="s">
        <v>57</v>
      </c>
      <c r="B195" s="2" t="s">
        <v>61</v>
      </c>
      <c r="C195" s="2" t="s">
        <v>129</v>
      </c>
      <c r="D195" s="1" t="str">
        <f t="shared" si="3"/>
        <v>TSH_3-24_1</v>
      </c>
      <c r="E195" s="10">
        <v>45358</v>
      </c>
      <c r="F195" s="1" t="s">
        <v>130</v>
      </c>
      <c r="G195" s="1" t="s">
        <v>130</v>
      </c>
      <c r="H195" s="1" t="s">
        <v>130</v>
      </c>
    </row>
    <row r="196" spans="1:8" hidden="1" x14ac:dyDescent="0.35">
      <c r="A196" s="1" t="s">
        <v>22</v>
      </c>
      <c r="B196" s="2" t="s">
        <v>61</v>
      </c>
      <c r="C196" s="2" t="s">
        <v>129</v>
      </c>
      <c r="D196" s="1" t="str">
        <f t="shared" si="3"/>
        <v>R127_3-24_1</v>
      </c>
      <c r="E196" s="10">
        <v>45358</v>
      </c>
      <c r="F196" s="1" t="s">
        <v>130</v>
      </c>
      <c r="G196" s="1" t="s">
        <v>130</v>
      </c>
      <c r="H196" s="1" t="s">
        <v>130</v>
      </c>
    </row>
    <row r="197" spans="1:8" hidden="1" x14ac:dyDescent="0.35">
      <c r="A197" s="1" t="s">
        <v>13</v>
      </c>
      <c r="B197" s="2" t="s">
        <v>61</v>
      </c>
      <c r="C197" s="2" t="s">
        <v>131</v>
      </c>
      <c r="D197" s="1" t="str">
        <f t="shared" si="3"/>
        <v>P37_3-24_2</v>
      </c>
      <c r="E197" s="10">
        <v>45358</v>
      </c>
      <c r="F197" s="1" t="s">
        <v>130</v>
      </c>
      <c r="G197" s="1" t="s">
        <v>130</v>
      </c>
      <c r="H197" s="1" t="s">
        <v>130</v>
      </c>
    </row>
    <row r="198" spans="1:8" hidden="1" x14ac:dyDescent="0.35">
      <c r="A198" s="1" t="s">
        <v>18</v>
      </c>
      <c r="B198" s="2" t="s">
        <v>61</v>
      </c>
      <c r="C198" s="2" t="s">
        <v>131</v>
      </c>
      <c r="D198" s="1" t="str">
        <f t="shared" si="3"/>
        <v>NCL_3-24_2</v>
      </c>
      <c r="E198" s="10">
        <v>45358</v>
      </c>
      <c r="F198" s="1" t="s">
        <v>130</v>
      </c>
      <c r="G198" s="1" t="s">
        <v>130</v>
      </c>
      <c r="H198" s="1" t="s">
        <v>130</v>
      </c>
    </row>
    <row r="199" spans="1:8" hidden="1" x14ac:dyDescent="0.35">
      <c r="A199" s="1" t="s">
        <v>19</v>
      </c>
      <c r="B199" s="2" t="s">
        <v>61</v>
      </c>
      <c r="C199" s="2" t="s">
        <v>131</v>
      </c>
      <c r="D199" s="1" t="str">
        <f t="shared" si="3"/>
        <v>CP_3-24_2</v>
      </c>
      <c r="E199" s="10">
        <v>45358</v>
      </c>
      <c r="F199" s="1" t="s">
        <v>130</v>
      </c>
      <c r="G199" s="1" t="s">
        <v>130</v>
      </c>
      <c r="H199" s="1" t="s">
        <v>130</v>
      </c>
    </row>
    <row r="200" spans="1:8" hidden="1" x14ac:dyDescent="0.35">
      <c r="A200" s="1" t="s">
        <v>20</v>
      </c>
      <c r="B200" s="2" t="s">
        <v>61</v>
      </c>
      <c r="C200" s="2" t="s">
        <v>131</v>
      </c>
      <c r="D200" s="1" t="str">
        <f t="shared" si="3"/>
        <v>EP146_3-24_2</v>
      </c>
      <c r="E200" s="10">
        <v>45358</v>
      </c>
      <c r="F200" s="1" t="s">
        <v>130</v>
      </c>
      <c r="G200" s="1" t="s">
        <v>130</v>
      </c>
      <c r="H200" s="1" t="s">
        <v>130</v>
      </c>
    </row>
    <row r="201" spans="1:8" hidden="1" x14ac:dyDescent="0.35">
      <c r="A201" s="1" t="s">
        <v>21</v>
      </c>
      <c r="B201" s="2" t="s">
        <v>61</v>
      </c>
      <c r="C201" s="2" t="s">
        <v>131</v>
      </c>
      <c r="D201" s="1" t="str">
        <f t="shared" si="3"/>
        <v>OL_3-24_2</v>
      </c>
      <c r="E201" s="10">
        <v>45358</v>
      </c>
      <c r="F201" s="1" t="s">
        <v>130</v>
      </c>
      <c r="G201" s="1" t="s">
        <v>130</v>
      </c>
      <c r="H201" s="1" t="s">
        <v>130</v>
      </c>
    </row>
    <row r="202" spans="1:8" hidden="1" x14ac:dyDescent="0.35">
      <c r="A202" s="1" t="s">
        <v>57</v>
      </c>
      <c r="B202" s="2" t="s">
        <v>61</v>
      </c>
      <c r="C202" s="2" t="s">
        <v>131</v>
      </c>
      <c r="D202" s="1" t="str">
        <f t="shared" si="3"/>
        <v>TSH_3-24_2</v>
      </c>
      <c r="E202" s="10">
        <v>45358</v>
      </c>
      <c r="F202" s="1" t="s">
        <v>130</v>
      </c>
      <c r="G202" s="1" t="s">
        <v>130</v>
      </c>
      <c r="H202" s="1" t="s">
        <v>130</v>
      </c>
    </row>
    <row r="203" spans="1:8" hidden="1" x14ac:dyDescent="0.35">
      <c r="A203" s="1" t="s">
        <v>22</v>
      </c>
      <c r="B203" s="2" t="s">
        <v>61</v>
      </c>
      <c r="C203" s="2" t="s">
        <v>131</v>
      </c>
      <c r="D203" s="1" t="str">
        <f t="shared" si="3"/>
        <v>R127_3-24_2</v>
      </c>
      <c r="E203" s="10">
        <v>45358</v>
      </c>
      <c r="F203" s="1" t="s">
        <v>130</v>
      </c>
      <c r="G203" s="1" t="s">
        <v>130</v>
      </c>
      <c r="H203" s="1" t="s">
        <v>130</v>
      </c>
    </row>
    <row r="204" spans="1:8" x14ac:dyDescent="0.35">
      <c r="A204" s="1" t="s">
        <v>34</v>
      </c>
      <c r="B204" s="2" t="s">
        <v>62</v>
      </c>
      <c r="C204" s="2" t="s">
        <v>129</v>
      </c>
      <c r="D204" s="1" t="str">
        <f t="shared" si="3"/>
        <v>MCS1_4-24_1</v>
      </c>
      <c r="E204" s="10">
        <v>45390</v>
      </c>
      <c r="F204" s="1">
        <v>50</v>
      </c>
      <c r="G204" s="10">
        <v>45602</v>
      </c>
      <c r="H204" s="1">
        <v>8.17</v>
      </c>
    </row>
    <row r="205" spans="1:8" x14ac:dyDescent="0.35">
      <c r="A205" s="1" t="s">
        <v>35</v>
      </c>
      <c r="B205" s="2" t="s">
        <v>62</v>
      </c>
      <c r="C205" s="2" t="s">
        <v>129</v>
      </c>
      <c r="D205" s="1" t="str">
        <f t="shared" si="3"/>
        <v>MCS2_4-24_1</v>
      </c>
      <c r="E205" s="10">
        <v>45390</v>
      </c>
      <c r="F205" s="1">
        <v>50</v>
      </c>
      <c r="G205" s="10">
        <v>45602</v>
      </c>
      <c r="H205" s="1">
        <v>26.73</v>
      </c>
    </row>
    <row r="206" spans="1:8" x14ac:dyDescent="0.35">
      <c r="A206" s="1" t="s">
        <v>36</v>
      </c>
      <c r="B206" s="2" t="s">
        <v>62</v>
      </c>
      <c r="C206" s="2" t="s">
        <v>129</v>
      </c>
      <c r="D206" s="1" t="str">
        <f t="shared" si="3"/>
        <v>MCS3_4-24_1</v>
      </c>
      <c r="E206" s="10">
        <v>45390</v>
      </c>
      <c r="F206" s="1">
        <v>50</v>
      </c>
      <c r="G206" s="10">
        <v>45602</v>
      </c>
      <c r="H206" s="1">
        <v>18.149999999999999</v>
      </c>
    </row>
    <row r="207" spans="1:8" x14ac:dyDescent="0.35">
      <c r="A207" s="1" t="s">
        <v>37</v>
      </c>
      <c r="B207" s="2" t="s">
        <v>62</v>
      </c>
      <c r="C207" s="2" t="s">
        <v>129</v>
      </c>
      <c r="D207" s="1" t="str">
        <f t="shared" si="3"/>
        <v>MCS4_4-24_1</v>
      </c>
      <c r="E207" s="10">
        <v>45390</v>
      </c>
      <c r="F207" s="1">
        <v>48</v>
      </c>
      <c r="G207" s="10">
        <v>45602</v>
      </c>
      <c r="H207" s="1">
        <v>22.51</v>
      </c>
    </row>
    <row r="208" spans="1:8" x14ac:dyDescent="0.35">
      <c r="A208" s="1" t="s">
        <v>38</v>
      </c>
      <c r="B208" s="2" t="s">
        <v>62</v>
      </c>
      <c r="C208" s="2" t="s">
        <v>129</v>
      </c>
      <c r="D208" s="1" t="str">
        <f t="shared" si="3"/>
        <v>TBHM_4-24_1</v>
      </c>
      <c r="E208" s="10">
        <v>45390</v>
      </c>
      <c r="F208" s="1">
        <v>28</v>
      </c>
      <c r="G208" s="10">
        <v>45602</v>
      </c>
      <c r="H208" s="1">
        <v>13.47</v>
      </c>
    </row>
    <row r="209" spans="1:8" x14ac:dyDescent="0.35">
      <c r="A209" s="1" t="s">
        <v>50</v>
      </c>
      <c r="B209" s="2" t="s">
        <v>62</v>
      </c>
      <c r="C209" s="2" t="s">
        <v>129</v>
      </c>
      <c r="D209" s="1" t="str">
        <f t="shared" si="3"/>
        <v>TBC_4-24_1</v>
      </c>
      <c r="E209" s="10">
        <v>45390</v>
      </c>
      <c r="F209" s="1">
        <v>50</v>
      </c>
      <c r="G209" s="10">
        <v>45602</v>
      </c>
      <c r="H209" s="1">
        <v>16.77</v>
      </c>
    </row>
    <row r="210" spans="1:8" hidden="1" x14ac:dyDescent="0.35">
      <c r="A210" s="1" t="s">
        <v>39</v>
      </c>
      <c r="B210" s="2" t="s">
        <v>62</v>
      </c>
      <c r="C210" s="2" t="s">
        <v>129</v>
      </c>
      <c r="D210" s="1" t="str">
        <f t="shared" si="3"/>
        <v>TBCM_4-24_1</v>
      </c>
      <c r="E210" s="10">
        <v>45390</v>
      </c>
      <c r="F210" s="1">
        <v>50</v>
      </c>
      <c r="G210" s="10"/>
    </row>
    <row r="211" spans="1:8" x14ac:dyDescent="0.35">
      <c r="A211" s="1" t="s">
        <v>40</v>
      </c>
      <c r="B211" s="2" t="s">
        <v>62</v>
      </c>
      <c r="C211" s="2" t="s">
        <v>129</v>
      </c>
      <c r="D211" s="1" t="str">
        <f t="shared" si="3"/>
        <v>TB1_4-24_1</v>
      </c>
      <c r="E211" s="10">
        <v>45390</v>
      </c>
      <c r="F211" s="1">
        <v>52</v>
      </c>
      <c r="G211" s="10">
        <v>45602</v>
      </c>
      <c r="H211" s="1">
        <v>14.74</v>
      </c>
    </row>
    <row r="212" spans="1:8" x14ac:dyDescent="0.35">
      <c r="A212" s="1" t="s">
        <v>41</v>
      </c>
      <c r="B212" s="2" t="s">
        <v>62</v>
      </c>
      <c r="C212" s="2" t="s">
        <v>129</v>
      </c>
      <c r="D212" s="1" t="str">
        <f t="shared" si="3"/>
        <v>TB2_4-24_1</v>
      </c>
      <c r="E212" s="10">
        <v>45390</v>
      </c>
      <c r="F212" s="1">
        <v>50</v>
      </c>
      <c r="G212" s="10">
        <v>45602</v>
      </c>
      <c r="H212" s="1">
        <v>1.64</v>
      </c>
    </row>
    <row r="213" spans="1:8" x14ac:dyDescent="0.35">
      <c r="A213" s="1" t="s">
        <v>34</v>
      </c>
      <c r="B213" s="2" t="s">
        <v>62</v>
      </c>
      <c r="C213" s="2" t="s">
        <v>131</v>
      </c>
      <c r="D213" s="1" t="str">
        <f t="shared" si="3"/>
        <v>MCS1_4-24_2</v>
      </c>
      <c r="E213" s="10">
        <v>45390</v>
      </c>
      <c r="F213" s="1">
        <v>50</v>
      </c>
      <c r="G213" s="10">
        <v>45602</v>
      </c>
      <c r="H213" s="1">
        <v>17.52</v>
      </c>
    </row>
    <row r="214" spans="1:8" x14ac:dyDescent="0.35">
      <c r="A214" s="1" t="s">
        <v>35</v>
      </c>
      <c r="B214" s="2" t="s">
        <v>62</v>
      </c>
      <c r="C214" s="2" t="s">
        <v>131</v>
      </c>
      <c r="D214" s="1" t="str">
        <f t="shared" si="3"/>
        <v>MCS2_4-24_2</v>
      </c>
      <c r="E214" s="10">
        <v>45390</v>
      </c>
      <c r="F214" s="1">
        <v>50</v>
      </c>
      <c r="G214" s="10">
        <v>45602</v>
      </c>
      <c r="H214" s="1">
        <v>26.89</v>
      </c>
    </row>
    <row r="215" spans="1:8" x14ac:dyDescent="0.35">
      <c r="A215" s="1" t="s">
        <v>36</v>
      </c>
      <c r="B215" s="2" t="s">
        <v>62</v>
      </c>
      <c r="C215" s="2" t="s">
        <v>131</v>
      </c>
      <c r="D215" s="1" t="str">
        <f t="shared" si="3"/>
        <v>MCS3_4-24_2</v>
      </c>
      <c r="E215" s="10">
        <v>45390</v>
      </c>
      <c r="F215" s="1">
        <v>50</v>
      </c>
      <c r="G215" s="10">
        <v>45602</v>
      </c>
      <c r="H215" s="1">
        <v>18.329999999999998</v>
      </c>
    </row>
    <row r="216" spans="1:8" x14ac:dyDescent="0.35">
      <c r="A216" s="1" t="s">
        <v>37</v>
      </c>
      <c r="B216" s="2" t="s">
        <v>62</v>
      </c>
      <c r="C216" s="2" t="s">
        <v>131</v>
      </c>
      <c r="D216" s="1" t="str">
        <f t="shared" si="3"/>
        <v>MCS4_4-24_2</v>
      </c>
      <c r="E216" s="10">
        <v>45390</v>
      </c>
      <c r="F216" s="1">
        <v>50</v>
      </c>
      <c r="G216" s="10">
        <v>45602</v>
      </c>
      <c r="H216" s="1">
        <v>25.22</v>
      </c>
    </row>
    <row r="217" spans="1:8" x14ac:dyDescent="0.35">
      <c r="A217" s="1" t="s">
        <v>38</v>
      </c>
      <c r="B217" s="2" t="s">
        <v>62</v>
      </c>
      <c r="C217" s="2" t="s">
        <v>131</v>
      </c>
      <c r="D217" s="1" t="str">
        <f t="shared" si="3"/>
        <v>TBHM_4-24_2</v>
      </c>
      <c r="E217" s="10">
        <v>45390</v>
      </c>
      <c r="F217" s="1">
        <v>22</v>
      </c>
      <c r="G217" s="10">
        <v>45602</v>
      </c>
      <c r="H217" s="1">
        <v>15.24</v>
      </c>
    </row>
    <row r="218" spans="1:8" x14ac:dyDescent="0.35">
      <c r="A218" s="1" t="s">
        <v>50</v>
      </c>
      <c r="B218" s="2" t="s">
        <v>62</v>
      </c>
      <c r="C218" s="2" t="s">
        <v>131</v>
      </c>
      <c r="D218" s="1" t="str">
        <f t="shared" si="3"/>
        <v>TBC_4-24_2</v>
      </c>
      <c r="E218" s="10">
        <v>45390</v>
      </c>
      <c r="F218" s="1">
        <v>53</v>
      </c>
      <c r="G218" s="10">
        <v>45602</v>
      </c>
      <c r="H218" s="1">
        <v>19.059999999999999</v>
      </c>
    </row>
    <row r="219" spans="1:8" hidden="1" x14ac:dyDescent="0.35">
      <c r="A219" s="1" t="s">
        <v>39</v>
      </c>
      <c r="B219" s="2" t="s">
        <v>62</v>
      </c>
      <c r="C219" s="2" t="s">
        <v>131</v>
      </c>
      <c r="D219" s="1" t="str">
        <f t="shared" si="3"/>
        <v>TBCM_4-24_2</v>
      </c>
      <c r="E219" s="10">
        <v>45390</v>
      </c>
      <c r="F219" s="1">
        <v>52</v>
      </c>
      <c r="G219" s="10"/>
    </row>
    <row r="220" spans="1:8" x14ac:dyDescent="0.35">
      <c r="A220" s="1" t="s">
        <v>40</v>
      </c>
      <c r="B220" s="2" t="s">
        <v>62</v>
      </c>
      <c r="C220" s="2" t="s">
        <v>131</v>
      </c>
      <c r="D220" s="1" t="str">
        <f t="shared" si="3"/>
        <v>TB1_4-24_2</v>
      </c>
      <c r="E220" s="10">
        <v>45390</v>
      </c>
      <c r="F220" s="1">
        <v>50</v>
      </c>
      <c r="G220" s="10">
        <v>45602</v>
      </c>
      <c r="H220" s="1">
        <v>16.18</v>
      </c>
    </row>
    <row r="221" spans="1:8" x14ac:dyDescent="0.35">
      <c r="A221" s="1" t="s">
        <v>41</v>
      </c>
      <c r="B221" s="2" t="s">
        <v>62</v>
      </c>
      <c r="C221" s="2" t="s">
        <v>131</v>
      </c>
      <c r="D221" s="1" t="str">
        <f t="shared" si="3"/>
        <v>TB2_4-24_2</v>
      </c>
      <c r="E221" s="10">
        <v>45390</v>
      </c>
      <c r="F221" s="1">
        <v>50</v>
      </c>
      <c r="G221" s="10">
        <v>45602</v>
      </c>
      <c r="H221" s="1">
        <v>1.66</v>
      </c>
    </row>
    <row r="222" spans="1:8" hidden="1" x14ac:dyDescent="0.35">
      <c r="A222" s="1" t="s">
        <v>44</v>
      </c>
      <c r="B222" s="2" t="s">
        <v>62</v>
      </c>
      <c r="C222" s="2" t="s">
        <v>129</v>
      </c>
      <c r="D222" s="1" t="str">
        <f t="shared" si="3"/>
        <v>TSM1_4-24_1</v>
      </c>
      <c r="E222" s="10">
        <v>45391</v>
      </c>
      <c r="F222" s="1" t="s">
        <v>130</v>
      </c>
      <c r="G222" s="1" t="s">
        <v>130</v>
      </c>
      <c r="H222" s="1" t="s">
        <v>130</v>
      </c>
    </row>
    <row r="223" spans="1:8" hidden="1" x14ac:dyDescent="0.35">
      <c r="A223" s="1" t="s">
        <v>45</v>
      </c>
      <c r="B223" s="2" t="s">
        <v>62</v>
      </c>
      <c r="C223" s="2" t="s">
        <v>129</v>
      </c>
      <c r="D223" s="1" t="str">
        <f t="shared" si="3"/>
        <v>TSM3_4-24_1</v>
      </c>
      <c r="E223" s="10">
        <v>45391</v>
      </c>
      <c r="F223" s="1" t="s">
        <v>130</v>
      </c>
      <c r="G223" s="1" t="s">
        <v>130</v>
      </c>
      <c r="H223" s="1" t="s">
        <v>130</v>
      </c>
    </row>
    <row r="224" spans="1:8" hidden="1" x14ac:dyDescent="0.35">
      <c r="A224" s="1" t="s">
        <v>46</v>
      </c>
      <c r="B224" s="2" t="s">
        <v>62</v>
      </c>
      <c r="C224" s="2" t="s">
        <v>129</v>
      </c>
      <c r="D224" s="1" t="str">
        <f t="shared" si="3"/>
        <v>TSM4_4-24_1</v>
      </c>
      <c r="E224" s="10">
        <v>45391</v>
      </c>
      <c r="F224" s="1" t="s">
        <v>130</v>
      </c>
      <c r="G224" s="1" t="s">
        <v>130</v>
      </c>
      <c r="H224" s="1" t="s">
        <v>130</v>
      </c>
    </row>
    <row r="225" spans="1:8" hidden="1" x14ac:dyDescent="0.35">
      <c r="A225" s="1" t="s">
        <v>47</v>
      </c>
      <c r="B225" s="2" t="s">
        <v>62</v>
      </c>
      <c r="C225" s="2" t="s">
        <v>129</v>
      </c>
      <c r="D225" s="1" t="str">
        <f t="shared" si="3"/>
        <v>SBT1_4-24_1</v>
      </c>
      <c r="E225" s="10">
        <v>45391</v>
      </c>
      <c r="F225" s="1">
        <v>51</v>
      </c>
      <c r="G225" s="10"/>
    </row>
    <row r="226" spans="1:8" hidden="1" x14ac:dyDescent="0.35">
      <c r="A226" s="1" t="s">
        <v>44</v>
      </c>
      <c r="B226" s="2" t="s">
        <v>62</v>
      </c>
      <c r="C226" s="2" t="s">
        <v>131</v>
      </c>
      <c r="D226" s="1" t="str">
        <f t="shared" si="3"/>
        <v>TSM1_4-24_2</v>
      </c>
      <c r="E226" s="10">
        <v>45391</v>
      </c>
      <c r="F226" s="1" t="s">
        <v>130</v>
      </c>
      <c r="G226" s="1" t="s">
        <v>130</v>
      </c>
      <c r="H226" s="1" t="s">
        <v>130</v>
      </c>
    </row>
    <row r="227" spans="1:8" hidden="1" x14ac:dyDescent="0.35">
      <c r="A227" s="1" t="s">
        <v>45</v>
      </c>
      <c r="B227" s="2" t="s">
        <v>62</v>
      </c>
      <c r="C227" s="2" t="s">
        <v>131</v>
      </c>
      <c r="D227" s="1" t="str">
        <f t="shared" si="3"/>
        <v>TSM3_4-24_2</v>
      </c>
      <c r="E227" s="10">
        <v>45391</v>
      </c>
      <c r="F227" s="1" t="s">
        <v>130</v>
      </c>
      <c r="G227" s="1" t="s">
        <v>130</v>
      </c>
      <c r="H227" s="1" t="s">
        <v>130</v>
      </c>
    </row>
    <row r="228" spans="1:8" hidden="1" x14ac:dyDescent="0.35">
      <c r="A228" s="1" t="s">
        <v>46</v>
      </c>
      <c r="B228" s="2" t="s">
        <v>62</v>
      </c>
      <c r="C228" s="2" t="s">
        <v>131</v>
      </c>
      <c r="D228" s="1" t="str">
        <f t="shared" si="3"/>
        <v>TSM4_4-24_2</v>
      </c>
      <c r="E228" s="10">
        <v>45391</v>
      </c>
      <c r="F228" s="1" t="s">
        <v>130</v>
      </c>
      <c r="G228" s="1" t="s">
        <v>130</v>
      </c>
      <c r="H228" s="1" t="s">
        <v>130</v>
      </c>
    </row>
    <row r="229" spans="1:8" hidden="1" x14ac:dyDescent="0.35">
      <c r="A229" s="1" t="s">
        <v>47</v>
      </c>
      <c r="B229" s="2" t="s">
        <v>62</v>
      </c>
      <c r="C229" s="2" t="s">
        <v>131</v>
      </c>
      <c r="D229" s="1" t="str">
        <f t="shared" si="3"/>
        <v>SBT1_4-24_2</v>
      </c>
      <c r="E229" s="10">
        <v>45391</v>
      </c>
      <c r="F229" s="1">
        <v>52</v>
      </c>
      <c r="G229" s="10"/>
    </row>
    <row r="230" spans="1:8" x14ac:dyDescent="0.35">
      <c r="A230" s="1" t="s">
        <v>23</v>
      </c>
      <c r="B230" s="2" t="s">
        <v>62</v>
      </c>
      <c r="C230" s="2" t="s">
        <v>129</v>
      </c>
      <c r="D230" s="1" t="str">
        <f t="shared" si="3"/>
        <v>ACS1_4-24_1</v>
      </c>
      <c r="E230" s="10">
        <v>45392</v>
      </c>
      <c r="F230" s="1">
        <v>5</v>
      </c>
      <c r="G230" s="10">
        <v>45602</v>
      </c>
      <c r="H230" s="1">
        <v>28.1</v>
      </c>
    </row>
    <row r="231" spans="1:8" x14ac:dyDescent="0.35">
      <c r="A231" s="1" t="s">
        <v>24</v>
      </c>
      <c r="B231" s="2" t="s">
        <v>62</v>
      </c>
      <c r="C231" s="2" t="s">
        <v>129</v>
      </c>
      <c r="D231" s="1" t="str">
        <f t="shared" si="3"/>
        <v>ACS2_4-24_1</v>
      </c>
      <c r="E231" s="10">
        <v>45392</v>
      </c>
      <c r="F231" s="1">
        <v>20</v>
      </c>
      <c r="G231" s="10">
        <v>45602</v>
      </c>
      <c r="H231" s="1">
        <v>28.52</v>
      </c>
    </row>
    <row r="232" spans="1:8" x14ac:dyDescent="0.35">
      <c r="A232" s="1">
        <v>30.97</v>
      </c>
      <c r="B232" s="2" t="s">
        <v>62</v>
      </c>
      <c r="C232" s="2" t="s">
        <v>129</v>
      </c>
      <c r="D232" s="1" t="str">
        <f t="shared" si="3"/>
        <v>30.97_4-24_1</v>
      </c>
      <c r="E232" s="10">
        <v>45392</v>
      </c>
      <c r="F232" s="1">
        <v>17</v>
      </c>
      <c r="G232" s="10">
        <v>45602</v>
      </c>
      <c r="H232" s="1">
        <v>30.97</v>
      </c>
    </row>
    <row r="233" spans="1:8" x14ac:dyDescent="0.35">
      <c r="A233" s="1" t="s">
        <v>26</v>
      </c>
      <c r="B233" s="2" t="s">
        <v>62</v>
      </c>
      <c r="C233" s="2" t="s">
        <v>129</v>
      </c>
      <c r="D233" s="1" t="str">
        <f t="shared" si="3"/>
        <v>ACS4_4-24_1</v>
      </c>
      <c r="E233" s="10">
        <v>45392</v>
      </c>
      <c r="F233" s="1">
        <v>20</v>
      </c>
      <c r="G233" s="10">
        <v>45602</v>
      </c>
      <c r="H233" s="1">
        <v>51.02</v>
      </c>
    </row>
    <row r="234" spans="1:8" x14ac:dyDescent="0.35">
      <c r="A234" s="1" t="s">
        <v>27</v>
      </c>
      <c r="B234" s="2" t="s">
        <v>62</v>
      </c>
      <c r="C234" s="2" t="s">
        <v>129</v>
      </c>
      <c r="D234" s="1" t="str">
        <f t="shared" si="3"/>
        <v>ACS5_4-24_1</v>
      </c>
      <c r="E234" s="10">
        <v>45392</v>
      </c>
      <c r="F234" s="1">
        <v>30</v>
      </c>
      <c r="G234" s="10">
        <v>45602</v>
      </c>
      <c r="H234" s="1">
        <v>33.15</v>
      </c>
    </row>
    <row r="235" spans="1:8" hidden="1" x14ac:dyDescent="0.35">
      <c r="A235" s="1" t="s">
        <v>28</v>
      </c>
      <c r="B235" s="2" t="s">
        <v>62</v>
      </c>
      <c r="C235" s="2" t="s">
        <v>129</v>
      </c>
      <c r="D235" s="1" t="str">
        <f t="shared" si="3"/>
        <v>GBHM_4-24_1</v>
      </c>
      <c r="E235" s="10">
        <v>45392</v>
      </c>
      <c r="F235" s="1" t="s">
        <v>130</v>
      </c>
      <c r="G235" s="10">
        <v>45602</v>
      </c>
    </row>
    <row r="236" spans="1:8" x14ac:dyDescent="0.35">
      <c r="A236" s="1" t="s">
        <v>29</v>
      </c>
      <c r="B236" s="2" t="s">
        <v>62</v>
      </c>
      <c r="C236" s="2" t="s">
        <v>129</v>
      </c>
      <c r="D236" s="1" t="str">
        <f t="shared" si="3"/>
        <v>DC1_4-24_1</v>
      </c>
      <c r="E236" s="10">
        <v>45392</v>
      </c>
      <c r="F236" s="1">
        <v>28</v>
      </c>
      <c r="G236" s="10">
        <v>45602</v>
      </c>
      <c r="H236" s="1">
        <v>54.16</v>
      </c>
    </row>
    <row r="237" spans="1:8" x14ac:dyDescent="0.35">
      <c r="A237" s="1" t="s">
        <v>30</v>
      </c>
      <c r="B237" s="2" t="s">
        <v>62</v>
      </c>
      <c r="C237" s="2" t="s">
        <v>129</v>
      </c>
      <c r="D237" s="1" t="str">
        <f t="shared" si="3"/>
        <v>DCM1_4-24_1</v>
      </c>
      <c r="E237" s="10">
        <v>45392</v>
      </c>
      <c r="F237" s="1">
        <v>48</v>
      </c>
      <c r="G237" s="10">
        <v>45602</v>
      </c>
      <c r="H237" s="1">
        <v>25.69</v>
      </c>
    </row>
    <row r="238" spans="1:8" x14ac:dyDescent="0.35">
      <c r="A238" s="1" t="s">
        <v>31</v>
      </c>
      <c r="B238" s="2" t="s">
        <v>62</v>
      </c>
      <c r="C238" s="2" t="s">
        <v>129</v>
      </c>
      <c r="D238" s="1" t="str">
        <f t="shared" si="3"/>
        <v>DC2_4-24_1</v>
      </c>
      <c r="E238" s="10">
        <v>45392</v>
      </c>
      <c r="F238" s="1">
        <v>50</v>
      </c>
      <c r="G238" s="10">
        <v>45602</v>
      </c>
      <c r="H238" s="1">
        <v>37.78</v>
      </c>
    </row>
    <row r="239" spans="1:8" hidden="1" x14ac:dyDescent="0.35">
      <c r="A239" s="1" t="s">
        <v>32</v>
      </c>
      <c r="B239" s="2" t="s">
        <v>62</v>
      </c>
      <c r="C239" s="2" t="s">
        <v>129</v>
      </c>
      <c r="D239" s="1" t="str">
        <f t="shared" si="3"/>
        <v>DCM2_4-24_1</v>
      </c>
      <c r="E239" s="10">
        <v>45392</v>
      </c>
      <c r="F239" s="1" t="s">
        <v>130</v>
      </c>
      <c r="G239" s="10">
        <v>45602</v>
      </c>
    </row>
    <row r="240" spans="1:8" hidden="1" x14ac:dyDescent="0.35">
      <c r="A240" s="1" t="s">
        <v>33</v>
      </c>
      <c r="B240" s="2" t="s">
        <v>62</v>
      </c>
      <c r="C240" s="2" t="s">
        <v>129</v>
      </c>
      <c r="D240" s="1" t="str">
        <f t="shared" si="3"/>
        <v>GB1_4-24_1</v>
      </c>
      <c r="E240" s="10">
        <v>45392</v>
      </c>
      <c r="F240" s="1">
        <v>51</v>
      </c>
      <c r="G240" s="10"/>
    </row>
    <row r="241" spans="1:8" x14ac:dyDescent="0.35">
      <c r="A241" s="1" t="s">
        <v>23</v>
      </c>
      <c r="B241" s="2" t="s">
        <v>62</v>
      </c>
      <c r="C241" s="2" t="s">
        <v>131</v>
      </c>
      <c r="D241" s="1" t="str">
        <f t="shared" si="3"/>
        <v>ACS1_4-24_2</v>
      </c>
      <c r="E241" s="10">
        <v>45392</v>
      </c>
      <c r="F241" s="1">
        <v>11</v>
      </c>
      <c r="G241" s="10">
        <v>45602</v>
      </c>
      <c r="H241" s="1">
        <v>25.49</v>
      </c>
    </row>
    <row r="242" spans="1:8" hidden="1" x14ac:dyDescent="0.35">
      <c r="A242" s="1" t="s">
        <v>24</v>
      </c>
      <c r="B242" s="2" t="s">
        <v>62</v>
      </c>
      <c r="C242" s="2" t="s">
        <v>131</v>
      </c>
      <c r="D242" s="1" t="str">
        <f t="shared" si="3"/>
        <v>ACS2_4-24_2</v>
      </c>
      <c r="E242" s="10">
        <v>45392</v>
      </c>
      <c r="F242" s="1" t="s">
        <v>130</v>
      </c>
      <c r="G242" s="10"/>
    </row>
    <row r="243" spans="1:8" x14ac:dyDescent="0.35">
      <c r="A243" s="1" t="s">
        <v>25</v>
      </c>
      <c r="B243" s="2" t="s">
        <v>62</v>
      </c>
      <c r="C243" s="2" t="s">
        <v>131</v>
      </c>
      <c r="D243" s="1" t="str">
        <f t="shared" si="3"/>
        <v>ACS3_4-24_2</v>
      </c>
      <c r="E243" s="10">
        <v>45392</v>
      </c>
      <c r="F243" s="1">
        <v>20</v>
      </c>
      <c r="G243" s="10">
        <v>45602</v>
      </c>
      <c r="H243" s="1">
        <v>29.72</v>
      </c>
    </row>
    <row r="244" spans="1:8" x14ac:dyDescent="0.35">
      <c r="A244" s="1" t="s">
        <v>26</v>
      </c>
      <c r="B244" s="2" t="s">
        <v>62</v>
      </c>
      <c r="C244" s="2" t="s">
        <v>131</v>
      </c>
      <c r="D244" s="1" t="str">
        <f t="shared" si="3"/>
        <v>ACS4_4-24_2</v>
      </c>
      <c r="E244" s="10">
        <v>45392</v>
      </c>
      <c r="F244" s="1">
        <v>20</v>
      </c>
      <c r="G244" s="10">
        <v>45602</v>
      </c>
      <c r="H244" s="1">
        <v>60.02</v>
      </c>
    </row>
    <row r="245" spans="1:8" x14ac:dyDescent="0.35">
      <c r="A245" s="1" t="s">
        <v>27</v>
      </c>
      <c r="B245" s="2" t="s">
        <v>62</v>
      </c>
      <c r="C245" s="2" t="s">
        <v>131</v>
      </c>
      <c r="D245" s="1" t="str">
        <f t="shared" si="3"/>
        <v>ACS5_4-24_2</v>
      </c>
      <c r="E245" s="10">
        <v>45392</v>
      </c>
      <c r="F245" s="1">
        <v>24</v>
      </c>
      <c r="G245" s="10">
        <v>45602</v>
      </c>
      <c r="H245" s="1">
        <v>46.73</v>
      </c>
    </row>
    <row r="246" spans="1:8" hidden="1" x14ac:dyDescent="0.35">
      <c r="A246" s="1" t="s">
        <v>28</v>
      </c>
      <c r="B246" s="2" t="s">
        <v>62</v>
      </c>
      <c r="C246" s="2" t="s">
        <v>131</v>
      </c>
      <c r="D246" s="1" t="str">
        <f t="shared" si="3"/>
        <v>GBHM_4-24_2</v>
      </c>
      <c r="E246" s="10">
        <v>45392</v>
      </c>
      <c r="F246" s="1" t="s">
        <v>130</v>
      </c>
      <c r="G246" s="10"/>
    </row>
    <row r="247" spans="1:8" x14ac:dyDescent="0.35">
      <c r="A247" s="1" t="s">
        <v>29</v>
      </c>
      <c r="B247" s="2" t="s">
        <v>62</v>
      </c>
      <c r="C247" s="2" t="s">
        <v>131</v>
      </c>
      <c r="D247" s="1" t="str">
        <f t="shared" si="3"/>
        <v>DC1_4-24_2</v>
      </c>
      <c r="E247" s="10">
        <v>45392</v>
      </c>
      <c r="F247" s="1">
        <v>28</v>
      </c>
      <c r="G247" s="10">
        <v>45602</v>
      </c>
      <c r="H247" s="1">
        <v>43.07</v>
      </c>
    </row>
    <row r="248" spans="1:8" x14ac:dyDescent="0.35">
      <c r="A248" s="1" t="s">
        <v>30</v>
      </c>
      <c r="B248" s="2" t="s">
        <v>62</v>
      </c>
      <c r="C248" s="2" t="s">
        <v>131</v>
      </c>
      <c r="D248" s="1" t="str">
        <f t="shared" si="3"/>
        <v>DCM1_4-24_2</v>
      </c>
      <c r="E248" s="10">
        <v>45392</v>
      </c>
      <c r="F248" s="1">
        <v>50</v>
      </c>
      <c r="G248" s="10">
        <v>45602</v>
      </c>
      <c r="H248" s="1">
        <v>30.69</v>
      </c>
    </row>
    <row r="249" spans="1:8" x14ac:dyDescent="0.35">
      <c r="A249" s="1" t="s">
        <v>31</v>
      </c>
      <c r="B249" s="2" t="s">
        <v>62</v>
      </c>
      <c r="C249" s="2" t="s">
        <v>131</v>
      </c>
      <c r="D249" s="1" t="str">
        <f t="shared" si="3"/>
        <v>DC2_4-24_2</v>
      </c>
      <c r="E249" s="10">
        <v>45392</v>
      </c>
      <c r="F249" s="1">
        <v>52</v>
      </c>
      <c r="G249" s="10">
        <v>45602</v>
      </c>
      <c r="H249" s="1">
        <v>36.630000000000003</v>
      </c>
    </row>
    <row r="250" spans="1:8" hidden="1" x14ac:dyDescent="0.35">
      <c r="A250" s="1" t="s">
        <v>32</v>
      </c>
      <c r="B250" s="2" t="s">
        <v>62</v>
      </c>
      <c r="C250" s="2" t="s">
        <v>131</v>
      </c>
      <c r="D250" s="1" t="str">
        <f t="shared" si="3"/>
        <v>DCM2_4-24_2</v>
      </c>
      <c r="E250" s="10">
        <v>45392</v>
      </c>
      <c r="F250" s="1" t="s">
        <v>130</v>
      </c>
      <c r="G250" s="10"/>
    </row>
    <row r="251" spans="1:8" hidden="1" x14ac:dyDescent="0.35">
      <c r="A251" s="1" t="s">
        <v>33</v>
      </c>
      <c r="B251" s="2" t="s">
        <v>62</v>
      </c>
      <c r="C251" s="2" t="s">
        <v>131</v>
      </c>
      <c r="D251" s="1" t="str">
        <f t="shared" si="3"/>
        <v>GB1_4-24_2</v>
      </c>
      <c r="E251" s="10">
        <v>45392</v>
      </c>
      <c r="F251" s="1">
        <v>50</v>
      </c>
      <c r="G251" s="10"/>
    </row>
    <row r="252" spans="1:8" x14ac:dyDescent="0.35">
      <c r="A252" s="1" t="s">
        <v>48</v>
      </c>
      <c r="B252" s="2" t="s">
        <v>62</v>
      </c>
      <c r="C252" s="2" t="s">
        <v>129</v>
      </c>
      <c r="D252" s="1" t="str">
        <f t="shared" si="3"/>
        <v>SBT2_4-24_1</v>
      </c>
      <c r="E252" s="10">
        <v>45393</v>
      </c>
      <c r="F252" s="1">
        <v>52</v>
      </c>
      <c r="G252" s="10">
        <v>45602</v>
      </c>
      <c r="H252" s="1">
        <v>14.9</v>
      </c>
    </row>
    <row r="253" spans="1:8" x14ac:dyDescent="0.35">
      <c r="A253" s="1" t="s">
        <v>42</v>
      </c>
      <c r="B253" s="2" t="s">
        <v>62</v>
      </c>
      <c r="C253" s="2" t="s">
        <v>129</v>
      </c>
      <c r="D253" s="1" t="str">
        <f t="shared" si="3"/>
        <v>GB2_4-24_1</v>
      </c>
      <c r="E253" s="10">
        <v>45393</v>
      </c>
      <c r="F253" s="1">
        <v>50</v>
      </c>
      <c r="G253" s="10">
        <v>45602</v>
      </c>
      <c r="H253" s="1">
        <v>5.81</v>
      </c>
    </row>
    <row r="254" spans="1:8" x14ac:dyDescent="0.35">
      <c r="A254" s="1" t="s">
        <v>43</v>
      </c>
      <c r="B254" s="2" t="s">
        <v>62</v>
      </c>
      <c r="C254" s="2" t="s">
        <v>129</v>
      </c>
      <c r="D254" s="1" t="str">
        <f t="shared" si="3"/>
        <v>RB_4-24_1</v>
      </c>
      <c r="E254" s="10">
        <v>45393</v>
      </c>
      <c r="F254" s="1">
        <v>50</v>
      </c>
      <c r="G254" s="10">
        <v>45602</v>
      </c>
      <c r="H254" s="1">
        <v>0.82</v>
      </c>
    </row>
    <row r="255" spans="1:8" x14ac:dyDescent="0.35">
      <c r="A255" s="1" t="s">
        <v>51</v>
      </c>
      <c r="B255" s="2" t="s">
        <v>62</v>
      </c>
      <c r="C255" s="2" t="s">
        <v>129</v>
      </c>
      <c r="D255" s="1" t="str">
        <f t="shared" ref="D255:D318" si="4">A255&amp;"_"&amp;B255&amp;"_"&amp;C255</f>
        <v>WB1_4-24_1</v>
      </c>
      <c r="E255" s="10">
        <v>45393</v>
      </c>
      <c r="F255" s="1">
        <v>52</v>
      </c>
      <c r="G255" s="10">
        <v>45602</v>
      </c>
      <c r="H255" s="1">
        <v>0.63</v>
      </c>
    </row>
    <row r="256" spans="1:8" x14ac:dyDescent="0.35">
      <c r="A256" s="1" t="s">
        <v>52</v>
      </c>
      <c r="B256" s="2" t="s">
        <v>62</v>
      </c>
      <c r="C256" s="2" t="s">
        <v>129</v>
      </c>
      <c r="D256" s="1" t="str">
        <f t="shared" si="4"/>
        <v>WB2_4-24_1</v>
      </c>
      <c r="E256" s="10">
        <v>45393</v>
      </c>
      <c r="F256" s="1">
        <v>51</v>
      </c>
      <c r="G256" s="10">
        <v>45602</v>
      </c>
      <c r="H256" s="1">
        <v>0.83</v>
      </c>
    </row>
    <row r="257" spans="1:8" x14ac:dyDescent="0.35">
      <c r="A257" s="1" t="s">
        <v>53</v>
      </c>
      <c r="B257" s="2" t="s">
        <v>62</v>
      </c>
      <c r="C257" s="2" t="s">
        <v>129</v>
      </c>
      <c r="D257" s="1" t="str">
        <f t="shared" si="4"/>
        <v>TKB_4-24_1</v>
      </c>
      <c r="E257" s="10">
        <v>45393</v>
      </c>
      <c r="F257" s="1">
        <v>51</v>
      </c>
      <c r="G257" s="10">
        <v>45602</v>
      </c>
      <c r="H257" s="1">
        <v>0.97</v>
      </c>
    </row>
    <row r="258" spans="1:8" x14ac:dyDescent="0.35">
      <c r="A258" s="1" t="s">
        <v>54</v>
      </c>
      <c r="B258" s="2" t="s">
        <v>62</v>
      </c>
      <c r="C258" s="2" t="s">
        <v>129</v>
      </c>
      <c r="D258" s="1" t="str">
        <f t="shared" si="4"/>
        <v>JB_4-24_1</v>
      </c>
      <c r="E258" s="10">
        <v>45393</v>
      </c>
      <c r="F258" s="1">
        <v>50</v>
      </c>
      <c r="G258" s="10">
        <v>45602</v>
      </c>
      <c r="H258" s="1">
        <v>0.42</v>
      </c>
    </row>
    <row r="259" spans="1:8" x14ac:dyDescent="0.35">
      <c r="A259" s="1" t="s">
        <v>55</v>
      </c>
      <c r="B259" s="2" t="s">
        <v>62</v>
      </c>
      <c r="C259" s="2" t="s">
        <v>129</v>
      </c>
      <c r="D259" s="1" t="str">
        <f t="shared" si="4"/>
        <v>CC_4-24_1</v>
      </c>
      <c r="E259" s="10">
        <v>45393</v>
      </c>
      <c r="F259" s="1">
        <v>50</v>
      </c>
      <c r="G259" s="10">
        <v>45602</v>
      </c>
      <c r="H259" s="1">
        <v>7.8</v>
      </c>
    </row>
    <row r="260" spans="1:8" x14ac:dyDescent="0.35">
      <c r="A260" s="1" t="s">
        <v>48</v>
      </c>
      <c r="B260" s="2" t="s">
        <v>62</v>
      </c>
      <c r="C260" s="2" t="s">
        <v>131</v>
      </c>
      <c r="D260" s="1" t="str">
        <f t="shared" si="4"/>
        <v>SBT2_4-24_2</v>
      </c>
      <c r="E260" s="10">
        <v>45393</v>
      </c>
      <c r="F260" s="1">
        <v>50</v>
      </c>
      <c r="G260" s="10">
        <v>45602</v>
      </c>
      <c r="H260" s="1">
        <v>13.97</v>
      </c>
    </row>
    <row r="261" spans="1:8" x14ac:dyDescent="0.35">
      <c r="A261" s="1" t="s">
        <v>42</v>
      </c>
      <c r="B261" s="2" t="s">
        <v>62</v>
      </c>
      <c r="C261" s="2" t="s">
        <v>131</v>
      </c>
      <c r="D261" s="1" t="str">
        <f t="shared" si="4"/>
        <v>GB2_4-24_2</v>
      </c>
      <c r="E261" s="10">
        <v>45393</v>
      </c>
      <c r="F261" s="1">
        <v>50</v>
      </c>
      <c r="G261" s="10">
        <v>45602</v>
      </c>
      <c r="H261" s="1">
        <v>4.5999999999999996</v>
      </c>
    </row>
    <row r="262" spans="1:8" x14ac:dyDescent="0.35">
      <c r="A262" s="1" t="s">
        <v>43</v>
      </c>
      <c r="B262" s="2" t="s">
        <v>62</v>
      </c>
      <c r="C262" s="2" t="s">
        <v>131</v>
      </c>
      <c r="D262" s="1" t="str">
        <f t="shared" si="4"/>
        <v>RB_4-24_2</v>
      </c>
      <c r="E262" s="10">
        <v>45393</v>
      </c>
      <c r="F262" s="1">
        <v>50</v>
      </c>
      <c r="G262" s="10">
        <v>45602</v>
      </c>
      <c r="H262" s="1">
        <v>0.69</v>
      </c>
    </row>
    <row r="263" spans="1:8" x14ac:dyDescent="0.35">
      <c r="A263" s="1" t="s">
        <v>51</v>
      </c>
      <c r="B263" s="2" t="s">
        <v>62</v>
      </c>
      <c r="C263" s="2" t="s">
        <v>131</v>
      </c>
      <c r="D263" s="1" t="str">
        <f t="shared" si="4"/>
        <v>WB1_4-24_2</v>
      </c>
      <c r="E263" s="10">
        <v>45393</v>
      </c>
      <c r="F263" s="1">
        <v>51</v>
      </c>
      <c r="G263" s="10">
        <v>45602</v>
      </c>
      <c r="H263" s="1">
        <v>1.38</v>
      </c>
    </row>
    <row r="264" spans="1:8" x14ac:dyDescent="0.35">
      <c r="A264" s="1" t="s">
        <v>52</v>
      </c>
      <c r="B264" s="2" t="s">
        <v>62</v>
      </c>
      <c r="C264" s="2" t="s">
        <v>131</v>
      </c>
      <c r="D264" s="1" t="str">
        <f t="shared" si="4"/>
        <v>WB2_4-24_2</v>
      </c>
      <c r="E264" s="10">
        <v>45393</v>
      </c>
      <c r="F264" s="1">
        <v>51</v>
      </c>
      <c r="G264" s="10">
        <v>45602</v>
      </c>
      <c r="H264" s="1">
        <v>0.75</v>
      </c>
    </row>
    <row r="265" spans="1:8" x14ac:dyDescent="0.35">
      <c r="A265" s="1" t="s">
        <v>53</v>
      </c>
      <c r="B265" s="2" t="s">
        <v>62</v>
      </c>
      <c r="C265" s="2" t="s">
        <v>131</v>
      </c>
      <c r="D265" s="1" t="str">
        <f t="shared" si="4"/>
        <v>TKB_4-24_2</v>
      </c>
      <c r="E265" s="10">
        <v>45393</v>
      </c>
      <c r="F265" s="1">
        <v>50</v>
      </c>
      <c r="G265" s="10">
        <v>45602</v>
      </c>
      <c r="H265" s="1">
        <v>0.76</v>
      </c>
    </row>
    <row r="266" spans="1:8" x14ac:dyDescent="0.35">
      <c r="A266" s="1" t="s">
        <v>54</v>
      </c>
      <c r="B266" s="2" t="s">
        <v>62</v>
      </c>
      <c r="C266" s="2" t="s">
        <v>131</v>
      </c>
      <c r="D266" s="1" t="str">
        <f t="shared" si="4"/>
        <v>JB_4-24_2</v>
      </c>
      <c r="E266" s="10">
        <v>45393</v>
      </c>
      <c r="F266" s="1">
        <v>50</v>
      </c>
      <c r="G266" s="10">
        <v>45602</v>
      </c>
      <c r="H266" s="1">
        <v>0.11</v>
      </c>
    </row>
    <row r="267" spans="1:8" x14ac:dyDescent="0.35">
      <c r="A267" s="1" t="s">
        <v>55</v>
      </c>
      <c r="B267" s="2" t="s">
        <v>62</v>
      </c>
      <c r="C267" s="2" t="s">
        <v>131</v>
      </c>
      <c r="D267" s="1" t="str">
        <f t="shared" si="4"/>
        <v>CC_4-24_2</v>
      </c>
      <c r="E267" s="10">
        <v>45393</v>
      </c>
      <c r="F267" s="1">
        <v>51</v>
      </c>
      <c r="G267" s="10">
        <v>45602</v>
      </c>
      <c r="H267" s="1">
        <v>5.03</v>
      </c>
    </row>
    <row r="268" spans="1:8" hidden="1" x14ac:dyDescent="0.35">
      <c r="A268" s="1" t="s">
        <v>13</v>
      </c>
      <c r="B268" s="2" t="s">
        <v>58</v>
      </c>
      <c r="C268" s="2" t="s">
        <v>129</v>
      </c>
      <c r="D268" s="1" t="str">
        <f t="shared" si="4"/>
        <v>P37_7-24_1</v>
      </c>
      <c r="E268" s="10">
        <v>45476</v>
      </c>
      <c r="F268" s="1" t="s">
        <v>130</v>
      </c>
      <c r="G268" s="1" t="s">
        <v>130</v>
      </c>
      <c r="H268" s="1" t="s">
        <v>130</v>
      </c>
    </row>
    <row r="269" spans="1:8" hidden="1" x14ac:dyDescent="0.35">
      <c r="A269" s="1" t="s">
        <v>18</v>
      </c>
      <c r="B269" s="2" t="s">
        <v>58</v>
      </c>
      <c r="C269" s="2" t="s">
        <v>129</v>
      </c>
      <c r="D269" s="1" t="str">
        <f t="shared" si="4"/>
        <v>NCL_7-24_1</v>
      </c>
      <c r="E269" s="10">
        <v>45476</v>
      </c>
      <c r="F269" s="1" t="s">
        <v>130</v>
      </c>
      <c r="G269" s="1" t="s">
        <v>130</v>
      </c>
      <c r="H269" s="1" t="s">
        <v>130</v>
      </c>
    </row>
    <row r="270" spans="1:8" hidden="1" x14ac:dyDescent="0.35">
      <c r="A270" s="1" t="s">
        <v>19</v>
      </c>
      <c r="B270" s="2" t="s">
        <v>58</v>
      </c>
      <c r="C270" s="2" t="s">
        <v>129</v>
      </c>
      <c r="D270" s="1" t="str">
        <f t="shared" si="4"/>
        <v>CP_7-24_1</v>
      </c>
      <c r="E270" s="10">
        <v>45476</v>
      </c>
      <c r="F270" s="1" t="s">
        <v>130</v>
      </c>
      <c r="G270" s="1" t="s">
        <v>130</v>
      </c>
      <c r="H270" s="1" t="s">
        <v>130</v>
      </c>
    </row>
    <row r="271" spans="1:8" hidden="1" x14ac:dyDescent="0.35">
      <c r="A271" s="1" t="s">
        <v>20</v>
      </c>
      <c r="B271" s="2" t="s">
        <v>58</v>
      </c>
      <c r="C271" s="2" t="s">
        <v>129</v>
      </c>
      <c r="D271" s="1" t="str">
        <f t="shared" si="4"/>
        <v>EP146_7-24_1</v>
      </c>
      <c r="E271" s="10">
        <v>45476</v>
      </c>
      <c r="F271" s="1" t="s">
        <v>130</v>
      </c>
      <c r="G271" s="1" t="s">
        <v>130</v>
      </c>
      <c r="H271" s="1" t="s">
        <v>130</v>
      </c>
    </row>
    <row r="272" spans="1:8" hidden="1" x14ac:dyDescent="0.35">
      <c r="A272" s="1" t="s">
        <v>21</v>
      </c>
      <c r="B272" s="2" t="s">
        <v>58</v>
      </c>
      <c r="C272" s="2" t="s">
        <v>129</v>
      </c>
      <c r="D272" s="1" t="str">
        <f t="shared" si="4"/>
        <v>OL_7-24_1</v>
      </c>
      <c r="E272" s="10">
        <v>45476</v>
      </c>
      <c r="F272" s="1" t="s">
        <v>130</v>
      </c>
      <c r="G272" s="1" t="s">
        <v>130</v>
      </c>
      <c r="H272" s="1" t="s">
        <v>130</v>
      </c>
    </row>
    <row r="273" spans="1:8" hidden="1" x14ac:dyDescent="0.35">
      <c r="A273" s="1" t="s">
        <v>57</v>
      </c>
      <c r="B273" s="2" t="s">
        <v>58</v>
      </c>
      <c r="C273" s="2" t="s">
        <v>129</v>
      </c>
      <c r="D273" s="1" t="str">
        <f t="shared" si="4"/>
        <v>TSH_7-24_1</v>
      </c>
      <c r="E273" s="10">
        <v>45476</v>
      </c>
      <c r="F273" s="1" t="s">
        <v>130</v>
      </c>
      <c r="G273" s="1" t="s">
        <v>130</v>
      </c>
      <c r="H273" s="1" t="s">
        <v>130</v>
      </c>
    </row>
    <row r="274" spans="1:8" hidden="1" x14ac:dyDescent="0.35">
      <c r="A274" s="1" t="s">
        <v>22</v>
      </c>
      <c r="B274" s="2" t="s">
        <v>58</v>
      </c>
      <c r="C274" s="2" t="s">
        <v>129</v>
      </c>
      <c r="D274" s="1" t="str">
        <f t="shared" si="4"/>
        <v>R127_7-24_1</v>
      </c>
      <c r="E274" s="10">
        <v>45476</v>
      </c>
      <c r="F274" s="1" t="s">
        <v>130</v>
      </c>
      <c r="G274" s="1" t="s">
        <v>130</v>
      </c>
      <c r="H274" s="1" t="s">
        <v>130</v>
      </c>
    </row>
    <row r="275" spans="1:8" hidden="1" x14ac:dyDescent="0.35">
      <c r="A275" s="1" t="s">
        <v>13</v>
      </c>
      <c r="B275" s="2" t="s">
        <v>58</v>
      </c>
      <c r="C275" s="2" t="s">
        <v>131</v>
      </c>
      <c r="D275" s="1" t="str">
        <f t="shared" si="4"/>
        <v>P37_7-24_2</v>
      </c>
      <c r="E275" s="10">
        <v>45476</v>
      </c>
      <c r="F275" s="1" t="s">
        <v>130</v>
      </c>
      <c r="G275" s="1" t="s">
        <v>130</v>
      </c>
      <c r="H275" s="1" t="s">
        <v>130</v>
      </c>
    </row>
    <row r="276" spans="1:8" hidden="1" x14ac:dyDescent="0.35">
      <c r="A276" s="1" t="s">
        <v>18</v>
      </c>
      <c r="B276" s="2" t="s">
        <v>58</v>
      </c>
      <c r="C276" s="2" t="s">
        <v>131</v>
      </c>
      <c r="D276" s="1" t="str">
        <f t="shared" si="4"/>
        <v>NCL_7-24_2</v>
      </c>
      <c r="E276" s="10">
        <v>45476</v>
      </c>
      <c r="F276" s="1" t="s">
        <v>130</v>
      </c>
      <c r="G276" s="1" t="s">
        <v>130</v>
      </c>
      <c r="H276" s="1" t="s">
        <v>130</v>
      </c>
    </row>
    <row r="277" spans="1:8" hidden="1" x14ac:dyDescent="0.35">
      <c r="A277" s="1" t="s">
        <v>19</v>
      </c>
      <c r="B277" s="2" t="s">
        <v>58</v>
      </c>
      <c r="C277" s="2" t="s">
        <v>131</v>
      </c>
      <c r="D277" s="1" t="str">
        <f t="shared" si="4"/>
        <v>CP_7-24_2</v>
      </c>
      <c r="E277" s="10">
        <v>45476</v>
      </c>
      <c r="F277" s="1" t="s">
        <v>130</v>
      </c>
      <c r="G277" s="1" t="s">
        <v>130</v>
      </c>
      <c r="H277" s="1" t="s">
        <v>130</v>
      </c>
    </row>
    <row r="278" spans="1:8" hidden="1" x14ac:dyDescent="0.35">
      <c r="A278" s="1" t="s">
        <v>20</v>
      </c>
      <c r="B278" s="2" t="s">
        <v>58</v>
      </c>
      <c r="C278" s="2" t="s">
        <v>131</v>
      </c>
      <c r="D278" s="1" t="str">
        <f t="shared" si="4"/>
        <v>EP146_7-24_2</v>
      </c>
      <c r="E278" s="10">
        <v>45476</v>
      </c>
      <c r="F278" s="1" t="s">
        <v>130</v>
      </c>
      <c r="G278" s="1" t="s">
        <v>130</v>
      </c>
      <c r="H278" s="1" t="s">
        <v>130</v>
      </c>
    </row>
    <row r="279" spans="1:8" hidden="1" x14ac:dyDescent="0.35">
      <c r="A279" s="1" t="s">
        <v>21</v>
      </c>
      <c r="B279" s="2" t="s">
        <v>58</v>
      </c>
      <c r="C279" s="2" t="s">
        <v>131</v>
      </c>
      <c r="D279" s="1" t="str">
        <f t="shared" si="4"/>
        <v>OL_7-24_2</v>
      </c>
      <c r="E279" s="10">
        <v>45476</v>
      </c>
      <c r="F279" s="1" t="s">
        <v>130</v>
      </c>
      <c r="G279" s="1" t="s">
        <v>130</v>
      </c>
      <c r="H279" s="1" t="s">
        <v>130</v>
      </c>
    </row>
    <row r="280" spans="1:8" hidden="1" x14ac:dyDescent="0.35">
      <c r="A280" s="1" t="s">
        <v>57</v>
      </c>
      <c r="B280" s="2" t="s">
        <v>58</v>
      </c>
      <c r="C280" s="2" t="s">
        <v>131</v>
      </c>
      <c r="D280" s="1" t="str">
        <f t="shared" si="4"/>
        <v>TSH_7-24_2</v>
      </c>
      <c r="E280" s="10">
        <v>45476</v>
      </c>
      <c r="F280" s="1" t="s">
        <v>130</v>
      </c>
      <c r="G280" s="1" t="s">
        <v>130</v>
      </c>
      <c r="H280" s="1" t="s">
        <v>130</v>
      </c>
    </row>
    <row r="281" spans="1:8" hidden="1" x14ac:dyDescent="0.35">
      <c r="A281" s="1" t="s">
        <v>22</v>
      </c>
      <c r="B281" s="2" t="s">
        <v>58</v>
      </c>
      <c r="C281" s="2" t="s">
        <v>131</v>
      </c>
      <c r="D281" s="1" t="str">
        <f t="shared" si="4"/>
        <v>R127_7-24_2</v>
      </c>
      <c r="E281" s="10">
        <v>45476</v>
      </c>
      <c r="F281" s="1" t="s">
        <v>130</v>
      </c>
      <c r="G281" s="1" t="s">
        <v>130</v>
      </c>
      <c r="H281" s="1" t="s">
        <v>130</v>
      </c>
    </row>
    <row r="282" spans="1:8" x14ac:dyDescent="0.35">
      <c r="A282" s="1" t="s">
        <v>23</v>
      </c>
      <c r="B282" s="2" t="s">
        <v>63</v>
      </c>
      <c r="C282" s="2" t="s">
        <v>129</v>
      </c>
      <c r="D282" s="1" t="str">
        <f t="shared" si="4"/>
        <v>ACS1_8-24_1</v>
      </c>
      <c r="F282" s="1">
        <v>25</v>
      </c>
      <c r="G282" s="10">
        <v>45602</v>
      </c>
      <c r="H282" s="1">
        <v>77.17</v>
      </c>
    </row>
    <row r="283" spans="1:8" x14ac:dyDescent="0.35">
      <c r="A283" s="1" t="s">
        <v>24</v>
      </c>
      <c r="B283" s="2" t="s">
        <v>63</v>
      </c>
      <c r="C283" s="2" t="s">
        <v>129</v>
      </c>
      <c r="D283" s="1" t="str">
        <f t="shared" si="4"/>
        <v>ACS2_8-24_1</v>
      </c>
      <c r="F283" s="1">
        <v>30</v>
      </c>
      <c r="G283" s="10">
        <v>45602</v>
      </c>
      <c r="H283" s="1">
        <v>8.39</v>
      </c>
    </row>
    <row r="284" spans="1:8" x14ac:dyDescent="0.35">
      <c r="A284" s="1" t="s">
        <v>25</v>
      </c>
      <c r="B284" s="2" t="s">
        <v>63</v>
      </c>
      <c r="C284" s="2" t="s">
        <v>129</v>
      </c>
      <c r="D284" s="1" t="str">
        <f t="shared" si="4"/>
        <v>ACS3_8-24_1</v>
      </c>
      <c r="G284" s="10">
        <v>45602</v>
      </c>
      <c r="H284" s="1">
        <v>5.44</v>
      </c>
    </row>
    <row r="285" spans="1:8" hidden="1" x14ac:dyDescent="0.35">
      <c r="A285" s="1" t="s">
        <v>26</v>
      </c>
      <c r="B285" s="2" t="s">
        <v>63</v>
      </c>
      <c r="C285" s="2" t="s">
        <v>129</v>
      </c>
      <c r="D285" s="1" t="str">
        <f t="shared" si="4"/>
        <v>ACS4_8-24_1</v>
      </c>
      <c r="F285" s="1">
        <v>43</v>
      </c>
      <c r="G285" s="10"/>
      <c r="H285" s="1">
        <v>1.23</v>
      </c>
    </row>
    <row r="286" spans="1:8" x14ac:dyDescent="0.35">
      <c r="A286" s="1" t="s">
        <v>27</v>
      </c>
      <c r="B286" s="2" t="s">
        <v>63</v>
      </c>
      <c r="C286" s="2" t="s">
        <v>129</v>
      </c>
      <c r="D286" s="1" t="str">
        <f t="shared" si="4"/>
        <v>ACS5_8-24_1</v>
      </c>
      <c r="F286" s="1">
        <v>50</v>
      </c>
      <c r="G286" s="10">
        <v>45602</v>
      </c>
      <c r="H286" s="1">
        <v>22.75</v>
      </c>
    </row>
    <row r="287" spans="1:8" hidden="1" x14ac:dyDescent="0.35">
      <c r="A287" s="1" t="s">
        <v>28</v>
      </c>
      <c r="B287" s="2" t="s">
        <v>63</v>
      </c>
      <c r="C287" s="2" t="s">
        <v>129</v>
      </c>
      <c r="D287" s="1" t="str">
        <f t="shared" si="4"/>
        <v>GBHM_8-24_1</v>
      </c>
      <c r="G287" s="10"/>
    </row>
    <row r="288" spans="1:8" x14ac:dyDescent="0.35">
      <c r="A288" s="1" t="s">
        <v>29</v>
      </c>
      <c r="B288" s="2" t="s">
        <v>63</v>
      </c>
      <c r="C288" s="2" t="s">
        <v>129</v>
      </c>
      <c r="D288" s="1" t="str">
        <f t="shared" si="4"/>
        <v>DC1_8-24_1</v>
      </c>
      <c r="F288" s="1">
        <v>52</v>
      </c>
      <c r="G288" s="10">
        <v>45602</v>
      </c>
      <c r="H288" s="1">
        <v>18.59</v>
      </c>
    </row>
    <row r="289" spans="1:8" x14ac:dyDescent="0.35">
      <c r="A289" s="1" t="s">
        <v>30</v>
      </c>
      <c r="B289" s="2" t="s">
        <v>63</v>
      </c>
      <c r="C289" s="2" t="s">
        <v>129</v>
      </c>
      <c r="D289" s="1" t="str">
        <f t="shared" si="4"/>
        <v>DCM1_8-24_1</v>
      </c>
      <c r="G289" s="10">
        <v>45602</v>
      </c>
      <c r="H289" s="1">
        <v>16.670000000000002</v>
      </c>
    </row>
    <row r="290" spans="1:8" x14ac:dyDescent="0.35">
      <c r="A290" s="1" t="s">
        <v>31</v>
      </c>
      <c r="B290" s="2" t="s">
        <v>63</v>
      </c>
      <c r="C290" s="2" t="s">
        <v>129</v>
      </c>
      <c r="D290" s="1" t="str">
        <f t="shared" si="4"/>
        <v>DC2_8-24_1</v>
      </c>
      <c r="G290" s="10">
        <v>45602</v>
      </c>
      <c r="H290" s="1">
        <v>22.03</v>
      </c>
    </row>
    <row r="291" spans="1:8" x14ac:dyDescent="0.35">
      <c r="A291" s="1" t="s">
        <v>32</v>
      </c>
      <c r="B291" s="2" t="s">
        <v>63</v>
      </c>
      <c r="C291" s="2" t="s">
        <v>129</v>
      </c>
      <c r="D291" s="1" t="str">
        <f t="shared" si="4"/>
        <v>DCM2_8-24_1</v>
      </c>
      <c r="G291" s="10">
        <v>45602</v>
      </c>
      <c r="H291" s="1">
        <v>56.58</v>
      </c>
    </row>
    <row r="292" spans="1:8" x14ac:dyDescent="0.35">
      <c r="A292" s="1" t="s">
        <v>33</v>
      </c>
      <c r="B292" s="2" t="s">
        <v>63</v>
      </c>
      <c r="C292" s="2" t="s">
        <v>129</v>
      </c>
      <c r="D292" s="1" t="str">
        <f t="shared" si="4"/>
        <v>GB1_8-24_1</v>
      </c>
      <c r="G292" s="10">
        <v>45602</v>
      </c>
      <c r="H292" s="1">
        <v>22.9</v>
      </c>
    </row>
    <row r="293" spans="1:8" x14ac:dyDescent="0.35">
      <c r="A293" s="1" t="s">
        <v>34</v>
      </c>
      <c r="B293" s="2" t="s">
        <v>63</v>
      </c>
      <c r="C293" s="2" t="s">
        <v>129</v>
      </c>
      <c r="D293" s="1" t="str">
        <f t="shared" si="4"/>
        <v>MCS1_8-24_1</v>
      </c>
      <c r="G293" s="10">
        <v>45602</v>
      </c>
      <c r="H293" s="1">
        <v>9.43</v>
      </c>
    </row>
    <row r="294" spans="1:8" x14ac:dyDescent="0.35">
      <c r="A294" s="1" t="s">
        <v>35</v>
      </c>
      <c r="B294" s="2" t="s">
        <v>63</v>
      </c>
      <c r="C294" s="2" t="s">
        <v>129</v>
      </c>
      <c r="D294" s="1" t="str">
        <f t="shared" si="4"/>
        <v>MCS2_8-24_1</v>
      </c>
      <c r="G294" s="10">
        <v>45602</v>
      </c>
      <c r="H294" s="1">
        <v>10.119999999999999</v>
      </c>
    </row>
    <row r="295" spans="1:8" x14ac:dyDescent="0.35">
      <c r="A295" s="1" t="s">
        <v>36</v>
      </c>
      <c r="B295" s="2" t="s">
        <v>63</v>
      </c>
      <c r="C295" s="2" t="s">
        <v>129</v>
      </c>
      <c r="D295" s="1" t="str">
        <f t="shared" si="4"/>
        <v>MCS3_8-24_1</v>
      </c>
      <c r="G295" s="10">
        <v>45602</v>
      </c>
      <c r="H295" s="1">
        <v>13.7</v>
      </c>
    </row>
    <row r="296" spans="1:8" x14ac:dyDescent="0.35">
      <c r="A296" s="1" t="s">
        <v>37</v>
      </c>
      <c r="B296" s="2" t="s">
        <v>63</v>
      </c>
      <c r="C296" s="2" t="s">
        <v>129</v>
      </c>
      <c r="D296" s="1" t="str">
        <f t="shared" si="4"/>
        <v>MCS4_8-24_1</v>
      </c>
      <c r="G296" s="10">
        <v>45602</v>
      </c>
      <c r="H296" s="1">
        <v>11.05</v>
      </c>
    </row>
    <row r="297" spans="1:8" x14ac:dyDescent="0.35">
      <c r="A297" s="1" t="s">
        <v>50</v>
      </c>
      <c r="B297" s="2" t="s">
        <v>63</v>
      </c>
      <c r="C297" s="2" t="s">
        <v>129</v>
      </c>
      <c r="D297" s="1" t="str">
        <f t="shared" si="4"/>
        <v>TBC_8-24_1</v>
      </c>
      <c r="G297" s="10">
        <v>45602</v>
      </c>
      <c r="H297" s="1">
        <v>5.5</v>
      </c>
    </row>
    <row r="298" spans="1:8" x14ac:dyDescent="0.35">
      <c r="A298" s="1" t="s">
        <v>38</v>
      </c>
      <c r="B298" s="2" t="s">
        <v>63</v>
      </c>
      <c r="C298" s="2" t="s">
        <v>129</v>
      </c>
      <c r="D298" s="1" t="str">
        <f t="shared" si="4"/>
        <v>TBHM_8-24_1</v>
      </c>
      <c r="G298" s="10">
        <v>45602</v>
      </c>
      <c r="H298" s="1">
        <v>13.51</v>
      </c>
    </row>
    <row r="299" spans="1:8" x14ac:dyDescent="0.35">
      <c r="A299" s="1" t="s">
        <v>39</v>
      </c>
      <c r="B299" s="2" t="s">
        <v>63</v>
      </c>
      <c r="C299" s="2" t="s">
        <v>129</v>
      </c>
      <c r="D299" s="1" t="str">
        <f t="shared" si="4"/>
        <v>TBCM_8-24_1</v>
      </c>
      <c r="G299" s="10">
        <v>45602</v>
      </c>
      <c r="H299" s="1">
        <v>8.16</v>
      </c>
    </row>
    <row r="300" spans="1:8" x14ac:dyDescent="0.35">
      <c r="A300" s="1" t="s">
        <v>40</v>
      </c>
      <c r="B300" s="2" t="s">
        <v>63</v>
      </c>
      <c r="C300" s="2" t="s">
        <v>129</v>
      </c>
      <c r="D300" s="1" t="str">
        <f t="shared" si="4"/>
        <v>TB1_8-24_1</v>
      </c>
      <c r="G300" s="10">
        <v>45602</v>
      </c>
      <c r="H300" s="1">
        <v>2.91</v>
      </c>
    </row>
    <row r="301" spans="1:8" x14ac:dyDescent="0.35">
      <c r="A301" s="1" t="s">
        <v>41</v>
      </c>
      <c r="B301" s="2" t="s">
        <v>63</v>
      </c>
      <c r="C301" s="2" t="s">
        <v>129</v>
      </c>
      <c r="D301" s="1" t="str">
        <f t="shared" si="4"/>
        <v>TB2_8-24_1</v>
      </c>
      <c r="G301" s="10">
        <v>45602</v>
      </c>
      <c r="H301" s="1">
        <v>7.6</v>
      </c>
    </row>
    <row r="302" spans="1:8" x14ac:dyDescent="0.35">
      <c r="A302" s="1" t="s">
        <v>42</v>
      </c>
      <c r="B302" s="2" t="s">
        <v>63</v>
      </c>
      <c r="C302" s="2" t="s">
        <v>129</v>
      </c>
      <c r="D302" s="1" t="str">
        <f t="shared" si="4"/>
        <v>GB2_8-24_1</v>
      </c>
      <c r="G302" s="10">
        <v>45602</v>
      </c>
      <c r="H302" s="1">
        <v>17.46</v>
      </c>
    </row>
    <row r="303" spans="1:8" hidden="1" x14ac:dyDescent="0.35">
      <c r="A303" s="1" t="s">
        <v>43</v>
      </c>
      <c r="B303" s="2" t="s">
        <v>63</v>
      </c>
      <c r="C303" s="2" t="s">
        <v>129</v>
      </c>
      <c r="D303" s="1" t="str">
        <f t="shared" si="4"/>
        <v>RB_8-24_1</v>
      </c>
      <c r="G303" s="10"/>
    </row>
    <row r="304" spans="1:8" hidden="1" x14ac:dyDescent="0.35">
      <c r="A304" s="1" t="s">
        <v>44</v>
      </c>
      <c r="B304" s="2" t="s">
        <v>63</v>
      </c>
      <c r="C304" s="2" t="s">
        <v>129</v>
      </c>
      <c r="D304" s="1" t="str">
        <f t="shared" si="4"/>
        <v>TSM1_8-24_1</v>
      </c>
      <c r="G304" s="10"/>
    </row>
    <row r="305" spans="1:8" x14ac:dyDescent="0.35">
      <c r="A305" s="1" t="s">
        <v>45</v>
      </c>
      <c r="B305" s="2" t="s">
        <v>63</v>
      </c>
      <c r="C305" s="2" t="s">
        <v>129</v>
      </c>
      <c r="D305" s="1" t="str">
        <f t="shared" si="4"/>
        <v>TSM3_8-24_1</v>
      </c>
      <c r="G305" s="10">
        <v>45602</v>
      </c>
      <c r="H305" s="1">
        <v>9.6199999999999992</v>
      </c>
    </row>
    <row r="306" spans="1:8" x14ac:dyDescent="0.35">
      <c r="A306" s="1" t="s">
        <v>46</v>
      </c>
      <c r="B306" s="2" t="s">
        <v>63</v>
      </c>
      <c r="C306" s="2" t="s">
        <v>129</v>
      </c>
      <c r="D306" s="1" t="str">
        <f t="shared" si="4"/>
        <v>TSM4_8-24_1</v>
      </c>
      <c r="G306" s="10">
        <v>45602</v>
      </c>
      <c r="H306" s="1">
        <v>7.92</v>
      </c>
    </row>
    <row r="307" spans="1:8" x14ac:dyDescent="0.35">
      <c r="A307" s="1" t="s">
        <v>47</v>
      </c>
      <c r="B307" s="2" t="s">
        <v>63</v>
      </c>
      <c r="C307" s="2" t="s">
        <v>129</v>
      </c>
      <c r="D307" s="1" t="str">
        <f t="shared" si="4"/>
        <v>SBT1_8-24_1</v>
      </c>
      <c r="G307" s="10">
        <v>45602</v>
      </c>
      <c r="H307" s="1">
        <v>15.61</v>
      </c>
    </row>
    <row r="308" spans="1:8" x14ac:dyDescent="0.35">
      <c r="A308" s="1" t="s">
        <v>48</v>
      </c>
      <c r="B308" s="2" t="s">
        <v>63</v>
      </c>
      <c r="C308" s="2" t="s">
        <v>129</v>
      </c>
      <c r="D308" s="1" t="str">
        <f t="shared" si="4"/>
        <v>SBT2_8-24_1</v>
      </c>
      <c r="G308" s="10">
        <v>45602</v>
      </c>
      <c r="H308" s="1">
        <v>7.54</v>
      </c>
    </row>
    <row r="309" spans="1:8" hidden="1" x14ac:dyDescent="0.35">
      <c r="A309" s="1" t="s">
        <v>51</v>
      </c>
      <c r="B309" s="2" t="s">
        <v>63</v>
      </c>
      <c r="C309" s="2" t="s">
        <v>129</v>
      </c>
      <c r="D309" s="1" t="str">
        <f t="shared" si="4"/>
        <v>WB1_8-24_1</v>
      </c>
      <c r="G309" s="10"/>
    </row>
    <row r="310" spans="1:8" x14ac:dyDescent="0.35">
      <c r="A310" s="1" t="s">
        <v>52</v>
      </c>
      <c r="B310" s="2" t="s">
        <v>63</v>
      </c>
      <c r="C310" s="2" t="s">
        <v>129</v>
      </c>
      <c r="D310" s="1" t="str">
        <f t="shared" si="4"/>
        <v>WB2_8-24_1</v>
      </c>
      <c r="G310" s="10">
        <v>45602</v>
      </c>
      <c r="H310" s="1">
        <v>1.79</v>
      </c>
    </row>
    <row r="311" spans="1:8" x14ac:dyDescent="0.35">
      <c r="A311" s="1" t="s">
        <v>53</v>
      </c>
      <c r="B311" s="2" t="s">
        <v>63</v>
      </c>
      <c r="C311" s="2" t="s">
        <v>129</v>
      </c>
      <c r="D311" s="1" t="str">
        <f t="shared" si="4"/>
        <v>TKB_8-24_1</v>
      </c>
      <c r="G311" s="10">
        <v>45602</v>
      </c>
      <c r="H311" s="1">
        <v>2.2799999999999998</v>
      </c>
    </row>
    <row r="312" spans="1:8" x14ac:dyDescent="0.35">
      <c r="A312" s="1" t="s">
        <v>54</v>
      </c>
      <c r="B312" s="2" t="s">
        <v>63</v>
      </c>
      <c r="C312" s="2" t="s">
        <v>129</v>
      </c>
      <c r="D312" s="1" t="str">
        <f t="shared" si="4"/>
        <v>JB_8-24_1</v>
      </c>
      <c r="G312" s="10">
        <v>45602</v>
      </c>
      <c r="H312" s="1">
        <v>1.31</v>
      </c>
    </row>
    <row r="313" spans="1:8" x14ac:dyDescent="0.35">
      <c r="A313" s="1" t="s">
        <v>55</v>
      </c>
      <c r="B313" s="2" t="s">
        <v>63</v>
      </c>
      <c r="C313" s="2" t="s">
        <v>129</v>
      </c>
      <c r="D313" s="1" t="str">
        <f t="shared" si="4"/>
        <v>CC_8-24_1</v>
      </c>
      <c r="G313" s="10">
        <v>45602</v>
      </c>
      <c r="H313" s="1">
        <v>8.93</v>
      </c>
    </row>
    <row r="314" spans="1:8" x14ac:dyDescent="0.35">
      <c r="A314" s="1" t="s">
        <v>23</v>
      </c>
      <c r="B314" s="2" t="s">
        <v>63</v>
      </c>
      <c r="C314" s="2" t="s">
        <v>131</v>
      </c>
      <c r="D314" s="1" t="str">
        <f t="shared" si="4"/>
        <v>ACS1_8-24_2</v>
      </c>
      <c r="F314" s="1">
        <v>25</v>
      </c>
      <c r="G314" s="10">
        <v>45602</v>
      </c>
      <c r="H314" s="1">
        <v>49.32</v>
      </c>
    </row>
    <row r="315" spans="1:8" hidden="1" x14ac:dyDescent="0.35">
      <c r="A315" s="1" t="s">
        <v>24</v>
      </c>
      <c r="B315" s="2" t="s">
        <v>63</v>
      </c>
      <c r="C315" s="2" t="s">
        <v>131</v>
      </c>
      <c r="D315" s="1" t="str">
        <f t="shared" si="4"/>
        <v>ACS2_8-24_2</v>
      </c>
      <c r="F315" s="1">
        <v>29</v>
      </c>
      <c r="G315" s="10"/>
      <c r="H315" s="1">
        <v>4.8600000000000003</v>
      </c>
    </row>
    <row r="316" spans="1:8" x14ac:dyDescent="0.35">
      <c r="A316" s="1" t="s">
        <v>25</v>
      </c>
      <c r="B316" s="2" t="s">
        <v>63</v>
      </c>
      <c r="C316" s="2" t="s">
        <v>131</v>
      </c>
      <c r="D316" s="1" t="str">
        <f t="shared" si="4"/>
        <v>ACS3_8-24_2</v>
      </c>
      <c r="G316" s="10">
        <v>45602</v>
      </c>
      <c r="H316" s="1">
        <v>38.42</v>
      </c>
    </row>
    <row r="317" spans="1:8" hidden="1" x14ac:dyDescent="0.35">
      <c r="A317" s="1" t="s">
        <v>26</v>
      </c>
      <c r="B317" s="2" t="s">
        <v>63</v>
      </c>
      <c r="C317" s="2" t="s">
        <v>131</v>
      </c>
      <c r="D317" s="1" t="str">
        <f t="shared" si="4"/>
        <v>ACS4_8-24_2</v>
      </c>
      <c r="F317" s="1">
        <v>37</v>
      </c>
      <c r="G317" s="10"/>
      <c r="H317" s="1">
        <v>1.83</v>
      </c>
    </row>
    <row r="318" spans="1:8" x14ac:dyDescent="0.35">
      <c r="A318" s="1" t="s">
        <v>27</v>
      </c>
      <c r="B318" s="2" t="s">
        <v>63</v>
      </c>
      <c r="C318" s="2" t="s">
        <v>131</v>
      </c>
      <c r="D318" s="1" t="str">
        <f t="shared" si="4"/>
        <v>ACS5_8-24_2</v>
      </c>
      <c r="F318" s="1">
        <v>50</v>
      </c>
      <c r="G318" s="10">
        <v>45602</v>
      </c>
      <c r="H318" s="1">
        <v>22.37</v>
      </c>
    </row>
    <row r="319" spans="1:8" hidden="1" x14ac:dyDescent="0.35">
      <c r="A319" s="1" t="s">
        <v>28</v>
      </c>
      <c r="B319" s="2" t="s">
        <v>63</v>
      </c>
      <c r="C319" s="2" t="s">
        <v>131</v>
      </c>
      <c r="D319" s="1" t="str">
        <f t="shared" ref="D319:D347" si="5">A319&amp;"_"&amp;B319&amp;"_"&amp;C319</f>
        <v>GBHM_8-24_2</v>
      </c>
      <c r="G319" s="10"/>
    </row>
    <row r="320" spans="1:8" x14ac:dyDescent="0.35">
      <c r="A320" s="1" t="s">
        <v>29</v>
      </c>
      <c r="B320" s="2" t="s">
        <v>63</v>
      </c>
      <c r="C320" s="2" t="s">
        <v>131</v>
      </c>
      <c r="D320" s="1" t="str">
        <f t="shared" si="5"/>
        <v>DC1_8-24_2</v>
      </c>
      <c r="F320" s="1">
        <v>51</v>
      </c>
      <c r="G320" s="10">
        <v>45602</v>
      </c>
      <c r="H320" s="1">
        <v>27.11</v>
      </c>
    </row>
    <row r="321" spans="1:8" x14ac:dyDescent="0.35">
      <c r="A321" s="1" t="s">
        <v>30</v>
      </c>
      <c r="B321" s="2" t="s">
        <v>63</v>
      </c>
      <c r="C321" s="2" t="s">
        <v>131</v>
      </c>
      <c r="D321" s="1" t="str">
        <f t="shared" si="5"/>
        <v>DCM1_8-24_2</v>
      </c>
      <c r="G321" s="10">
        <v>45602</v>
      </c>
      <c r="H321" s="1">
        <v>17.11</v>
      </c>
    </row>
    <row r="322" spans="1:8" x14ac:dyDescent="0.35">
      <c r="A322" s="1" t="s">
        <v>31</v>
      </c>
      <c r="B322" s="2" t="s">
        <v>63</v>
      </c>
      <c r="C322" s="2" t="s">
        <v>131</v>
      </c>
      <c r="D322" s="1" t="str">
        <f t="shared" si="5"/>
        <v>DC2_8-24_2</v>
      </c>
      <c r="G322" s="10">
        <v>45602</v>
      </c>
      <c r="H322" s="1">
        <v>23.52</v>
      </c>
    </row>
    <row r="323" spans="1:8" x14ac:dyDescent="0.35">
      <c r="A323" s="1" t="s">
        <v>32</v>
      </c>
      <c r="B323" s="2" t="s">
        <v>63</v>
      </c>
      <c r="C323" s="2" t="s">
        <v>131</v>
      </c>
      <c r="D323" s="1" t="str">
        <f t="shared" si="5"/>
        <v>DCM2_8-24_2</v>
      </c>
      <c r="G323" s="10">
        <v>45602</v>
      </c>
      <c r="H323" s="1">
        <v>31.19</v>
      </c>
    </row>
    <row r="324" spans="1:8" x14ac:dyDescent="0.35">
      <c r="A324" s="1" t="s">
        <v>33</v>
      </c>
      <c r="B324" s="2" t="s">
        <v>63</v>
      </c>
      <c r="C324" s="2" t="s">
        <v>131</v>
      </c>
      <c r="D324" s="1" t="str">
        <f t="shared" si="5"/>
        <v>GB1_8-24_2</v>
      </c>
      <c r="G324" s="10">
        <v>45602</v>
      </c>
      <c r="H324" s="1">
        <v>22.9</v>
      </c>
    </row>
    <row r="325" spans="1:8" x14ac:dyDescent="0.35">
      <c r="A325" s="1" t="s">
        <v>34</v>
      </c>
      <c r="B325" s="2" t="s">
        <v>63</v>
      </c>
      <c r="C325" s="2" t="s">
        <v>131</v>
      </c>
      <c r="D325" s="1" t="str">
        <f t="shared" si="5"/>
        <v>MCS1_8-24_2</v>
      </c>
      <c r="G325" s="10">
        <v>45602</v>
      </c>
      <c r="H325" s="1">
        <v>10.050000000000001</v>
      </c>
    </row>
    <row r="326" spans="1:8" x14ac:dyDescent="0.35">
      <c r="A326" s="1" t="s">
        <v>35</v>
      </c>
      <c r="B326" s="2" t="s">
        <v>63</v>
      </c>
      <c r="C326" s="2" t="s">
        <v>131</v>
      </c>
      <c r="D326" s="1" t="str">
        <f t="shared" si="5"/>
        <v>MCS2_8-24_2</v>
      </c>
      <c r="G326" s="10">
        <v>45602</v>
      </c>
      <c r="H326" s="1">
        <v>9.8800000000000008</v>
      </c>
    </row>
    <row r="327" spans="1:8" x14ac:dyDescent="0.35">
      <c r="A327" s="1" t="s">
        <v>36</v>
      </c>
      <c r="B327" s="2" t="s">
        <v>63</v>
      </c>
      <c r="C327" s="2" t="s">
        <v>131</v>
      </c>
      <c r="D327" s="1" t="str">
        <f t="shared" si="5"/>
        <v>MCS3_8-24_2</v>
      </c>
      <c r="G327" s="10">
        <v>45602</v>
      </c>
      <c r="H327" s="1">
        <v>11.36</v>
      </c>
    </row>
    <row r="328" spans="1:8" x14ac:dyDescent="0.35">
      <c r="A328" s="1" t="s">
        <v>37</v>
      </c>
      <c r="B328" s="2" t="s">
        <v>63</v>
      </c>
      <c r="C328" s="2" t="s">
        <v>131</v>
      </c>
      <c r="D328" s="1" t="str">
        <f t="shared" si="5"/>
        <v>MCS4_8-24_2</v>
      </c>
      <c r="G328" s="10">
        <v>45602</v>
      </c>
      <c r="H328" s="1">
        <v>12.88</v>
      </c>
    </row>
    <row r="329" spans="1:8" x14ac:dyDescent="0.35">
      <c r="A329" s="1" t="s">
        <v>50</v>
      </c>
      <c r="B329" s="2" t="s">
        <v>63</v>
      </c>
      <c r="C329" s="2" t="s">
        <v>131</v>
      </c>
      <c r="D329" s="1" t="str">
        <f t="shared" si="5"/>
        <v>TBC_8-24_2</v>
      </c>
      <c r="G329" s="10">
        <v>45602</v>
      </c>
      <c r="H329" s="1">
        <v>5.4</v>
      </c>
    </row>
    <row r="330" spans="1:8" x14ac:dyDescent="0.35">
      <c r="A330" s="1" t="s">
        <v>38</v>
      </c>
      <c r="B330" s="2" t="s">
        <v>63</v>
      </c>
      <c r="C330" s="2" t="s">
        <v>131</v>
      </c>
      <c r="D330" s="1" t="str">
        <f t="shared" si="5"/>
        <v>TBHM_8-24_2</v>
      </c>
      <c r="G330" s="10">
        <v>45602</v>
      </c>
      <c r="H330" s="1">
        <v>24.49</v>
      </c>
    </row>
    <row r="331" spans="1:8" x14ac:dyDescent="0.35">
      <c r="A331" s="1" t="s">
        <v>39</v>
      </c>
      <c r="B331" s="2" t="s">
        <v>63</v>
      </c>
      <c r="C331" s="2" t="s">
        <v>131</v>
      </c>
      <c r="D331" s="1" t="str">
        <f t="shared" si="5"/>
        <v>TBCM_8-24_2</v>
      </c>
      <c r="G331" s="10">
        <v>45602</v>
      </c>
      <c r="H331" s="1">
        <v>8.1300000000000008</v>
      </c>
    </row>
    <row r="332" spans="1:8" x14ac:dyDescent="0.35">
      <c r="A332" s="1" t="s">
        <v>40</v>
      </c>
      <c r="B332" s="2" t="s">
        <v>63</v>
      </c>
      <c r="C332" s="2" t="s">
        <v>131</v>
      </c>
      <c r="D332" s="1" t="str">
        <f t="shared" si="5"/>
        <v>TB1_8-24_2</v>
      </c>
      <c r="G332" s="10">
        <v>45602</v>
      </c>
      <c r="H332" s="1">
        <v>6.58</v>
      </c>
    </row>
    <row r="333" spans="1:8" x14ac:dyDescent="0.35">
      <c r="A333" s="1" t="s">
        <v>41</v>
      </c>
      <c r="B333" s="2" t="s">
        <v>63</v>
      </c>
      <c r="C333" s="2" t="s">
        <v>131</v>
      </c>
      <c r="D333" s="1" t="str">
        <f t="shared" si="5"/>
        <v>TB2_8-24_2</v>
      </c>
      <c r="G333" s="10">
        <v>45602</v>
      </c>
      <c r="H333" s="1">
        <v>6.43</v>
      </c>
    </row>
    <row r="334" spans="1:8" x14ac:dyDescent="0.35">
      <c r="A334" s="1" t="s">
        <v>42</v>
      </c>
      <c r="B334" s="2" t="s">
        <v>63</v>
      </c>
      <c r="C334" s="2" t="s">
        <v>131</v>
      </c>
      <c r="D334" s="1" t="str">
        <f t="shared" si="5"/>
        <v>GB2_8-24_2</v>
      </c>
      <c r="G334" s="10">
        <v>45602</v>
      </c>
      <c r="H334" s="1">
        <v>14.2</v>
      </c>
    </row>
    <row r="335" spans="1:8" hidden="1" x14ac:dyDescent="0.35">
      <c r="A335" s="1" t="s">
        <v>43</v>
      </c>
      <c r="B335" s="2" t="s">
        <v>63</v>
      </c>
      <c r="C335" s="2" t="s">
        <v>131</v>
      </c>
      <c r="D335" s="1" t="str">
        <f t="shared" si="5"/>
        <v>RB_8-24_2</v>
      </c>
      <c r="G335" s="10"/>
    </row>
    <row r="336" spans="1:8" hidden="1" x14ac:dyDescent="0.35">
      <c r="A336" s="1" t="s">
        <v>44</v>
      </c>
      <c r="B336" s="2" t="s">
        <v>63</v>
      </c>
      <c r="C336" s="2" t="s">
        <v>131</v>
      </c>
      <c r="D336" s="1" t="str">
        <f t="shared" si="5"/>
        <v>TSM1_8-24_2</v>
      </c>
      <c r="G336" s="10"/>
    </row>
    <row r="337" spans="1:8" x14ac:dyDescent="0.35">
      <c r="A337" s="1" t="s">
        <v>45</v>
      </c>
      <c r="B337" s="2" t="s">
        <v>63</v>
      </c>
      <c r="C337" s="2" t="s">
        <v>131</v>
      </c>
      <c r="D337" s="1" t="str">
        <f t="shared" si="5"/>
        <v>TSM3_8-24_2</v>
      </c>
      <c r="G337" s="10">
        <v>45602</v>
      </c>
      <c r="H337" s="1">
        <v>11.43</v>
      </c>
    </row>
    <row r="338" spans="1:8" x14ac:dyDescent="0.35">
      <c r="A338" s="1" t="s">
        <v>46</v>
      </c>
      <c r="B338" s="2" t="s">
        <v>63</v>
      </c>
      <c r="C338" s="2" t="s">
        <v>131</v>
      </c>
      <c r="D338" s="1" t="str">
        <f t="shared" si="5"/>
        <v>TSM4_8-24_2</v>
      </c>
      <c r="G338" s="10">
        <v>45602</v>
      </c>
      <c r="H338" s="1">
        <v>8.5399999999999991</v>
      </c>
    </row>
    <row r="339" spans="1:8" x14ac:dyDescent="0.35">
      <c r="A339" s="1" t="s">
        <v>47</v>
      </c>
      <c r="B339" s="2" t="s">
        <v>63</v>
      </c>
      <c r="C339" s="2" t="s">
        <v>131</v>
      </c>
      <c r="D339" s="1" t="str">
        <f t="shared" si="5"/>
        <v>SBT1_8-24_2</v>
      </c>
      <c r="G339" s="10">
        <v>45602</v>
      </c>
      <c r="H339" s="1">
        <v>16.64</v>
      </c>
    </row>
    <row r="340" spans="1:8" x14ac:dyDescent="0.35">
      <c r="A340" s="1" t="s">
        <v>48</v>
      </c>
      <c r="B340" s="2" t="s">
        <v>63</v>
      </c>
      <c r="C340" s="2" t="s">
        <v>131</v>
      </c>
      <c r="D340" s="1" t="str">
        <f t="shared" si="5"/>
        <v>SBT2_8-24_2</v>
      </c>
      <c r="G340" s="10">
        <v>45602</v>
      </c>
      <c r="H340" s="1">
        <v>6.93</v>
      </c>
    </row>
    <row r="341" spans="1:8" x14ac:dyDescent="0.35">
      <c r="A341" s="1" t="s">
        <v>51</v>
      </c>
      <c r="B341" s="2" t="s">
        <v>63</v>
      </c>
      <c r="C341" s="2" t="s">
        <v>131</v>
      </c>
      <c r="D341" s="1" t="str">
        <f t="shared" si="5"/>
        <v>WB1_8-24_2</v>
      </c>
      <c r="G341" s="10">
        <v>45602</v>
      </c>
      <c r="H341" s="1">
        <v>8.1999999999999993</v>
      </c>
    </row>
    <row r="342" spans="1:8" x14ac:dyDescent="0.35">
      <c r="A342" s="1" t="s">
        <v>52</v>
      </c>
      <c r="B342" s="2" t="s">
        <v>63</v>
      </c>
      <c r="C342" s="2" t="s">
        <v>131</v>
      </c>
      <c r="D342" s="1" t="str">
        <f t="shared" si="5"/>
        <v>WB2_8-24_2</v>
      </c>
      <c r="G342" s="10">
        <v>45602</v>
      </c>
      <c r="H342" s="1">
        <v>1.87</v>
      </c>
    </row>
    <row r="343" spans="1:8" x14ac:dyDescent="0.35">
      <c r="A343" s="1" t="s">
        <v>53</v>
      </c>
      <c r="B343" s="2" t="s">
        <v>63</v>
      </c>
      <c r="C343" s="2" t="s">
        <v>131</v>
      </c>
      <c r="D343" s="1" t="str">
        <f t="shared" si="5"/>
        <v>TKB_8-24_2</v>
      </c>
      <c r="G343" s="10">
        <v>45602</v>
      </c>
      <c r="H343" s="1">
        <v>2.1</v>
      </c>
    </row>
    <row r="344" spans="1:8" x14ac:dyDescent="0.35">
      <c r="A344" s="1" t="s">
        <v>54</v>
      </c>
      <c r="B344" s="2" t="s">
        <v>63</v>
      </c>
      <c r="C344" s="2" t="s">
        <v>131</v>
      </c>
      <c r="D344" s="1" t="str">
        <f t="shared" si="5"/>
        <v>JB_8-24_2</v>
      </c>
      <c r="G344" s="10">
        <v>45602</v>
      </c>
      <c r="H344" s="1">
        <v>0.84</v>
      </c>
    </row>
    <row r="345" spans="1:8" x14ac:dyDescent="0.35">
      <c r="A345" s="1" t="s">
        <v>55</v>
      </c>
      <c r="B345" s="2" t="s">
        <v>63</v>
      </c>
      <c r="C345" s="2" t="s">
        <v>131</v>
      </c>
      <c r="D345" s="1" t="str">
        <f t="shared" si="5"/>
        <v>CC_8-24_2</v>
      </c>
      <c r="G345" s="10">
        <v>45602</v>
      </c>
      <c r="H345" s="1">
        <v>4.07</v>
      </c>
    </row>
    <row r="346" spans="1:8" x14ac:dyDescent="0.35">
      <c r="A346" s="1" t="s">
        <v>21</v>
      </c>
      <c r="B346" s="2" t="s">
        <v>132</v>
      </c>
      <c r="C346" s="2" t="s">
        <v>129</v>
      </c>
      <c r="D346" s="1" t="str">
        <f t="shared" si="5"/>
        <v>OL_7_24_1</v>
      </c>
      <c r="E346" s="10">
        <v>45502</v>
      </c>
      <c r="F346" s="1">
        <v>54</v>
      </c>
      <c r="G346" s="10">
        <v>45602</v>
      </c>
      <c r="H346" s="1">
        <v>3.52</v>
      </c>
    </row>
    <row r="347" spans="1:8" x14ac:dyDescent="0.35">
      <c r="A347" s="1" t="s">
        <v>21</v>
      </c>
      <c r="B347" s="2" t="s">
        <v>132</v>
      </c>
      <c r="C347" s="2" t="s">
        <v>131</v>
      </c>
      <c r="D347" s="1" t="str">
        <f t="shared" si="5"/>
        <v>OL_7_24_2</v>
      </c>
      <c r="E347" s="10">
        <v>45502</v>
      </c>
      <c r="F347" s="1">
        <v>54</v>
      </c>
      <c r="G347" s="10">
        <v>45602</v>
      </c>
      <c r="H347" s="1">
        <v>1.18</v>
      </c>
    </row>
    <row r="348" spans="1:8" x14ac:dyDescent="0.35">
      <c r="A348" s="1" t="s">
        <v>45</v>
      </c>
      <c r="B348" s="2" t="s">
        <v>133</v>
      </c>
      <c r="C348" s="2" t="s">
        <v>129</v>
      </c>
      <c r="D348" s="1" t="s">
        <v>134</v>
      </c>
      <c r="E348" s="10">
        <v>45524</v>
      </c>
      <c r="F348" s="1">
        <v>54</v>
      </c>
      <c r="G348" s="10">
        <v>45602</v>
      </c>
      <c r="H348" s="1">
        <v>9.6199999999999992</v>
      </c>
    </row>
    <row r="349" spans="1:8" x14ac:dyDescent="0.35">
      <c r="A349" s="1" t="s">
        <v>46</v>
      </c>
      <c r="B349" s="2" t="s">
        <v>133</v>
      </c>
      <c r="C349" s="2" t="s">
        <v>129</v>
      </c>
      <c r="D349" s="1" t="s">
        <v>135</v>
      </c>
      <c r="E349" s="10">
        <v>45524</v>
      </c>
      <c r="F349" s="1">
        <v>55</v>
      </c>
      <c r="G349" s="10">
        <v>45602</v>
      </c>
      <c r="H349" s="1">
        <v>11.43</v>
      </c>
    </row>
    <row r="350" spans="1:8" x14ac:dyDescent="0.35">
      <c r="A350" s="1" t="s">
        <v>45</v>
      </c>
      <c r="B350" s="2" t="s">
        <v>133</v>
      </c>
      <c r="C350" s="2" t="s">
        <v>131</v>
      </c>
      <c r="D350" s="1" t="s">
        <v>136</v>
      </c>
      <c r="E350" s="10">
        <v>45524</v>
      </c>
      <c r="F350" s="1">
        <v>56</v>
      </c>
      <c r="G350" s="10">
        <v>45602</v>
      </c>
      <c r="H350" s="1">
        <v>7.92</v>
      </c>
    </row>
    <row r="351" spans="1:8" x14ac:dyDescent="0.35">
      <c r="A351" s="1" t="s">
        <v>46</v>
      </c>
      <c r="B351" s="2" t="s">
        <v>133</v>
      </c>
      <c r="C351" s="2" t="s">
        <v>131</v>
      </c>
      <c r="D351" s="1" t="s">
        <v>137</v>
      </c>
      <c r="E351" s="10">
        <v>45524</v>
      </c>
      <c r="F351" s="1">
        <v>53</v>
      </c>
      <c r="G351" s="10">
        <v>45602</v>
      </c>
      <c r="H351" s="1">
        <v>8.5399999999999991</v>
      </c>
    </row>
  </sheetData>
  <autoFilter ref="A1:H351" xr:uid="{27BD15E3-4BDC-454A-A05D-20BB71F17961}">
    <filterColumn colId="5">
      <filters blank="1">
        <filter val="11"/>
        <filter val="17"/>
        <filter val="20"/>
        <filter val="22"/>
        <filter val="24"/>
        <filter val="25"/>
        <filter val="28"/>
        <filter val="30"/>
        <filter val="48"/>
        <filter val="5"/>
        <filter val="50"/>
        <filter val="51"/>
        <filter val="52"/>
        <filter val="53"/>
        <filter val="54"/>
        <filter val="55"/>
        <filter val="56"/>
        <filter val="57"/>
        <filter val="58"/>
      </filters>
    </filterColumn>
    <filterColumn colId="6">
      <filters>
        <dateGroupItem year="2024" dateTimeGrouping="year"/>
        <dateGroupItem year="2023" dateTimeGrouping="year"/>
      </filters>
    </filterColumn>
    <filterColumn colId="7">
      <customFilters>
        <customFilter operator="notEqual" val=" "/>
      </customFilters>
    </filterColumn>
    <sortState xmlns:xlrd2="http://schemas.microsoft.com/office/spreadsheetml/2017/richdata2" ref="A2:H345">
      <sortCondition ref="E1:E345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0173-BB48-499D-B1BF-7653EF6BEBB4}">
  <dimension ref="A1:E33"/>
  <sheetViews>
    <sheetView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5.54296875" style="1" customWidth="1"/>
    <col min="2" max="2" width="17.1796875" style="2" customWidth="1"/>
    <col min="3" max="4" width="16.54296875" style="1" customWidth="1"/>
    <col min="5" max="5" width="16.1796875" style="1" customWidth="1"/>
  </cols>
  <sheetData>
    <row r="1" spans="1:5" s="7" customFormat="1" x14ac:dyDescent="0.35">
      <c r="A1" s="8" t="s">
        <v>0</v>
      </c>
      <c r="B1" s="9" t="s">
        <v>1</v>
      </c>
      <c r="C1" s="8" t="s">
        <v>3</v>
      </c>
      <c r="D1" s="8" t="s">
        <v>4</v>
      </c>
      <c r="E1" s="8" t="s">
        <v>138</v>
      </c>
    </row>
    <row r="2" spans="1:5" x14ac:dyDescent="0.35">
      <c r="A2" s="1" t="s">
        <v>23</v>
      </c>
      <c r="B2" s="2" t="s">
        <v>14</v>
      </c>
      <c r="C2" s="1" t="str">
        <f>A2&amp;"_"&amp;B2&amp;"_"&amp;"A"</f>
        <v>ACS1_9-23_A</v>
      </c>
      <c r="D2" s="10">
        <v>45195</v>
      </c>
    </row>
    <row r="3" spans="1:5" x14ac:dyDescent="0.35">
      <c r="A3" s="1" t="s">
        <v>26</v>
      </c>
      <c r="B3" s="2" t="s">
        <v>14</v>
      </c>
      <c r="C3" s="1" t="str">
        <f t="shared" ref="C3:C17" si="0">A3&amp;"_"&amp;B3&amp;"_"&amp;"A"</f>
        <v>ACS4_9-23_A</v>
      </c>
      <c r="D3" s="10">
        <v>45195</v>
      </c>
    </row>
    <row r="4" spans="1:5" x14ac:dyDescent="0.35">
      <c r="A4" s="1" t="s">
        <v>34</v>
      </c>
      <c r="B4" s="2" t="s">
        <v>14</v>
      </c>
      <c r="C4" s="1" t="str">
        <f t="shared" si="0"/>
        <v>MCS1_9-23_A</v>
      </c>
      <c r="D4" s="10">
        <v>45196</v>
      </c>
    </row>
    <row r="5" spans="1:5" x14ac:dyDescent="0.35">
      <c r="A5" s="1" t="s">
        <v>36</v>
      </c>
      <c r="B5" s="2" t="s">
        <v>14</v>
      </c>
      <c r="C5" s="1" t="str">
        <f t="shared" si="0"/>
        <v>MCS3_9-23_A</v>
      </c>
      <c r="D5" s="10">
        <v>45196</v>
      </c>
    </row>
    <row r="6" spans="1:5" x14ac:dyDescent="0.35">
      <c r="A6" s="1" t="s">
        <v>40</v>
      </c>
      <c r="B6" s="2" t="s">
        <v>14</v>
      </c>
      <c r="C6" s="1" t="str">
        <f t="shared" si="0"/>
        <v>TB1_9-23_A</v>
      </c>
      <c r="D6" s="10">
        <v>45196</v>
      </c>
    </row>
    <row r="7" spans="1:5" x14ac:dyDescent="0.35">
      <c r="A7" s="1" t="s">
        <v>33</v>
      </c>
      <c r="B7" s="2" t="s">
        <v>14</v>
      </c>
      <c r="C7" s="1" t="str">
        <f t="shared" si="0"/>
        <v>GB1_9-23_A</v>
      </c>
      <c r="D7" s="10">
        <v>45195</v>
      </c>
    </row>
    <row r="8" spans="1:5" x14ac:dyDescent="0.35">
      <c r="A8" s="1" t="s">
        <v>43</v>
      </c>
      <c r="B8" s="2" t="s">
        <v>14</v>
      </c>
      <c r="C8" s="1" t="str">
        <f t="shared" si="0"/>
        <v>RB_9-23_A</v>
      </c>
      <c r="D8" s="10">
        <v>45196</v>
      </c>
    </row>
    <row r="9" spans="1:5" x14ac:dyDescent="0.35">
      <c r="A9" s="1" t="s">
        <v>51</v>
      </c>
      <c r="B9" s="2" t="s">
        <v>14</v>
      </c>
      <c r="C9" s="1" t="str">
        <f t="shared" si="0"/>
        <v>WB1_9-23_A</v>
      </c>
      <c r="D9" s="1" t="s">
        <v>59</v>
      </c>
    </row>
    <row r="10" spans="1:5" x14ac:dyDescent="0.35">
      <c r="A10" s="1" t="s">
        <v>23</v>
      </c>
      <c r="B10" s="2" t="s">
        <v>60</v>
      </c>
      <c r="C10" s="1" t="str">
        <f t="shared" si="0"/>
        <v>ACS1_1-24_A</v>
      </c>
      <c r="D10" s="10">
        <v>45324</v>
      </c>
      <c r="E10" s="1" t="s">
        <v>380</v>
      </c>
    </row>
    <row r="11" spans="1:5" x14ac:dyDescent="0.35">
      <c r="A11" s="1" t="s">
        <v>26</v>
      </c>
      <c r="B11" s="2" t="s">
        <v>60</v>
      </c>
      <c r="C11" s="1" t="str">
        <f t="shared" si="0"/>
        <v>ACS4_1-24_A</v>
      </c>
      <c r="D11" s="10">
        <v>45324</v>
      </c>
      <c r="E11" s="1" t="s">
        <v>380</v>
      </c>
    </row>
    <row r="12" spans="1:5" x14ac:dyDescent="0.35">
      <c r="A12" s="1" t="s">
        <v>34</v>
      </c>
      <c r="B12" s="2" t="s">
        <v>60</v>
      </c>
      <c r="C12" s="1" t="str">
        <f t="shared" si="0"/>
        <v>MCS1_1-24_A</v>
      </c>
      <c r="D12" s="10">
        <v>45298</v>
      </c>
      <c r="E12" s="1" t="s">
        <v>380</v>
      </c>
    </row>
    <row r="13" spans="1:5" x14ac:dyDescent="0.35">
      <c r="A13" s="1" t="s">
        <v>36</v>
      </c>
      <c r="B13" s="2" t="s">
        <v>60</v>
      </c>
      <c r="C13" s="1" t="str">
        <f t="shared" si="0"/>
        <v>MCS3_1-24_A</v>
      </c>
      <c r="D13" s="10">
        <v>45298</v>
      </c>
      <c r="E13" s="1" t="s">
        <v>380</v>
      </c>
    </row>
    <row r="14" spans="1:5" x14ac:dyDescent="0.35">
      <c r="A14" s="1" t="s">
        <v>40</v>
      </c>
      <c r="B14" s="2" t="s">
        <v>60</v>
      </c>
      <c r="C14" s="1" t="str">
        <f t="shared" si="0"/>
        <v>TB1_1-24_A</v>
      </c>
      <c r="D14" s="10">
        <v>45298</v>
      </c>
      <c r="E14" s="1" t="s">
        <v>380</v>
      </c>
    </row>
    <row r="15" spans="1:5" x14ac:dyDescent="0.35">
      <c r="A15" s="1" t="s">
        <v>33</v>
      </c>
      <c r="B15" s="2" t="s">
        <v>60</v>
      </c>
      <c r="C15" s="1" t="str">
        <f t="shared" si="0"/>
        <v>GB1_1-24_A</v>
      </c>
      <c r="D15" s="10">
        <v>45324</v>
      </c>
      <c r="E15" s="1" t="s">
        <v>380</v>
      </c>
    </row>
    <row r="16" spans="1:5" x14ac:dyDescent="0.35">
      <c r="A16" s="1" t="s">
        <v>43</v>
      </c>
      <c r="B16" s="2" t="s">
        <v>60</v>
      </c>
      <c r="C16" s="1" t="str">
        <f t="shared" si="0"/>
        <v>RB_1-24_A</v>
      </c>
      <c r="D16" s="10">
        <v>45297</v>
      </c>
      <c r="E16" s="1" t="s">
        <v>380</v>
      </c>
    </row>
    <row r="17" spans="1:5" x14ac:dyDescent="0.35">
      <c r="A17" s="1" t="s">
        <v>51</v>
      </c>
      <c r="B17" s="2" t="s">
        <v>60</v>
      </c>
      <c r="C17" s="1" t="str">
        <f t="shared" si="0"/>
        <v>WB1_1-24_A</v>
      </c>
      <c r="D17" s="10">
        <v>45298</v>
      </c>
      <c r="E17" s="1" t="s">
        <v>380</v>
      </c>
    </row>
    <row r="18" spans="1:5" x14ac:dyDescent="0.35">
      <c r="A18" s="1" t="s">
        <v>23</v>
      </c>
      <c r="B18" s="2" t="s">
        <v>62</v>
      </c>
      <c r="C18" s="1" t="str">
        <f t="shared" ref="C18:C25" si="1">A18&amp;"_"&amp;B18&amp;"_"&amp;"A"</f>
        <v>ACS1_4-24_A</v>
      </c>
      <c r="D18" s="10">
        <v>45392</v>
      </c>
      <c r="E18" s="1" t="s">
        <v>380</v>
      </c>
    </row>
    <row r="19" spans="1:5" x14ac:dyDescent="0.35">
      <c r="A19" s="1" t="s">
        <v>26</v>
      </c>
      <c r="B19" s="2" t="s">
        <v>62</v>
      </c>
      <c r="C19" s="1" t="str">
        <f t="shared" si="1"/>
        <v>ACS4_4-24_A</v>
      </c>
      <c r="D19" s="10">
        <v>45392</v>
      </c>
      <c r="E19" s="1" t="s">
        <v>380</v>
      </c>
    </row>
    <row r="20" spans="1:5" x14ac:dyDescent="0.35">
      <c r="A20" s="1" t="s">
        <v>34</v>
      </c>
      <c r="B20" s="2" t="s">
        <v>62</v>
      </c>
      <c r="C20" s="1" t="str">
        <f t="shared" si="1"/>
        <v>MCS1_4-24_A</v>
      </c>
      <c r="D20" s="10">
        <v>45390</v>
      </c>
      <c r="E20" s="1" t="s">
        <v>381</v>
      </c>
    </row>
    <row r="21" spans="1:5" x14ac:dyDescent="0.35">
      <c r="A21" s="1" t="s">
        <v>36</v>
      </c>
      <c r="B21" s="2" t="s">
        <v>62</v>
      </c>
      <c r="C21" s="1" t="str">
        <f t="shared" si="1"/>
        <v>MCS3_4-24_A</v>
      </c>
      <c r="D21" s="10">
        <v>45390</v>
      </c>
      <c r="E21" s="1" t="s">
        <v>381</v>
      </c>
    </row>
    <row r="22" spans="1:5" x14ac:dyDescent="0.35">
      <c r="A22" s="1" t="s">
        <v>40</v>
      </c>
      <c r="B22" s="2" t="s">
        <v>62</v>
      </c>
      <c r="C22" s="1" t="str">
        <f t="shared" si="1"/>
        <v>TB1_4-24_A</v>
      </c>
      <c r="D22" s="10">
        <v>45390</v>
      </c>
      <c r="E22" s="1" t="s">
        <v>381</v>
      </c>
    </row>
    <row r="23" spans="1:5" x14ac:dyDescent="0.35">
      <c r="A23" s="1" t="s">
        <v>33</v>
      </c>
      <c r="B23" s="2" t="s">
        <v>62</v>
      </c>
      <c r="C23" s="1" t="str">
        <f t="shared" si="1"/>
        <v>GB1_4-24_A</v>
      </c>
      <c r="D23" s="10">
        <v>45392</v>
      </c>
      <c r="E23" s="1" t="s">
        <v>380</v>
      </c>
    </row>
    <row r="24" spans="1:5" x14ac:dyDescent="0.35">
      <c r="A24" s="1" t="s">
        <v>43</v>
      </c>
      <c r="B24" s="2" t="s">
        <v>62</v>
      </c>
      <c r="C24" s="1" t="str">
        <f t="shared" si="1"/>
        <v>RB_4-24_A</v>
      </c>
      <c r="D24" s="10">
        <v>45393</v>
      </c>
      <c r="E24" s="1" t="s">
        <v>381</v>
      </c>
    </row>
    <row r="25" spans="1:5" x14ac:dyDescent="0.35">
      <c r="A25" s="1" t="s">
        <v>51</v>
      </c>
      <c r="B25" s="2" t="s">
        <v>62</v>
      </c>
      <c r="C25" s="1" t="str">
        <f t="shared" si="1"/>
        <v>WB1_4-24_A</v>
      </c>
      <c r="D25" s="10">
        <v>45393</v>
      </c>
      <c r="E25" s="1" t="s">
        <v>381</v>
      </c>
    </row>
    <row r="26" spans="1:5" x14ac:dyDescent="0.35">
      <c r="A26" s="1" t="s">
        <v>23</v>
      </c>
      <c r="B26" s="2" t="s">
        <v>63</v>
      </c>
      <c r="C26" s="1" t="str">
        <f t="shared" ref="C26:C33" si="2">A26&amp;"_"&amp;B26&amp;"_"&amp;"A"</f>
        <v>ACS1_8-24_A</v>
      </c>
      <c r="D26" s="10">
        <v>45515</v>
      </c>
      <c r="E26" s="1" t="s">
        <v>380</v>
      </c>
    </row>
    <row r="27" spans="1:5" x14ac:dyDescent="0.35">
      <c r="A27" s="1" t="s">
        <v>26</v>
      </c>
      <c r="B27" s="2" t="s">
        <v>63</v>
      </c>
      <c r="C27" s="1" t="str">
        <f t="shared" si="2"/>
        <v>ACS4_8-24_A</v>
      </c>
      <c r="D27" s="10">
        <v>45515</v>
      </c>
      <c r="E27" s="1" t="s">
        <v>381</v>
      </c>
    </row>
    <row r="28" spans="1:5" x14ac:dyDescent="0.35">
      <c r="A28" s="1" t="s">
        <v>34</v>
      </c>
      <c r="B28" s="2" t="s">
        <v>63</v>
      </c>
      <c r="C28" s="1" t="str">
        <f t="shared" si="2"/>
        <v>MCS1_8-24_A</v>
      </c>
      <c r="D28" s="10">
        <v>45514</v>
      </c>
      <c r="E28" s="1" t="s">
        <v>382</v>
      </c>
    </row>
    <row r="29" spans="1:5" x14ac:dyDescent="0.35">
      <c r="A29" s="1" t="s">
        <v>36</v>
      </c>
      <c r="B29" s="2" t="s">
        <v>63</v>
      </c>
      <c r="C29" s="1" t="str">
        <f t="shared" si="2"/>
        <v>MCS3_8-24_A</v>
      </c>
      <c r="D29" s="10">
        <v>45514</v>
      </c>
      <c r="E29" s="1" t="s">
        <v>381</v>
      </c>
    </row>
    <row r="30" spans="1:5" x14ac:dyDescent="0.35">
      <c r="A30" s="1" t="s">
        <v>40</v>
      </c>
      <c r="B30" s="2" t="s">
        <v>63</v>
      </c>
      <c r="C30" s="1" t="str">
        <f t="shared" si="2"/>
        <v>TB1_8-24_A</v>
      </c>
      <c r="D30" s="10">
        <v>45514</v>
      </c>
      <c r="E30" s="1" t="s">
        <v>381</v>
      </c>
    </row>
    <row r="31" spans="1:5" x14ac:dyDescent="0.35">
      <c r="A31" s="1" t="s">
        <v>33</v>
      </c>
      <c r="B31" s="2" t="s">
        <v>63</v>
      </c>
      <c r="C31" s="1" t="str">
        <f t="shared" si="2"/>
        <v>GB1_8-24_A</v>
      </c>
      <c r="D31" s="10">
        <v>45515</v>
      </c>
      <c r="E31" s="1" t="s">
        <v>381</v>
      </c>
    </row>
    <row r="32" spans="1:5" x14ac:dyDescent="0.35">
      <c r="A32" s="1" t="s">
        <v>43</v>
      </c>
      <c r="B32" s="2" t="s">
        <v>63</v>
      </c>
      <c r="C32" s="1" t="str">
        <f t="shared" si="2"/>
        <v>RB_8-24_A</v>
      </c>
      <c r="D32" s="10">
        <v>45516</v>
      </c>
      <c r="E32" s="1" t="s">
        <v>381</v>
      </c>
    </row>
    <row r="33" spans="1:5" x14ac:dyDescent="0.35">
      <c r="A33" s="1" t="s">
        <v>51</v>
      </c>
      <c r="B33" s="2" t="s">
        <v>63</v>
      </c>
      <c r="C33" s="1" t="str">
        <f t="shared" si="2"/>
        <v>WB1_8-24_A</v>
      </c>
      <c r="D33" s="10">
        <v>45516</v>
      </c>
      <c r="E33" s="1" t="s">
        <v>381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8975-6BA6-40AD-A670-E89DE19AE9EF}">
  <dimension ref="A1:I40"/>
  <sheetViews>
    <sheetView workbookViewId="0">
      <selection activeCell="E9" sqref="E9"/>
    </sheetView>
  </sheetViews>
  <sheetFormatPr defaultRowHeight="14.5" x14ac:dyDescent="0.35"/>
  <cols>
    <col min="1" max="1" width="14.81640625" style="1" customWidth="1"/>
    <col min="2" max="2" width="11.7265625" style="1" customWidth="1"/>
    <col min="3" max="3" width="12.453125" style="1" customWidth="1"/>
    <col min="4" max="4" width="11.26953125" style="1" customWidth="1"/>
    <col min="5" max="5" width="15" style="1" customWidth="1"/>
    <col min="6" max="6" width="14.7265625" style="1" customWidth="1"/>
    <col min="7" max="7" width="11.26953125" style="1" customWidth="1"/>
    <col min="8" max="8" width="14" style="1" customWidth="1"/>
    <col min="9" max="9" width="15.453125" style="1" customWidth="1"/>
  </cols>
  <sheetData>
    <row r="1" spans="1:9" s="7" customFormat="1" x14ac:dyDescent="0.35">
      <c r="A1" s="5" t="s">
        <v>139</v>
      </c>
      <c r="B1" s="6" t="s">
        <v>0</v>
      </c>
      <c r="C1" s="6" t="s">
        <v>140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5" t="s">
        <v>146</v>
      </c>
    </row>
    <row r="2" spans="1:9" ht="43.5" x14ac:dyDescent="0.35">
      <c r="A2" s="3" t="s">
        <v>147</v>
      </c>
      <c r="B2" s="4" t="s">
        <v>44</v>
      </c>
      <c r="C2" s="4">
        <v>25.406877000000001</v>
      </c>
      <c r="D2" s="4">
        <v>-80.605754000000005</v>
      </c>
      <c r="E2" s="4">
        <v>539651.39</v>
      </c>
      <c r="F2" s="4">
        <v>2810060.39</v>
      </c>
      <c r="G2" s="4" t="s">
        <v>148</v>
      </c>
      <c r="H2" s="4" t="s">
        <v>59</v>
      </c>
      <c r="I2" s="3" t="s">
        <v>149</v>
      </c>
    </row>
    <row r="3" spans="1:9" ht="43.5" x14ac:dyDescent="0.35">
      <c r="A3" s="3" t="s">
        <v>150</v>
      </c>
      <c r="B3" s="4" t="s">
        <v>45</v>
      </c>
      <c r="C3" s="4">
        <v>25.283386</v>
      </c>
      <c r="D3" s="4">
        <v>-80.797905</v>
      </c>
      <c r="E3" s="4">
        <v>520346.36</v>
      </c>
      <c r="F3" s="4">
        <v>2796342.59</v>
      </c>
      <c r="G3" s="4" t="s">
        <v>148</v>
      </c>
      <c r="H3" s="4" t="s">
        <v>59</v>
      </c>
      <c r="I3" s="3" t="s">
        <v>151</v>
      </c>
    </row>
    <row r="4" spans="1:9" ht="43.5" x14ac:dyDescent="0.35">
      <c r="A4" s="3" t="s">
        <v>152</v>
      </c>
      <c r="B4" s="4" t="s">
        <v>46</v>
      </c>
      <c r="C4" s="4">
        <v>25.250482999999999</v>
      </c>
      <c r="D4" s="4">
        <v>-80.797746000000004</v>
      </c>
      <c r="E4" s="4">
        <v>520367.89</v>
      </c>
      <c r="F4" s="4">
        <v>2792699.17</v>
      </c>
      <c r="G4" s="4" t="s">
        <v>148</v>
      </c>
      <c r="H4" s="4" t="s">
        <v>59</v>
      </c>
      <c r="I4" s="3" t="s">
        <v>153</v>
      </c>
    </row>
    <row r="5" spans="1:9" ht="29" x14ac:dyDescent="0.35">
      <c r="A5" s="3" t="s">
        <v>154</v>
      </c>
      <c r="B5" s="4" t="s">
        <v>47</v>
      </c>
      <c r="C5" s="4">
        <v>25.184066000000001</v>
      </c>
      <c r="D5" s="4">
        <v>-80.873553000000001</v>
      </c>
      <c r="E5" s="4">
        <v>512740.66</v>
      </c>
      <c r="F5" s="4">
        <v>2785335.4</v>
      </c>
      <c r="G5" s="4" t="s">
        <v>155</v>
      </c>
      <c r="H5" s="4" t="s">
        <v>59</v>
      </c>
      <c r="I5" s="3" t="s">
        <v>156</v>
      </c>
    </row>
    <row r="6" spans="1:9" ht="29" x14ac:dyDescent="0.35">
      <c r="A6" s="3" t="s">
        <v>157</v>
      </c>
      <c r="B6" s="4" t="s">
        <v>48</v>
      </c>
      <c r="C6" s="4">
        <v>25.173629999999999</v>
      </c>
      <c r="D6" s="4">
        <v>-80.873795000000001</v>
      </c>
      <c r="E6" s="4">
        <v>512717.37</v>
      </c>
      <c r="F6" s="4">
        <v>2784179.71</v>
      </c>
      <c r="G6" s="4" t="s">
        <v>158</v>
      </c>
      <c r="H6" s="4" t="s">
        <v>59</v>
      </c>
      <c r="I6" s="3" t="s">
        <v>159</v>
      </c>
    </row>
    <row r="7" spans="1:9" x14ac:dyDescent="0.35">
      <c r="A7" s="3" t="s">
        <v>160</v>
      </c>
      <c r="B7" s="4" t="s">
        <v>23</v>
      </c>
      <c r="C7" s="4">
        <v>25.208037000000001</v>
      </c>
      <c r="D7" s="4">
        <v>-80.818275</v>
      </c>
      <c r="E7" s="4">
        <v>518306.83</v>
      </c>
      <c r="F7" s="4">
        <v>2787996.12</v>
      </c>
      <c r="G7" s="4" t="s">
        <v>161</v>
      </c>
      <c r="H7" s="4" t="s">
        <v>16</v>
      </c>
      <c r="I7" s="3" t="s">
        <v>160</v>
      </c>
    </row>
    <row r="8" spans="1:9" x14ac:dyDescent="0.35">
      <c r="A8" s="3" t="s">
        <v>162</v>
      </c>
      <c r="B8" s="4" t="s">
        <v>24</v>
      </c>
      <c r="C8" s="4">
        <v>25.196525999999999</v>
      </c>
      <c r="D8" s="4">
        <v>-80.791628000000003</v>
      </c>
      <c r="E8" s="4">
        <v>520993.25</v>
      </c>
      <c r="F8" s="4">
        <v>2786725.29</v>
      </c>
      <c r="G8" s="4" t="s">
        <v>161</v>
      </c>
      <c r="H8" s="4" t="s">
        <v>59</v>
      </c>
      <c r="I8" s="3" t="s">
        <v>162</v>
      </c>
    </row>
    <row r="9" spans="1:9" ht="72.5" x14ac:dyDescent="0.35">
      <c r="A9" s="3" t="s">
        <v>163</v>
      </c>
      <c r="B9" s="4" t="s">
        <v>25</v>
      </c>
      <c r="C9" s="4">
        <v>25.201426999999999</v>
      </c>
      <c r="D9" s="4">
        <v>-80.786670000000001</v>
      </c>
      <c r="E9" s="4">
        <v>521491.83</v>
      </c>
      <c r="F9" s="4">
        <v>2787268.83</v>
      </c>
      <c r="G9" s="4" t="s">
        <v>164</v>
      </c>
      <c r="H9" s="4" t="s">
        <v>59</v>
      </c>
      <c r="I9" s="3" t="s">
        <v>165</v>
      </c>
    </row>
    <row r="10" spans="1:9" x14ac:dyDescent="0.35">
      <c r="A10" s="3" t="s">
        <v>166</v>
      </c>
      <c r="B10" s="4" t="s">
        <v>26</v>
      </c>
      <c r="C10" s="4">
        <v>25.171946999999999</v>
      </c>
      <c r="D10" s="4">
        <v>-80.769233999999997</v>
      </c>
      <c r="E10" s="4">
        <v>523254.03</v>
      </c>
      <c r="F10" s="4">
        <v>2784007.35</v>
      </c>
      <c r="G10" s="4" t="s">
        <v>161</v>
      </c>
      <c r="H10" s="4" t="s">
        <v>16</v>
      </c>
      <c r="I10" s="3" t="s">
        <v>166</v>
      </c>
    </row>
    <row r="11" spans="1:9" ht="43.5" x14ac:dyDescent="0.35">
      <c r="A11" s="3" t="s">
        <v>167</v>
      </c>
      <c r="B11" s="4" t="s">
        <v>27</v>
      </c>
      <c r="C11" s="4">
        <v>25.176182000000001</v>
      </c>
      <c r="D11" s="4">
        <v>-80.793887999999995</v>
      </c>
      <c r="E11" s="4">
        <v>520768.94</v>
      </c>
      <c r="F11" s="4">
        <v>2784472.26</v>
      </c>
      <c r="G11" s="4" t="s">
        <v>158</v>
      </c>
      <c r="H11" s="4" t="s">
        <v>59</v>
      </c>
      <c r="I11" s="3" t="s">
        <v>168</v>
      </c>
    </row>
    <row r="12" spans="1:9" ht="43.5" x14ac:dyDescent="0.35">
      <c r="A12" s="3" t="s">
        <v>169</v>
      </c>
      <c r="B12" s="4" t="s">
        <v>28</v>
      </c>
      <c r="C12" s="4">
        <v>25.177109000000002</v>
      </c>
      <c r="D12" s="4">
        <v>-80.794167000000002</v>
      </c>
      <c r="E12" s="4">
        <v>520740.72</v>
      </c>
      <c r="F12" s="4">
        <v>2784574.87</v>
      </c>
      <c r="G12" s="4" t="s">
        <v>155</v>
      </c>
      <c r="H12" s="4" t="s">
        <v>59</v>
      </c>
      <c r="I12" s="3" t="s">
        <v>170</v>
      </c>
    </row>
    <row r="13" spans="1:9" ht="29" x14ac:dyDescent="0.35">
      <c r="A13" s="3" t="s">
        <v>171</v>
      </c>
      <c r="B13" s="4" t="s">
        <v>29</v>
      </c>
      <c r="C13" s="4">
        <v>25.175073999999999</v>
      </c>
      <c r="D13" s="4">
        <v>-80.813946999999999</v>
      </c>
      <c r="E13" s="4">
        <v>518747.92</v>
      </c>
      <c r="F13" s="4">
        <v>2784346.65</v>
      </c>
      <c r="G13" s="4" t="s">
        <v>158</v>
      </c>
      <c r="H13" s="4" t="s">
        <v>59</v>
      </c>
      <c r="I13" s="3" t="s">
        <v>172</v>
      </c>
    </row>
    <row r="14" spans="1:9" ht="43.5" x14ac:dyDescent="0.35">
      <c r="A14" s="3" t="s">
        <v>173</v>
      </c>
      <c r="B14" s="4" t="s">
        <v>30</v>
      </c>
      <c r="C14" s="4">
        <v>25.174365000000002</v>
      </c>
      <c r="D14" s="4">
        <v>-80.813505000000006</v>
      </c>
      <c r="E14" s="4">
        <v>518792.55</v>
      </c>
      <c r="F14" s="4">
        <v>2784268.19</v>
      </c>
      <c r="G14" s="4" t="s">
        <v>155</v>
      </c>
      <c r="H14" s="4" t="s">
        <v>59</v>
      </c>
      <c r="I14" s="3" t="s">
        <v>174</v>
      </c>
    </row>
    <row r="15" spans="1:9" ht="29" x14ac:dyDescent="0.35">
      <c r="A15" s="3" t="s">
        <v>175</v>
      </c>
      <c r="B15" s="4" t="s">
        <v>31</v>
      </c>
      <c r="C15" s="4">
        <v>25.180799</v>
      </c>
      <c r="D15" s="4">
        <v>-80.812926000000004</v>
      </c>
      <c r="E15" s="4">
        <v>518849.89</v>
      </c>
      <c r="F15" s="4">
        <v>2784980.74</v>
      </c>
      <c r="G15" s="4" t="s">
        <v>158</v>
      </c>
      <c r="H15" s="4" t="s">
        <v>59</v>
      </c>
      <c r="I15" s="3" t="s">
        <v>176</v>
      </c>
    </row>
    <row r="16" spans="1:9" ht="43.5" x14ac:dyDescent="0.35">
      <c r="A16" s="3" t="s">
        <v>177</v>
      </c>
      <c r="B16" s="4" t="s">
        <v>32</v>
      </c>
      <c r="C16" s="4">
        <v>25.181357999999999</v>
      </c>
      <c r="D16" s="4">
        <v>-80.811421999999993</v>
      </c>
      <c r="E16" s="4">
        <v>519001.33</v>
      </c>
      <c r="F16" s="4">
        <v>2785042.77</v>
      </c>
      <c r="G16" s="4" t="s">
        <v>155</v>
      </c>
      <c r="H16" s="4" t="s">
        <v>59</v>
      </c>
      <c r="I16" s="3" t="s">
        <v>178</v>
      </c>
    </row>
    <row r="17" spans="1:9" ht="43.5" x14ac:dyDescent="0.35">
      <c r="A17" s="3" t="s">
        <v>179</v>
      </c>
      <c r="B17" s="4" t="s">
        <v>34</v>
      </c>
      <c r="C17" s="4">
        <v>25.183945999999999</v>
      </c>
      <c r="D17" s="4">
        <v>-80.720982000000006</v>
      </c>
      <c r="E17" s="4">
        <v>528113.6</v>
      </c>
      <c r="F17" s="4">
        <v>2785345.22</v>
      </c>
      <c r="G17" s="4" t="s">
        <v>161</v>
      </c>
      <c r="H17" s="4" t="s">
        <v>16</v>
      </c>
      <c r="I17" s="3" t="s">
        <v>180</v>
      </c>
    </row>
    <row r="18" spans="1:9" x14ac:dyDescent="0.35">
      <c r="A18" s="3" t="s">
        <v>181</v>
      </c>
      <c r="B18" s="4" t="s">
        <v>35</v>
      </c>
      <c r="C18" s="4">
        <v>25.180071000000002</v>
      </c>
      <c r="D18" s="4">
        <v>-80.732185999999999</v>
      </c>
      <c r="E18" s="4">
        <v>526985.57999999996</v>
      </c>
      <c r="F18" s="4">
        <v>2784913.85</v>
      </c>
      <c r="G18" s="4" t="s">
        <v>161</v>
      </c>
      <c r="H18" s="4" t="s">
        <v>59</v>
      </c>
      <c r="I18" s="3" t="s">
        <v>181</v>
      </c>
    </row>
    <row r="19" spans="1:9" x14ac:dyDescent="0.35">
      <c r="A19" s="3" t="s">
        <v>182</v>
      </c>
      <c r="B19" s="4" t="s">
        <v>36</v>
      </c>
      <c r="C19" s="4">
        <v>25.174664</v>
      </c>
      <c r="D19" s="4">
        <v>-80.738545999999999</v>
      </c>
      <c r="E19" s="4">
        <v>526345.93000000005</v>
      </c>
      <c r="F19" s="4">
        <v>2784313.79</v>
      </c>
      <c r="G19" s="4" t="s">
        <v>161</v>
      </c>
      <c r="H19" s="4" t="s">
        <v>16</v>
      </c>
      <c r="I19" s="3" t="s">
        <v>182</v>
      </c>
    </row>
    <row r="20" spans="1:9" ht="43.5" x14ac:dyDescent="0.35">
      <c r="A20" s="3" t="s">
        <v>183</v>
      </c>
      <c r="B20" s="4" t="s">
        <v>37</v>
      </c>
      <c r="C20" s="4">
        <v>25.167059999999999</v>
      </c>
      <c r="D20" s="4">
        <v>-80.731255000000004</v>
      </c>
      <c r="E20" s="4">
        <v>527082.21</v>
      </c>
      <c r="F20" s="4">
        <v>2783473.3</v>
      </c>
      <c r="G20" s="4" t="s">
        <v>158</v>
      </c>
      <c r="H20" s="4" t="s">
        <v>59</v>
      </c>
      <c r="I20" s="3" t="s">
        <v>184</v>
      </c>
    </row>
    <row r="21" spans="1:9" ht="43.5" x14ac:dyDescent="0.35">
      <c r="A21" s="3" t="s">
        <v>185</v>
      </c>
      <c r="B21" s="4" t="s">
        <v>38</v>
      </c>
      <c r="C21" s="4">
        <v>25.166281999999999</v>
      </c>
      <c r="D21" s="4">
        <v>-80.731938999999997</v>
      </c>
      <c r="E21" s="4">
        <v>527013.52</v>
      </c>
      <c r="F21" s="4">
        <v>2783386.99</v>
      </c>
      <c r="G21" s="4" t="s">
        <v>155</v>
      </c>
      <c r="H21" s="4" t="s">
        <v>59</v>
      </c>
      <c r="I21" s="3" t="s">
        <v>186</v>
      </c>
    </row>
    <row r="22" spans="1:9" ht="43.5" x14ac:dyDescent="0.35">
      <c r="A22" s="3" t="s">
        <v>187</v>
      </c>
      <c r="B22" s="4" t="s">
        <v>50</v>
      </c>
      <c r="C22" s="4">
        <v>25.156611000000002</v>
      </c>
      <c r="D22" s="4">
        <v>-80.71696</v>
      </c>
      <c r="E22" s="4">
        <v>528524.5</v>
      </c>
      <c r="F22" s="4">
        <v>2782319.2</v>
      </c>
      <c r="G22" s="4" t="s">
        <v>158</v>
      </c>
      <c r="H22" s="4" t="s">
        <v>59</v>
      </c>
      <c r="I22" s="3" t="s">
        <v>188</v>
      </c>
    </row>
    <row r="23" spans="1:9" ht="43.5" x14ac:dyDescent="0.35">
      <c r="A23" s="3" t="s">
        <v>189</v>
      </c>
      <c r="B23" s="4" t="s">
        <v>39</v>
      </c>
      <c r="C23" s="4">
        <v>25.156911000000001</v>
      </c>
      <c r="D23" s="4">
        <v>-80.715074000000001</v>
      </c>
      <c r="E23" s="4">
        <v>528715.23</v>
      </c>
      <c r="F23" s="4">
        <v>2782352.82</v>
      </c>
      <c r="G23" s="4" t="s">
        <v>155</v>
      </c>
      <c r="H23" s="4" t="s">
        <v>59</v>
      </c>
      <c r="I23" s="3" t="s">
        <v>190</v>
      </c>
    </row>
    <row r="24" spans="1:9" ht="29" x14ac:dyDescent="0.35">
      <c r="A24" s="3" t="s">
        <v>191</v>
      </c>
      <c r="B24" s="4" t="s">
        <v>40</v>
      </c>
      <c r="C24" s="4">
        <v>25.158573000000001</v>
      </c>
      <c r="D24" s="4">
        <v>-80.726274000000004</v>
      </c>
      <c r="E24" s="4">
        <v>527586.12</v>
      </c>
      <c r="F24" s="4">
        <v>2782534.55</v>
      </c>
      <c r="G24" s="4" t="s">
        <v>192</v>
      </c>
      <c r="H24" s="4" t="s">
        <v>16</v>
      </c>
      <c r="I24" s="3" t="s">
        <v>193</v>
      </c>
    </row>
    <row r="25" spans="1:9" ht="43.5" x14ac:dyDescent="0.35">
      <c r="A25" s="3" t="s">
        <v>194</v>
      </c>
      <c r="B25" s="4" t="s">
        <v>41</v>
      </c>
      <c r="C25" s="4">
        <v>25.126646999999998</v>
      </c>
      <c r="D25" s="4">
        <v>-80.714867999999996</v>
      </c>
      <c r="E25" s="4">
        <v>528743.15</v>
      </c>
      <c r="F25" s="4">
        <v>2779001.64</v>
      </c>
      <c r="G25" s="4" t="s">
        <v>192</v>
      </c>
      <c r="H25" s="4" t="s">
        <v>59</v>
      </c>
      <c r="I25" s="3" t="s">
        <v>195</v>
      </c>
    </row>
    <row r="26" spans="1:9" ht="29" x14ac:dyDescent="0.35">
      <c r="A26" s="3" t="s">
        <v>196</v>
      </c>
      <c r="B26" s="4" t="s">
        <v>33</v>
      </c>
      <c r="C26" s="4">
        <v>25.167618999999998</v>
      </c>
      <c r="D26" s="4">
        <v>-80.804658000000003</v>
      </c>
      <c r="E26" s="4">
        <v>519685.12</v>
      </c>
      <c r="F26" s="4">
        <v>2783522.46</v>
      </c>
      <c r="G26" s="4" t="s">
        <v>192</v>
      </c>
      <c r="H26" s="4" t="s">
        <v>16</v>
      </c>
      <c r="I26" s="3" t="s">
        <v>197</v>
      </c>
    </row>
    <row r="27" spans="1:9" ht="43.5" x14ac:dyDescent="0.35">
      <c r="A27" s="3" t="s">
        <v>198</v>
      </c>
      <c r="B27" s="4" t="s">
        <v>42</v>
      </c>
      <c r="C27" s="4">
        <v>25.148194</v>
      </c>
      <c r="D27" s="4">
        <v>-80.809977000000003</v>
      </c>
      <c r="E27" s="4">
        <v>519152.11</v>
      </c>
      <c r="F27" s="4">
        <v>2781370.71</v>
      </c>
      <c r="G27" s="4" t="s">
        <v>199</v>
      </c>
      <c r="H27" s="4" t="s">
        <v>59</v>
      </c>
      <c r="I27" s="3" t="s">
        <v>200</v>
      </c>
    </row>
    <row r="28" spans="1:9" x14ac:dyDescent="0.35">
      <c r="A28" s="3" t="s">
        <v>201</v>
      </c>
      <c r="B28" s="4" t="s">
        <v>43</v>
      </c>
      <c r="C28" s="4">
        <v>25.125171000000002</v>
      </c>
      <c r="D28" s="4">
        <v>-80.807714000000004</v>
      </c>
      <c r="E28" s="4">
        <v>519383.82</v>
      </c>
      <c r="F28" s="4">
        <v>2778821.64</v>
      </c>
      <c r="G28" s="4" t="s">
        <v>192</v>
      </c>
      <c r="H28" s="4" t="s">
        <v>16</v>
      </c>
      <c r="I28" s="3" t="s">
        <v>201</v>
      </c>
    </row>
    <row r="29" spans="1:9" x14ac:dyDescent="0.35">
      <c r="A29" s="3" t="s">
        <v>202</v>
      </c>
      <c r="B29" s="4" t="s">
        <v>51</v>
      </c>
      <c r="C29" s="4">
        <v>25.081420999999999</v>
      </c>
      <c r="D29" s="4">
        <v>-80.762105000000005</v>
      </c>
      <c r="E29" s="4">
        <v>523990.16</v>
      </c>
      <c r="F29" s="4">
        <v>2773984.49</v>
      </c>
      <c r="G29" s="4" t="s">
        <v>192</v>
      </c>
      <c r="H29" s="4" t="s">
        <v>16</v>
      </c>
      <c r="I29" s="3" t="s">
        <v>202</v>
      </c>
    </row>
    <row r="30" spans="1:9" ht="29" x14ac:dyDescent="0.35">
      <c r="A30" s="3" t="s">
        <v>203</v>
      </c>
      <c r="B30" s="4" t="s">
        <v>52</v>
      </c>
      <c r="C30" s="4">
        <v>25.049658999999998</v>
      </c>
      <c r="D30" s="4">
        <v>-80.766102000000004</v>
      </c>
      <c r="E30" s="4">
        <v>523593.1</v>
      </c>
      <c r="F30" s="4">
        <v>2770466.86</v>
      </c>
      <c r="G30" s="4" t="s">
        <v>204</v>
      </c>
      <c r="H30" s="4" t="s">
        <v>59</v>
      </c>
      <c r="I30" s="3" t="s">
        <v>203</v>
      </c>
    </row>
    <row r="31" spans="1:9" x14ac:dyDescent="0.35">
      <c r="A31" s="3" t="s">
        <v>205</v>
      </c>
      <c r="B31" s="4" t="s">
        <v>53</v>
      </c>
      <c r="C31" s="4">
        <v>24.982970999999999</v>
      </c>
      <c r="D31" s="4">
        <v>-80.765823999999995</v>
      </c>
      <c r="E31" s="4">
        <v>523633.91</v>
      </c>
      <c r="F31" s="4">
        <v>2763082.59</v>
      </c>
      <c r="G31" s="4" t="s">
        <v>192</v>
      </c>
      <c r="H31" s="4" t="s">
        <v>59</v>
      </c>
      <c r="I31" s="3" t="s">
        <v>205</v>
      </c>
    </row>
    <row r="32" spans="1:9" x14ac:dyDescent="0.35">
      <c r="A32" s="3" t="s">
        <v>206</v>
      </c>
      <c r="B32" s="4" t="s">
        <v>54</v>
      </c>
      <c r="C32" s="4">
        <v>25.049651000000001</v>
      </c>
      <c r="D32" s="4">
        <v>-80.908714000000003</v>
      </c>
      <c r="E32" s="4">
        <v>509207.91</v>
      </c>
      <c r="F32" s="4">
        <v>2770448.64</v>
      </c>
      <c r="G32" s="4" t="s">
        <v>192</v>
      </c>
      <c r="H32" s="4" t="s">
        <v>59</v>
      </c>
      <c r="I32" s="3" t="s">
        <v>206</v>
      </c>
    </row>
    <row r="33" spans="1:9" ht="29" x14ac:dyDescent="0.35">
      <c r="A33" s="3" t="s">
        <v>207</v>
      </c>
      <c r="B33" s="4" t="s">
        <v>55</v>
      </c>
      <c r="C33" s="4">
        <v>25.115717</v>
      </c>
      <c r="D33" s="4">
        <v>-81.025998999999999</v>
      </c>
      <c r="E33" s="4">
        <v>497378.96</v>
      </c>
      <c r="F33" s="4">
        <v>2777761.33</v>
      </c>
      <c r="G33" s="4" t="s">
        <v>192</v>
      </c>
      <c r="H33" s="4" t="s">
        <v>59</v>
      </c>
      <c r="I33" s="3" t="s">
        <v>208</v>
      </c>
    </row>
    <row r="34" spans="1:9" x14ac:dyDescent="0.35">
      <c r="A34" s="1" t="s">
        <v>13</v>
      </c>
      <c r="B34" s="1" t="s">
        <v>13</v>
      </c>
      <c r="C34" s="1">
        <v>25.285955999999999</v>
      </c>
      <c r="D34" s="1">
        <v>-80.688672999999994</v>
      </c>
      <c r="E34" s="1">
        <v>531343</v>
      </c>
      <c r="F34" s="1">
        <v>2796648</v>
      </c>
      <c r="G34" s="1" t="s">
        <v>148</v>
      </c>
      <c r="H34" s="1" t="s">
        <v>59</v>
      </c>
      <c r="I34" s="1" t="s">
        <v>209</v>
      </c>
    </row>
    <row r="35" spans="1:9" x14ac:dyDescent="0.35">
      <c r="A35" s="1" t="s">
        <v>18</v>
      </c>
      <c r="B35" s="1" t="s">
        <v>18</v>
      </c>
      <c r="C35" s="1">
        <v>25.244240000000001</v>
      </c>
      <c r="D35" s="1">
        <v>-80.744820000000004</v>
      </c>
      <c r="E35" s="1">
        <v>525699</v>
      </c>
      <c r="F35" s="1">
        <v>2792017</v>
      </c>
      <c r="G35" s="1" t="s">
        <v>148</v>
      </c>
      <c r="H35" s="1" t="s">
        <v>59</v>
      </c>
      <c r="I35" s="1" t="s">
        <v>209</v>
      </c>
    </row>
    <row r="36" spans="1:9" x14ac:dyDescent="0.35">
      <c r="A36" s="1" t="s">
        <v>19</v>
      </c>
      <c r="B36" s="1" t="s">
        <v>19</v>
      </c>
      <c r="C36" s="1">
        <v>25.22935</v>
      </c>
      <c r="D36" s="1">
        <v>-80.702879999999993</v>
      </c>
      <c r="E36" s="1">
        <v>529926</v>
      </c>
      <c r="F36" s="1">
        <v>2790377</v>
      </c>
      <c r="G36" s="1" t="s">
        <v>148</v>
      </c>
      <c r="H36" s="1" t="s">
        <v>59</v>
      </c>
      <c r="I36" s="1" t="s">
        <v>209</v>
      </c>
    </row>
    <row r="37" spans="1:9" x14ac:dyDescent="0.35">
      <c r="A37" s="1" t="s">
        <v>210</v>
      </c>
      <c r="B37" s="1" t="s">
        <v>210</v>
      </c>
      <c r="C37" s="1">
        <v>25.252520000000001</v>
      </c>
      <c r="D37" s="1">
        <v>-80.666259999999994</v>
      </c>
      <c r="E37" s="1">
        <v>533609</v>
      </c>
      <c r="F37" s="1">
        <v>2792951</v>
      </c>
      <c r="G37" s="1" t="s">
        <v>148</v>
      </c>
      <c r="H37" s="1" t="s">
        <v>59</v>
      </c>
      <c r="I37" s="1" t="s">
        <v>209</v>
      </c>
    </row>
    <row r="38" spans="1:9" x14ac:dyDescent="0.35">
      <c r="A38" s="1" t="s">
        <v>21</v>
      </c>
      <c r="B38" s="1" t="s">
        <v>21</v>
      </c>
      <c r="C38" s="1">
        <v>25.26529</v>
      </c>
      <c r="D38" s="1">
        <v>-80.613309999999998</v>
      </c>
      <c r="E38" s="1">
        <v>538937</v>
      </c>
      <c r="F38" s="1">
        <v>2794380</v>
      </c>
      <c r="G38" s="1" t="s">
        <v>148</v>
      </c>
      <c r="H38" s="1" t="s">
        <v>59</v>
      </c>
      <c r="I38" s="1" t="s">
        <v>209</v>
      </c>
    </row>
    <row r="39" spans="1:9" x14ac:dyDescent="0.35">
      <c r="A39" s="1" t="s">
        <v>57</v>
      </c>
      <c r="B39" s="1" t="s">
        <v>57</v>
      </c>
      <c r="C39" s="1">
        <v>25.31073</v>
      </c>
      <c r="D39" s="1">
        <v>-80.631</v>
      </c>
      <c r="E39" s="1">
        <v>537142</v>
      </c>
      <c r="F39" s="1">
        <v>2799406</v>
      </c>
      <c r="G39" s="1" t="s">
        <v>148</v>
      </c>
      <c r="H39" s="1" t="s">
        <v>59</v>
      </c>
      <c r="I39" s="1" t="s">
        <v>209</v>
      </c>
    </row>
    <row r="40" spans="1:9" x14ac:dyDescent="0.35">
      <c r="A40" s="1" t="s">
        <v>22</v>
      </c>
      <c r="B40" s="1" t="s">
        <v>22</v>
      </c>
      <c r="C40" s="1">
        <v>25.352810000000002</v>
      </c>
      <c r="D40" s="1">
        <v>-80.606549999999999</v>
      </c>
      <c r="E40" s="1">
        <v>539589</v>
      </c>
      <c r="F40" s="1">
        <v>2804073</v>
      </c>
      <c r="G40" s="1" t="s">
        <v>148</v>
      </c>
      <c r="H40" s="1" t="s">
        <v>59</v>
      </c>
      <c r="I40" s="1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283D-E022-4798-85C9-75D1DB9B75C3}">
  <dimension ref="A1:B22"/>
  <sheetViews>
    <sheetView topLeftCell="A4" workbookViewId="0">
      <selection activeCell="D6" sqref="D6"/>
    </sheetView>
  </sheetViews>
  <sheetFormatPr defaultRowHeight="14.5" x14ac:dyDescent="0.35"/>
  <cols>
    <col min="1" max="1" width="26.26953125" style="12" customWidth="1"/>
    <col min="2" max="2" width="43.1796875" style="12" customWidth="1"/>
  </cols>
  <sheetData>
    <row r="1" spans="1:2" s="7" customFormat="1" x14ac:dyDescent="0.35">
      <c r="A1" s="13" t="s">
        <v>211</v>
      </c>
      <c r="B1" s="13" t="s">
        <v>212</v>
      </c>
    </row>
    <row r="2" spans="1:2" x14ac:dyDescent="0.35">
      <c r="A2" s="12" t="s">
        <v>0</v>
      </c>
      <c r="B2" s="12" t="s">
        <v>213</v>
      </c>
    </row>
    <row r="3" spans="1:2" ht="43.5" x14ac:dyDescent="0.35">
      <c r="A3" s="12" t="s">
        <v>1</v>
      </c>
      <c r="B3" s="12" t="s">
        <v>214</v>
      </c>
    </row>
    <row r="4" spans="1:2" ht="43.5" x14ac:dyDescent="0.35">
      <c r="A4" s="12" t="s">
        <v>111</v>
      </c>
      <c r="B4" s="12" t="s">
        <v>215</v>
      </c>
    </row>
    <row r="5" spans="1:2" ht="43.5" x14ac:dyDescent="0.35">
      <c r="A5" s="12" t="s">
        <v>2</v>
      </c>
      <c r="B5" s="12" t="s">
        <v>216</v>
      </c>
    </row>
    <row r="6" spans="1:2" x14ac:dyDescent="0.35">
      <c r="A6" s="12" t="s">
        <v>112</v>
      </c>
      <c r="B6" s="12" t="s">
        <v>217</v>
      </c>
    </row>
    <row r="7" spans="1:2" ht="43.5" x14ac:dyDescent="0.35">
      <c r="A7" s="12" t="s">
        <v>3</v>
      </c>
      <c r="B7" s="12" t="s">
        <v>218</v>
      </c>
    </row>
    <row r="8" spans="1:2" x14ac:dyDescent="0.35">
      <c r="A8" s="12" t="s">
        <v>4</v>
      </c>
      <c r="B8" s="12" t="s">
        <v>219</v>
      </c>
    </row>
    <row r="9" spans="1:2" ht="29" x14ac:dyDescent="0.35">
      <c r="A9" s="12" t="s">
        <v>117</v>
      </c>
      <c r="B9" s="12" t="s">
        <v>220</v>
      </c>
    </row>
    <row r="10" spans="1:2" ht="29" x14ac:dyDescent="0.35">
      <c r="A10" s="12" t="s">
        <v>221</v>
      </c>
      <c r="B10" s="12" t="s">
        <v>222</v>
      </c>
    </row>
    <row r="11" spans="1:2" ht="29" x14ac:dyDescent="0.35">
      <c r="A11" s="12" t="s">
        <v>107</v>
      </c>
      <c r="B11" s="12" t="s">
        <v>223</v>
      </c>
    </row>
    <row r="12" spans="1:2" ht="29" x14ac:dyDescent="0.35">
      <c r="A12" s="12" t="s">
        <v>5</v>
      </c>
      <c r="B12" s="12" t="s">
        <v>224</v>
      </c>
    </row>
    <row r="13" spans="1:2" ht="29" x14ac:dyDescent="0.35">
      <c r="A13" s="12" t="s">
        <v>7</v>
      </c>
      <c r="B13" s="12" t="s">
        <v>225</v>
      </c>
    </row>
    <row r="14" spans="1:2" ht="29" x14ac:dyDescent="0.35">
      <c r="A14" s="12" t="s">
        <v>8</v>
      </c>
      <c r="B14" s="12" t="s">
        <v>226</v>
      </c>
    </row>
    <row r="15" spans="1:2" ht="43.5" x14ac:dyDescent="0.35">
      <c r="A15" s="12" t="s">
        <v>9</v>
      </c>
      <c r="B15" s="12" t="s">
        <v>227</v>
      </c>
    </row>
    <row r="16" spans="1:2" ht="43.5" x14ac:dyDescent="0.35">
      <c r="A16" s="12" t="s">
        <v>10</v>
      </c>
      <c r="B16" s="12" t="s">
        <v>228</v>
      </c>
    </row>
    <row r="17" spans="1:2" ht="58" x14ac:dyDescent="0.35">
      <c r="A17" s="12" t="s">
        <v>11</v>
      </c>
      <c r="B17" s="12" t="s">
        <v>229</v>
      </c>
    </row>
    <row r="18" spans="1:2" ht="29" x14ac:dyDescent="0.35">
      <c r="A18" s="12" t="s">
        <v>126</v>
      </c>
      <c r="B18" s="12" t="s">
        <v>230</v>
      </c>
    </row>
    <row r="19" spans="1:2" ht="29" x14ac:dyDescent="0.35">
      <c r="A19" s="12" t="s">
        <v>127</v>
      </c>
      <c r="B19" s="12" t="s">
        <v>231</v>
      </c>
    </row>
    <row r="20" spans="1:2" x14ac:dyDescent="0.35">
      <c r="A20" s="12" t="s">
        <v>128</v>
      </c>
      <c r="B20" s="12" t="s">
        <v>232</v>
      </c>
    </row>
    <row r="21" spans="1:2" ht="29" x14ac:dyDescent="0.35">
      <c r="A21" s="12" t="s">
        <v>12</v>
      </c>
      <c r="B21" s="12" t="s">
        <v>233</v>
      </c>
    </row>
    <row r="22" spans="1:2" ht="29" x14ac:dyDescent="0.35">
      <c r="A22" s="12" t="s">
        <v>138</v>
      </c>
      <c r="B22" s="12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0538-F9D9-467E-806A-03CA506B4419}">
  <dimension ref="A1:G29"/>
  <sheetViews>
    <sheetView zoomScale="112" workbookViewId="0">
      <selection activeCell="D2" sqref="D2"/>
    </sheetView>
  </sheetViews>
  <sheetFormatPr defaultRowHeight="14.5" x14ac:dyDescent="0.35"/>
  <cols>
    <col min="1" max="1" width="14.81640625" customWidth="1"/>
    <col min="2" max="2" width="21.1796875" customWidth="1"/>
    <col min="3" max="3" width="19.26953125" customWidth="1"/>
    <col min="4" max="4" width="25.453125" customWidth="1"/>
    <col min="5" max="5" width="21.81640625" customWidth="1"/>
    <col min="6" max="6" width="17.453125" customWidth="1"/>
    <col min="7" max="7" width="16" customWidth="1"/>
  </cols>
  <sheetData>
    <row r="1" spans="1:7" ht="15" thickBot="1" x14ac:dyDescent="0.4">
      <c r="A1" s="18" t="s">
        <v>235</v>
      </c>
      <c r="B1" s="18" t="s">
        <v>236</v>
      </c>
      <c r="C1" s="18" t="s">
        <v>237</v>
      </c>
      <c r="D1" s="18" t="s">
        <v>238</v>
      </c>
      <c r="F1" s="23" t="s">
        <v>239</v>
      </c>
      <c r="G1" s="22"/>
    </row>
    <row r="2" spans="1:7" x14ac:dyDescent="0.35">
      <c r="A2" s="20" t="s">
        <v>240</v>
      </c>
      <c r="B2" s="14" t="s">
        <v>52</v>
      </c>
      <c r="C2" s="20">
        <v>150</v>
      </c>
      <c r="D2" s="15">
        <f>C2-$B$20</f>
        <v>22.849999999999994</v>
      </c>
      <c r="F2" s="14" t="s">
        <v>54</v>
      </c>
      <c r="G2" s="15" t="s">
        <v>42</v>
      </c>
    </row>
    <row r="3" spans="1:7" x14ac:dyDescent="0.35">
      <c r="A3" s="20" t="s">
        <v>240</v>
      </c>
      <c r="B3" s="14" t="s">
        <v>46</v>
      </c>
      <c r="C3" s="20">
        <v>129.30000000000001</v>
      </c>
      <c r="D3" s="15">
        <f t="shared" ref="D3:D11" si="0">C3-$B$20</f>
        <v>2.1500000000000057</v>
      </c>
      <c r="F3" s="14" t="s">
        <v>38</v>
      </c>
      <c r="G3" s="15" t="s">
        <v>43</v>
      </c>
    </row>
    <row r="4" spans="1:7" x14ac:dyDescent="0.35">
      <c r="A4" s="20" t="s">
        <v>240</v>
      </c>
      <c r="B4" s="14" t="s">
        <v>41</v>
      </c>
      <c r="C4" s="20">
        <v>130</v>
      </c>
      <c r="D4" s="15">
        <f t="shared" si="0"/>
        <v>2.8499999999999943</v>
      </c>
      <c r="F4" s="14" t="s">
        <v>45</v>
      </c>
      <c r="G4" s="15" t="s">
        <v>41</v>
      </c>
    </row>
    <row r="5" spans="1:7" x14ac:dyDescent="0.35">
      <c r="A5" s="20" t="s">
        <v>240</v>
      </c>
      <c r="B5" s="14" t="s">
        <v>42</v>
      </c>
      <c r="C5" s="20">
        <v>140.80000000000001</v>
      </c>
      <c r="D5" s="15">
        <f t="shared" si="0"/>
        <v>13.650000000000006</v>
      </c>
      <c r="F5" s="14" t="s">
        <v>51</v>
      </c>
      <c r="G5" s="15" t="s">
        <v>46</v>
      </c>
    </row>
    <row r="6" spans="1:7" x14ac:dyDescent="0.35">
      <c r="A6" s="21" t="s">
        <v>240</v>
      </c>
      <c r="B6" s="16" t="s">
        <v>51</v>
      </c>
      <c r="C6" s="21">
        <v>142.69999999999999</v>
      </c>
      <c r="D6" s="17">
        <f t="shared" si="0"/>
        <v>15.549999999999983</v>
      </c>
      <c r="F6" s="14" t="s">
        <v>52</v>
      </c>
      <c r="G6" s="15"/>
    </row>
    <row r="7" spans="1:7" x14ac:dyDescent="0.35">
      <c r="A7" s="19" t="s">
        <v>241</v>
      </c>
      <c r="B7" s="14" t="s">
        <v>38</v>
      </c>
      <c r="C7" s="20">
        <v>141.80000000000001</v>
      </c>
      <c r="D7" s="15">
        <f t="shared" si="0"/>
        <v>14.650000000000006</v>
      </c>
      <c r="F7" s="16" t="s">
        <v>53</v>
      </c>
      <c r="G7" s="17"/>
    </row>
    <row r="8" spans="1:7" x14ac:dyDescent="0.35">
      <c r="A8" s="20" t="s">
        <v>241</v>
      </c>
      <c r="B8" s="14" t="s">
        <v>47</v>
      </c>
      <c r="C8" s="20">
        <v>150.4</v>
      </c>
      <c r="D8" s="15">
        <f t="shared" si="0"/>
        <v>23.25</v>
      </c>
    </row>
    <row r="9" spans="1:7" x14ac:dyDescent="0.35">
      <c r="A9" s="20" t="s">
        <v>241</v>
      </c>
      <c r="B9" s="14" t="s">
        <v>39</v>
      </c>
      <c r="C9" s="20">
        <v>148.80000000000001</v>
      </c>
      <c r="D9" s="15">
        <f t="shared" si="0"/>
        <v>21.650000000000006</v>
      </c>
    </row>
    <row r="10" spans="1:7" x14ac:dyDescent="0.35">
      <c r="A10" s="20" t="s">
        <v>241</v>
      </c>
      <c r="B10" s="14" t="s">
        <v>36</v>
      </c>
      <c r="C10" s="20">
        <v>145.80000000000001</v>
      </c>
      <c r="D10" s="15">
        <f t="shared" si="0"/>
        <v>18.650000000000006</v>
      </c>
    </row>
    <row r="11" spans="1:7" x14ac:dyDescent="0.35">
      <c r="A11" s="21" t="s">
        <v>241</v>
      </c>
      <c r="B11" s="16" t="s">
        <v>33</v>
      </c>
      <c r="C11" s="21">
        <v>143.19999999999999</v>
      </c>
      <c r="D11" s="17">
        <f t="shared" si="0"/>
        <v>16.049999999999983</v>
      </c>
    </row>
    <row r="19" spans="1:2" x14ac:dyDescent="0.35">
      <c r="A19" t="s">
        <v>242</v>
      </c>
      <c r="B19" t="s">
        <v>243</v>
      </c>
    </row>
    <row r="20" spans="1:2" x14ac:dyDescent="0.35">
      <c r="A20">
        <v>127.4</v>
      </c>
      <c r="B20">
        <f>AVERAGE(A20:A29)</f>
        <v>127.15</v>
      </c>
    </row>
    <row r="21" spans="1:2" x14ac:dyDescent="0.35">
      <c r="A21">
        <v>123.5</v>
      </c>
    </row>
    <row r="22" spans="1:2" x14ac:dyDescent="0.35">
      <c r="A22">
        <v>122.7</v>
      </c>
    </row>
    <row r="23" spans="1:2" x14ac:dyDescent="0.35">
      <c r="A23">
        <v>128.30000000000001</v>
      </c>
    </row>
    <row r="24" spans="1:2" x14ac:dyDescent="0.35">
      <c r="A24">
        <v>127.2</v>
      </c>
    </row>
    <row r="25" spans="1:2" x14ac:dyDescent="0.35">
      <c r="A25">
        <v>128.9</v>
      </c>
    </row>
    <row r="26" spans="1:2" x14ac:dyDescent="0.35">
      <c r="A26">
        <v>129.30000000000001</v>
      </c>
    </row>
    <row r="27" spans="1:2" x14ac:dyDescent="0.35">
      <c r="A27">
        <v>127.4</v>
      </c>
    </row>
    <row r="28" spans="1:2" x14ac:dyDescent="0.35">
      <c r="A28">
        <v>127.3</v>
      </c>
    </row>
    <row r="29" spans="1:2" x14ac:dyDescent="0.35">
      <c r="A29">
        <v>129.5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5" ma:contentTypeDescription="Create a new document." ma:contentTypeScope="" ma:versionID="66198a59cffaaab90b3748495dc2c240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0f278bc53202b7bd9d9ba101fffe66d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da09771-0e81-4fa1-9a48-772c84f58d97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AD90D9-B989-47E3-BB5D-231A9F3D0093}">
  <ds:schemaRefs>
    <ds:schemaRef ds:uri="http://schemas.microsoft.com/office/2006/metadata/properties"/>
    <ds:schemaRef ds:uri="http://purl.org/dc/elements/1.1/"/>
    <ds:schemaRef ds:uri="b412a07d-44b9-43b4-9667-43ab44cb460a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633b4e0-801d-4bd0-8271-7209c556b6f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58A928-CE83-4D0C-984B-50032A88B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B20740-A4DA-43AD-A9DF-1A5FC7C27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12a07d-44b9-43b4-9667-43ab44cb460a"/>
    <ds:schemaRef ds:uri="0633b4e0-801d-4bd0-8271-7209c556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Sediment</vt:lpstr>
      <vt:lpstr>Water_SIA</vt:lpstr>
      <vt:lpstr>wQ_nut</vt:lpstr>
      <vt:lpstr>WQ_sonde</vt:lpstr>
      <vt:lpstr>WQ_sonde1</vt:lpstr>
      <vt:lpstr>chl</vt:lpstr>
      <vt:lpstr>Algal_ID</vt:lpstr>
      <vt:lpstr>site_metadata</vt:lpstr>
      <vt:lpstr>List_Metadata</vt:lpstr>
      <vt:lpstr>SIA Filter 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Rodemann</dc:creator>
  <cp:keywords/>
  <dc:description/>
  <cp:lastModifiedBy>Jonathan Rodemann</cp:lastModifiedBy>
  <cp:revision/>
  <dcterms:created xsi:type="dcterms:W3CDTF">2024-01-30T17:34:57Z</dcterms:created>
  <dcterms:modified xsi:type="dcterms:W3CDTF">2025-09-25T23:16:39Z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