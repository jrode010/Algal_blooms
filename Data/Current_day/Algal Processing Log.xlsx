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U\PostDoc\FB_sediment_algal_blooms\Project\Data\Current_day\"/>
    </mc:Choice>
  </mc:AlternateContent>
  <xr:revisionPtr revIDLastSave="0" documentId="8_{E2C4174D-B412-48F6-A121-84744E67E241}" xr6:coauthVersionLast="47" xr6:coauthVersionMax="47" xr10:uidLastSave="{00000000-0000-0000-0000-000000000000}"/>
  <bookViews>
    <workbookView xWindow="-110" yWindow="-110" windowWidth="25820" windowHeight="15500" firstSheet="1" activeTab="5" xr2:uid="{D85A6CDB-37DC-40E3-8784-A61E649616A3}"/>
  </bookViews>
  <sheets>
    <sheet name="Sediment" sheetId="2" r:id="rId1"/>
    <sheet name="Water_SIA" sheetId="5" r:id="rId2"/>
    <sheet name="Water_nutrients" sheetId="1" r:id="rId3"/>
    <sheet name="Water_Quality" sheetId="4" r:id="rId4"/>
    <sheet name="WQ" sheetId="10" r:id="rId5"/>
    <sheet name="Chlorophyll" sheetId="3" r:id="rId6"/>
    <sheet name="Algal_ID" sheetId="6" r:id="rId7"/>
    <sheet name="Site_Metadata" sheetId="7" r:id="rId8"/>
    <sheet name="List_Metadata" sheetId="8" r:id="rId9"/>
    <sheet name="SIA Filter Tests" sheetId="9" r:id="rId10"/>
  </sheets>
  <definedNames>
    <definedName name="_xlnm._FilterDatabase" localSheetId="5" hidden="1">Chlorophyll!$A$1:$H$351</definedName>
    <definedName name="_xlnm._FilterDatabase" localSheetId="0" hidden="1">Sediment!$A$1:$N$282</definedName>
    <definedName name="_xlnm._FilterDatabase" localSheetId="2" hidden="1">Water_nutrients!$A$1:$H$737</definedName>
    <definedName name="_xlnm._FilterDatabase" localSheetId="3" hidden="1">Water_Quality!$A$1:$M$141</definedName>
    <definedName name="_xlnm._FilterDatabase" localSheetId="1" hidden="1">Water_SIA!$A$1:$BF$188</definedName>
    <definedName name="_xlnm._FilterDatabase" localSheetId="4" hidden="1">WQ!$A$1:$D$192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2" i="10"/>
  <c r="D12" i="2"/>
  <c r="D11" i="2"/>
  <c r="D14" i="2"/>
  <c r="AW14" i="5"/>
  <c r="AW150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151" i="5"/>
  <c r="AW152" i="5"/>
  <c r="AW153" i="5"/>
  <c r="AW37" i="5"/>
  <c r="AW154" i="5"/>
  <c r="AW155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156" i="5"/>
  <c r="AW157" i="5"/>
  <c r="AW158" i="5"/>
  <c r="AW51" i="5"/>
  <c r="AW52" i="5"/>
  <c r="AW53" i="5"/>
  <c r="AW54" i="5"/>
  <c r="AW55" i="5"/>
  <c r="AW56" i="5"/>
  <c r="AW183" i="5"/>
  <c r="AW184" i="5"/>
  <c r="AW185" i="5"/>
  <c r="AW188" i="5"/>
  <c r="AW57" i="5"/>
  <c r="AW58" i="5"/>
  <c r="AW59" i="5"/>
  <c r="AW159" i="5"/>
  <c r="AW160" i="5"/>
  <c r="AW161" i="5"/>
  <c r="AW186" i="5"/>
  <c r="AW60" i="5"/>
  <c r="AW61" i="5"/>
  <c r="AW62" i="5"/>
  <c r="AW63" i="5"/>
  <c r="AW64" i="5"/>
  <c r="AW162" i="5"/>
  <c r="AW163" i="5"/>
  <c r="AW164" i="5"/>
  <c r="AW165" i="5"/>
  <c r="AW166" i="5"/>
  <c r="AW65" i="5"/>
  <c r="AW66" i="5"/>
  <c r="AW67" i="5"/>
  <c r="AW167" i="5"/>
  <c r="AW187" i="5"/>
  <c r="AW68" i="5"/>
  <c r="AW69" i="5"/>
  <c r="AW70" i="5"/>
  <c r="AW168" i="5"/>
  <c r="AW169" i="5"/>
  <c r="AW170" i="5"/>
  <c r="AW171" i="5"/>
  <c r="AW71" i="5"/>
  <c r="AW72" i="5"/>
  <c r="AW73" i="5"/>
  <c r="AW74" i="5"/>
  <c r="AW75" i="5"/>
  <c r="AW172" i="5"/>
  <c r="AW173" i="5"/>
  <c r="AW174" i="5"/>
  <c r="AW175" i="5"/>
  <c r="AW76" i="5"/>
  <c r="AW77" i="5"/>
  <c r="AW78" i="5"/>
  <c r="AW79" i="5"/>
  <c r="AW80" i="5"/>
  <c r="AW81" i="5"/>
  <c r="AW82" i="5"/>
  <c r="AW83" i="5"/>
  <c r="AW84" i="5"/>
  <c r="AW85" i="5"/>
  <c r="AW86" i="5"/>
  <c r="AW176" i="5"/>
  <c r="AW177" i="5"/>
  <c r="AW178" i="5"/>
  <c r="AW189" i="5"/>
  <c r="AW190" i="5"/>
  <c r="AW191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179" i="5"/>
  <c r="AW180" i="5"/>
  <c r="AW181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82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92" i="5"/>
  <c r="AW131" i="5"/>
  <c r="AW132" i="5"/>
  <c r="AW133" i="5"/>
  <c r="AW134" i="5"/>
  <c r="AW135" i="5"/>
  <c r="AW136" i="5"/>
  <c r="AW137" i="5"/>
  <c r="AW138" i="5"/>
  <c r="AW139" i="5"/>
  <c r="AW140" i="5"/>
  <c r="AW13" i="5"/>
  <c r="L13" i="5"/>
  <c r="L22" i="5"/>
  <c r="L23" i="5"/>
  <c r="L24" i="5"/>
  <c r="L25" i="5"/>
  <c r="L37" i="5"/>
  <c r="M165" i="5"/>
  <c r="H139" i="5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49" i="1"/>
  <c r="E448" i="1"/>
  <c r="E447" i="1"/>
  <c r="E446" i="1"/>
  <c r="E445" i="1"/>
  <c r="E444" i="1"/>
  <c r="E443" i="1"/>
  <c r="E442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AN182" i="5"/>
  <c r="Z182" i="5"/>
  <c r="M182" i="5"/>
  <c r="U182" i="5" s="1"/>
  <c r="V182" i="5" s="1"/>
  <c r="AX182" i="5" s="1"/>
  <c r="L182" i="5"/>
  <c r="H182" i="5"/>
  <c r="C182" i="5"/>
  <c r="R182" i="5" l="1"/>
  <c r="S182" i="5" s="1"/>
  <c r="AO182" i="5" s="1"/>
  <c r="AP182" i="5" s="1"/>
  <c r="AQ182" i="5" s="1"/>
  <c r="AS182" i="5" s="1"/>
  <c r="AY182" i="5"/>
  <c r="AZ182" i="5" s="1"/>
  <c r="BB182" i="5" s="1"/>
  <c r="O182" i="5"/>
  <c r="P182" i="5" s="1"/>
  <c r="AA182" i="5" s="1"/>
  <c r="AN140" i="5"/>
  <c r="Z140" i="5"/>
  <c r="M140" i="5"/>
  <c r="U140" i="5" s="1"/>
  <c r="L140" i="5"/>
  <c r="H140" i="5"/>
  <c r="C140" i="5"/>
  <c r="AN139" i="5"/>
  <c r="Z139" i="5"/>
  <c r="M139" i="5"/>
  <c r="U139" i="5" s="1"/>
  <c r="L139" i="5"/>
  <c r="C139" i="5"/>
  <c r="H132" i="5"/>
  <c r="L132" i="5"/>
  <c r="M132" i="5"/>
  <c r="O132" i="5" s="1"/>
  <c r="Z132" i="5"/>
  <c r="AN132" i="5"/>
  <c r="H133" i="5"/>
  <c r="L133" i="5"/>
  <c r="M133" i="5"/>
  <c r="U133" i="5" s="1"/>
  <c r="Z133" i="5"/>
  <c r="AN133" i="5"/>
  <c r="H134" i="5"/>
  <c r="L134" i="5"/>
  <c r="M134" i="5"/>
  <c r="O134" i="5" s="1"/>
  <c r="Z134" i="5"/>
  <c r="AN134" i="5"/>
  <c r="H135" i="5"/>
  <c r="L135" i="5"/>
  <c r="M135" i="5"/>
  <c r="O135" i="5" s="1"/>
  <c r="Z135" i="5"/>
  <c r="AN135" i="5"/>
  <c r="H136" i="5"/>
  <c r="L136" i="5"/>
  <c r="M136" i="5"/>
  <c r="R136" i="5" s="1"/>
  <c r="Z136" i="5"/>
  <c r="AN136" i="5"/>
  <c r="H137" i="5"/>
  <c r="L137" i="5"/>
  <c r="M137" i="5"/>
  <c r="O137" i="5" s="1"/>
  <c r="Z137" i="5"/>
  <c r="AN137" i="5"/>
  <c r="H138" i="5"/>
  <c r="L138" i="5"/>
  <c r="M138" i="5"/>
  <c r="O138" i="5" s="1"/>
  <c r="Z138" i="5"/>
  <c r="AN138" i="5"/>
  <c r="C132" i="5"/>
  <c r="C133" i="5"/>
  <c r="C134" i="5"/>
  <c r="C135" i="5"/>
  <c r="C136" i="5"/>
  <c r="C137" i="5"/>
  <c r="C138" i="5"/>
  <c r="H129" i="5"/>
  <c r="H130" i="5"/>
  <c r="H192" i="5"/>
  <c r="H131" i="5"/>
  <c r="V140" i="5" l="1"/>
  <c r="AX140" i="5" s="1"/>
  <c r="AY140" i="5" s="1"/>
  <c r="AZ140" i="5" s="1"/>
  <c r="BB140" i="5" s="1"/>
  <c r="AB182" i="5"/>
  <c r="AC182" i="5" s="1"/>
  <c r="O140" i="5"/>
  <c r="P140" i="5" s="1"/>
  <c r="AA140" i="5" s="1"/>
  <c r="AB140" i="5" s="1"/>
  <c r="AC140" i="5" s="1"/>
  <c r="R140" i="5"/>
  <c r="S140" i="5" s="1"/>
  <c r="AO140" i="5" s="1"/>
  <c r="AP140" i="5" s="1"/>
  <c r="AQ140" i="5" s="1"/>
  <c r="AS140" i="5" s="1"/>
  <c r="V139" i="5"/>
  <c r="AX139" i="5" s="1"/>
  <c r="AY139" i="5" s="1"/>
  <c r="AZ139" i="5" s="1"/>
  <c r="BB139" i="5" s="1"/>
  <c r="O139" i="5"/>
  <c r="P139" i="5" s="1"/>
  <c r="AA139" i="5" s="1"/>
  <c r="R139" i="5"/>
  <c r="S139" i="5" s="1"/>
  <c r="AO139" i="5" s="1"/>
  <c r="P138" i="5"/>
  <c r="AA138" i="5" s="1"/>
  <c r="AB138" i="5" s="1"/>
  <c r="AC138" i="5" s="1"/>
  <c r="O133" i="5"/>
  <c r="P133" i="5" s="1"/>
  <c r="AA133" i="5" s="1"/>
  <c r="AB133" i="5" s="1"/>
  <c r="AC133" i="5" s="1"/>
  <c r="R133" i="5"/>
  <c r="S133" i="5" s="1"/>
  <c r="AO133" i="5" s="1"/>
  <c r="AP133" i="5" s="1"/>
  <c r="AQ133" i="5" s="1"/>
  <c r="AS133" i="5" s="1"/>
  <c r="U137" i="5"/>
  <c r="V137" i="5" s="1"/>
  <c r="AX137" i="5" s="1"/>
  <c r="AY137" i="5" s="1"/>
  <c r="AZ137" i="5" s="1"/>
  <c r="BB137" i="5" s="1"/>
  <c r="S136" i="5"/>
  <c r="AO136" i="5" s="1"/>
  <c r="AP136" i="5" s="1"/>
  <c r="AQ136" i="5" s="1"/>
  <c r="AS136" i="5" s="1"/>
  <c r="P134" i="5"/>
  <c r="AA134" i="5" s="1"/>
  <c r="AB134" i="5" s="1"/>
  <c r="AC134" i="5" s="1"/>
  <c r="V133" i="5"/>
  <c r="AX133" i="5" s="1"/>
  <c r="P135" i="5"/>
  <c r="AA135" i="5" s="1"/>
  <c r="AB135" i="5" s="1"/>
  <c r="AC135" i="5" s="1"/>
  <c r="P137" i="5"/>
  <c r="AA137" i="5" s="1"/>
  <c r="AB137" i="5" s="1"/>
  <c r="AC137" i="5" s="1"/>
  <c r="P132" i="5"/>
  <c r="AA132" i="5" s="1"/>
  <c r="AB132" i="5" s="1"/>
  <c r="AC132" i="5" s="1"/>
  <c r="O136" i="5"/>
  <c r="P136" i="5" s="1"/>
  <c r="AA136" i="5" s="1"/>
  <c r="AB136" i="5" s="1"/>
  <c r="AC136" i="5" s="1"/>
  <c r="R138" i="5"/>
  <c r="S138" i="5" s="1"/>
  <c r="AO138" i="5" s="1"/>
  <c r="AP138" i="5" s="1"/>
  <c r="AQ138" i="5" s="1"/>
  <c r="AS138" i="5" s="1"/>
  <c r="U132" i="5"/>
  <c r="V132" i="5" s="1"/>
  <c r="AX132" i="5" s="1"/>
  <c r="AY132" i="5" s="1"/>
  <c r="U138" i="5"/>
  <c r="V138" i="5" s="1"/>
  <c r="AX138" i="5" s="1"/>
  <c r="AY138" i="5" s="1"/>
  <c r="AZ138" i="5" s="1"/>
  <c r="BB138" i="5" s="1"/>
  <c r="U136" i="5"/>
  <c r="V136" i="5" s="1"/>
  <c r="AX136" i="5" s="1"/>
  <c r="AY136" i="5" s="1"/>
  <c r="AZ136" i="5" s="1"/>
  <c r="BB136" i="5" s="1"/>
  <c r="U135" i="5"/>
  <c r="V135" i="5" s="1"/>
  <c r="AX135" i="5" s="1"/>
  <c r="AY135" i="5" s="1"/>
  <c r="AZ135" i="5" s="1"/>
  <c r="BB135" i="5" s="1"/>
  <c r="R135" i="5"/>
  <c r="S135" i="5" s="1"/>
  <c r="AO135" i="5" s="1"/>
  <c r="U134" i="5"/>
  <c r="V134" i="5" s="1"/>
  <c r="AX134" i="5" s="1"/>
  <c r="R132" i="5"/>
  <c r="S132" i="5" s="1"/>
  <c r="AO132" i="5" s="1"/>
  <c r="R137" i="5"/>
  <c r="S137" i="5" s="1"/>
  <c r="AO137" i="5" s="1"/>
  <c r="R134" i="5"/>
  <c r="S134" i="5" s="1"/>
  <c r="AO134" i="5" s="1"/>
  <c r="Z105" i="5"/>
  <c r="M101" i="5"/>
  <c r="U101" i="5" s="1"/>
  <c r="M104" i="5"/>
  <c r="R104" i="5" s="1"/>
  <c r="M103" i="5"/>
  <c r="U103" i="5" s="1"/>
  <c r="L101" i="5"/>
  <c r="L102" i="5"/>
  <c r="L103" i="5"/>
  <c r="L104" i="5"/>
  <c r="Z129" i="5"/>
  <c r="AN129" i="5"/>
  <c r="Z130" i="5"/>
  <c r="AN130" i="5"/>
  <c r="Z192" i="5"/>
  <c r="AN192" i="5"/>
  <c r="Z131" i="5"/>
  <c r="AN131" i="5"/>
  <c r="L129" i="5"/>
  <c r="M129" i="5"/>
  <c r="L130" i="5"/>
  <c r="M130" i="5"/>
  <c r="L192" i="5"/>
  <c r="M192" i="5"/>
  <c r="L131" i="5"/>
  <c r="M131" i="5"/>
  <c r="C129" i="5"/>
  <c r="C130" i="5"/>
  <c r="C192" i="5"/>
  <c r="C131" i="5"/>
  <c r="D347" i="3"/>
  <c r="D346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285" i="3"/>
  <c r="D284" i="3"/>
  <c r="D283" i="3"/>
  <c r="D282" i="3"/>
  <c r="L50" i="5"/>
  <c r="AN103" i="5"/>
  <c r="Z103" i="5"/>
  <c r="AN101" i="5"/>
  <c r="Z101" i="5"/>
  <c r="Z102" i="5"/>
  <c r="AN102" i="5"/>
  <c r="M102" i="5"/>
  <c r="O102" i="5" s="1"/>
  <c r="AN100" i="5"/>
  <c r="Z100" i="5"/>
  <c r="AN99" i="5"/>
  <c r="Z99" i="5"/>
  <c r="M99" i="5"/>
  <c r="U99" i="5" s="1"/>
  <c r="H61" i="5"/>
  <c r="H7" i="5"/>
  <c r="L98" i="5"/>
  <c r="L18" i="5"/>
  <c r="L11" i="5"/>
  <c r="L151" i="5"/>
  <c r="L12" i="5"/>
  <c r="L36" i="5"/>
  <c r="H42" i="5"/>
  <c r="H123" i="5"/>
  <c r="H4" i="5"/>
  <c r="H5" i="5"/>
  <c r="H6" i="5"/>
  <c r="H147" i="5"/>
  <c r="H146" i="5"/>
  <c r="H13" i="5"/>
  <c r="H12" i="5"/>
  <c r="H11" i="5"/>
  <c r="H148" i="5"/>
  <c r="H10" i="5"/>
  <c r="H9" i="5"/>
  <c r="H8" i="5"/>
  <c r="H149" i="5"/>
  <c r="H150" i="5"/>
  <c r="H14" i="5"/>
  <c r="H22" i="5"/>
  <c r="H18" i="5"/>
  <c r="H15" i="5"/>
  <c r="H19" i="5"/>
  <c r="H16" i="5"/>
  <c r="H20" i="5"/>
  <c r="H17" i="5"/>
  <c r="H21" i="5"/>
  <c r="H23" i="5"/>
  <c r="H25" i="5"/>
  <c r="H24" i="5"/>
  <c r="H26" i="5"/>
  <c r="H27" i="5"/>
  <c r="H28" i="5"/>
  <c r="H29" i="5"/>
  <c r="H32" i="5"/>
  <c r="H33" i="5"/>
  <c r="H30" i="5"/>
  <c r="H31" i="5"/>
  <c r="H35" i="5"/>
  <c r="H34" i="5"/>
  <c r="H151" i="5"/>
  <c r="H152" i="5"/>
  <c r="H36" i="5"/>
  <c r="H154" i="5"/>
  <c r="H155" i="5"/>
  <c r="H153" i="5"/>
  <c r="H37" i="5"/>
  <c r="H39" i="5"/>
  <c r="H38" i="5"/>
  <c r="H40" i="5"/>
  <c r="H41" i="5"/>
  <c r="H43" i="5"/>
  <c r="H44" i="5"/>
  <c r="H47" i="5"/>
  <c r="H45" i="5"/>
  <c r="H50" i="5"/>
  <c r="H48" i="5"/>
  <c r="H49" i="5"/>
  <c r="H156" i="5"/>
  <c r="H46" i="5"/>
  <c r="H158" i="5"/>
  <c r="H157" i="5"/>
  <c r="H51" i="5"/>
  <c r="H52" i="5"/>
  <c r="H56" i="5"/>
  <c r="H54" i="5"/>
  <c r="H53" i="5"/>
  <c r="H55" i="5"/>
  <c r="H183" i="5"/>
  <c r="H59" i="5"/>
  <c r="H184" i="5"/>
  <c r="H185" i="5"/>
  <c r="H58" i="5"/>
  <c r="H57" i="5"/>
  <c r="H188" i="5"/>
  <c r="H159" i="5"/>
  <c r="H160" i="5"/>
  <c r="H161" i="5"/>
  <c r="H186" i="5"/>
  <c r="H162" i="5"/>
  <c r="H60" i="5"/>
  <c r="H163" i="5"/>
  <c r="H63" i="5"/>
  <c r="H65" i="5"/>
  <c r="H164" i="5"/>
  <c r="H62" i="5"/>
  <c r="H64" i="5"/>
  <c r="H166" i="5"/>
  <c r="H165" i="5"/>
  <c r="H167" i="5"/>
  <c r="H66" i="5"/>
  <c r="H187" i="5"/>
  <c r="H67" i="5"/>
  <c r="H70" i="5"/>
  <c r="H69" i="5"/>
  <c r="H68" i="5"/>
  <c r="H168" i="5"/>
  <c r="H171" i="5"/>
  <c r="H170" i="5"/>
  <c r="H169" i="5"/>
  <c r="H71" i="5"/>
  <c r="H73" i="5"/>
  <c r="H173" i="5"/>
  <c r="H74" i="5"/>
  <c r="H172" i="5"/>
  <c r="H175" i="5"/>
  <c r="H174" i="5"/>
  <c r="H72" i="5"/>
  <c r="H75" i="5"/>
  <c r="H78" i="5"/>
  <c r="H76" i="5"/>
  <c r="H79" i="5"/>
  <c r="H77" i="5"/>
  <c r="H176" i="5"/>
  <c r="H177" i="5"/>
  <c r="H86" i="5"/>
  <c r="H190" i="5"/>
  <c r="H83" i="5"/>
  <c r="H81" i="5"/>
  <c r="H85" i="5"/>
  <c r="H84" i="5"/>
  <c r="H80" i="5"/>
  <c r="H82" i="5"/>
  <c r="H189" i="5"/>
  <c r="H191" i="5"/>
  <c r="H178" i="5"/>
  <c r="H94" i="5"/>
  <c r="H93" i="5"/>
  <c r="H87" i="5"/>
  <c r="H91" i="5"/>
  <c r="H88" i="5"/>
  <c r="H92" i="5"/>
  <c r="H89" i="5"/>
  <c r="H90" i="5"/>
  <c r="H95" i="5"/>
  <c r="H98" i="5"/>
  <c r="H96" i="5"/>
  <c r="H179" i="5"/>
  <c r="H97" i="5"/>
  <c r="H181" i="5"/>
  <c r="H180" i="5"/>
  <c r="H108" i="5"/>
  <c r="H114" i="5"/>
  <c r="H121" i="5"/>
  <c r="H110" i="5"/>
  <c r="H111" i="5"/>
  <c r="H99" i="5"/>
  <c r="H118" i="5"/>
  <c r="H107" i="5"/>
  <c r="H100" i="5"/>
  <c r="H125" i="5"/>
  <c r="H101" i="5"/>
  <c r="H120" i="5"/>
  <c r="H126" i="5"/>
  <c r="H103" i="5"/>
  <c r="H104" i="5"/>
  <c r="H109" i="5"/>
  <c r="H105" i="5"/>
  <c r="H124" i="5"/>
  <c r="H119" i="5"/>
  <c r="H127" i="5"/>
  <c r="H106" i="5"/>
  <c r="H128" i="5"/>
  <c r="H122" i="5"/>
  <c r="H117" i="5"/>
  <c r="H113" i="5"/>
  <c r="H115" i="5"/>
  <c r="H116" i="5"/>
  <c r="H112" i="5"/>
  <c r="H3" i="5"/>
  <c r="L116" i="5"/>
  <c r="L119" i="5"/>
  <c r="L61" i="5"/>
  <c r="M62" i="5"/>
  <c r="L6" i="5"/>
  <c r="AN82" i="5"/>
  <c r="AN83" i="5"/>
  <c r="A143" i="5"/>
  <c r="Z12" i="5"/>
  <c r="AH182" i="5" l="1"/>
  <c r="AJ182" i="5" s="1"/>
  <c r="AE182" i="5"/>
  <c r="AF182" i="5" s="1"/>
  <c r="AH140" i="5"/>
  <c r="AJ140" i="5" s="1"/>
  <c r="AE140" i="5"/>
  <c r="AP139" i="5"/>
  <c r="AQ139" i="5" s="1"/>
  <c r="AS139" i="5" s="1"/>
  <c r="AB139" i="5"/>
  <c r="AC139" i="5" s="1"/>
  <c r="R103" i="5"/>
  <c r="S103" i="5" s="1"/>
  <c r="AO103" i="5" s="1"/>
  <c r="AP103" i="5" s="1"/>
  <c r="AQ103" i="5" s="1"/>
  <c r="AS103" i="5" s="1"/>
  <c r="AY133" i="5"/>
  <c r="AZ133" i="5" s="1"/>
  <c r="AZ132" i="5"/>
  <c r="BB132" i="5" s="1"/>
  <c r="AE136" i="5"/>
  <c r="AF136" i="5" s="1"/>
  <c r="AH136" i="5"/>
  <c r="AJ136" i="5" s="1"/>
  <c r="AE133" i="5"/>
  <c r="AF133" i="5" s="1"/>
  <c r="AH133" i="5"/>
  <c r="AJ133" i="5" s="1"/>
  <c r="AE134" i="5"/>
  <c r="AF134" i="5" s="1"/>
  <c r="AH134" i="5"/>
  <c r="AJ134" i="5" s="1"/>
  <c r="AE138" i="5"/>
  <c r="AF138" i="5" s="1"/>
  <c r="AH138" i="5"/>
  <c r="AJ138" i="5" s="1"/>
  <c r="AH132" i="5"/>
  <c r="AJ132" i="5" s="1"/>
  <c r="AE132" i="5"/>
  <c r="AF132" i="5" s="1"/>
  <c r="AP134" i="5"/>
  <c r="AQ134" i="5" s="1"/>
  <c r="AS134" i="5" s="1"/>
  <c r="AP137" i="5"/>
  <c r="AQ137" i="5" s="1"/>
  <c r="AS137" i="5" s="1"/>
  <c r="AH135" i="5"/>
  <c r="AJ135" i="5" s="1"/>
  <c r="AE135" i="5"/>
  <c r="AF135" i="5" s="1"/>
  <c r="AE137" i="5"/>
  <c r="AF137" i="5" s="1"/>
  <c r="AH137" i="5"/>
  <c r="AJ137" i="5" s="1"/>
  <c r="AP132" i="5"/>
  <c r="AQ132" i="5" s="1"/>
  <c r="AS132" i="5" s="1"/>
  <c r="AY134" i="5"/>
  <c r="AZ134" i="5" s="1"/>
  <c r="BB134" i="5" s="1"/>
  <c r="AP135" i="5"/>
  <c r="AQ135" i="5" s="1"/>
  <c r="AS135" i="5" s="1"/>
  <c r="O103" i="5"/>
  <c r="P103" i="5" s="1"/>
  <c r="AA103" i="5" s="1"/>
  <c r="AB103" i="5" s="1"/>
  <c r="O101" i="5"/>
  <c r="P101" i="5" s="1"/>
  <c r="AA101" i="5" s="1"/>
  <c r="AB101" i="5" s="1"/>
  <c r="AC101" i="5" s="1"/>
  <c r="AE101" i="5" s="1"/>
  <c r="AF101" i="5" s="1"/>
  <c r="R101" i="5"/>
  <c r="S101" i="5" s="1"/>
  <c r="AO101" i="5" s="1"/>
  <c r="AP101" i="5" s="1"/>
  <c r="AQ101" i="5" s="1"/>
  <c r="AS101" i="5" s="1"/>
  <c r="V103" i="5"/>
  <c r="AX103" i="5" s="1"/>
  <c r="AY103" i="5" s="1"/>
  <c r="V101" i="5"/>
  <c r="AX101" i="5" s="1"/>
  <c r="AY101" i="5" s="1"/>
  <c r="AZ101" i="5" s="1"/>
  <c r="BB101" i="5" s="1"/>
  <c r="O131" i="5"/>
  <c r="P131" i="5" s="1"/>
  <c r="AA131" i="5" s="1"/>
  <c r="R131" i="5"/>
  <c r="S131" i="5" s="1"/>
  <c r="AO131" i="5" s="1"/>
  <c r="U131" i="5"/>
  <c r="V131" i="5" s="1"/>
  <c r="AX131" i="5" s="1"/>
  <c r="O192" i="5"/>
  <c r="P192" i="5" s="1"/>
  <c r="AA192" i="5" s="1"/>
  <c r="R192" i="5"/>
  <c r="S192" i="5" s="1"/>
  <c r="AO192" i="5" s="1"/>
  <c r="U192" i="5"/>
  <c r="V192" i="5" s="1"/>
  <c r="AX192" i="5" s="1"/>
  <c r="O130" i="5"/>
  <c r="P130" i="5" s="1"/>
  <c r="AA130" i="5" s="1"/>
  <c r="R130" i="5"/>
  <c r="S130" i="5" s="1"/>
  <c r="AO130" i="5" s="1"/>
  <c r="U130" i="5"/>
  <c r="V130" i="5" s="1"/>
  <c r="AX130" i="5" s="1"/>
  <c r="O129" i="5"/>
  <c r="P129" i="5" s="1"/>
  <c r="AA129" i="5" s="1"/>
  <c r="R129" i="5"/>
  <c r="S129" i="5" s="1"/>
  <c r="AO129" i="5" s="1"/>
  <c r="U129" i="5"/>
  <c r="V129" i="5" s="1"/>
  <c r="AX129" i="5" s="1"/>
  <c r="R102" i="5"/>
  <c r="O99" i="5"/>
  <c r="U102" i="5"/>
  <c r="R99" i="5"/>
  <c r="L108" i="5"/>
  <c r="M108" i="5"/>
  <c r="L114" i="5"/>
  <c r="M114" i="5"/>
  <c r="L121" i="5"/>
  <c r="M121" i="5"/>
  <c r="L110" i="5"/>
  <c r="M110" i="5"/>
  <c r="L111" i="5"/>
  <c r="M111" i="5"/>
  <c r="L99" i="5"/>
  <c r="V99" i="5" s="1"/>
  <c r="AX99" i="5" s="1"/>
  <c r="L113" i="5"/>
  <c r="M113" i="5"/>
  <c r="L118" i="5"/>
  <c r="M118" i="5"/>
  <c r="L107" i="5"/>
  <c r="M107" i="5"/>
  <c r="L100" i="5"/>
  <c r="M100" i="5"/>
  <c r="L125" i="5"/>
  <c r="M125" i="5"/>
  <c r="L128" i="5"/>
  <c r="M128" i="5"/>
  <c r="L123" i="5"/>
  <c r="M123" i="5"/>
  <c r="L106" i="5"/>
  <c r="M106" i="5"/>
  <c r="P102" i="5"/>
  <c r="AA102" i="5" s="1"/>
  <c r="L120" i="5"/>
  <c r="M120" i="5"/>
  <c r="L126" i="5"/>
  <c r="M126" i="5"/>
  <c r="L109" i="5"/>
  <c r="M109" i="5"/>
  <c r="L117" i="5"/>
  <c r="M117" i="5"/>
  <c r="L122" i="5"/>
  <c r="M122" i="5"/>
  <c r="L115" i="5"/>
  <c r="M115" i="5"/>
  <c r="L105" i="5"/>
  <c r="M105" i="5"/>
  <c r="L124" i="5"/>
  <c r="M124" i="5"/>
  <c r="M119" i="5"/>
  <c r="M116" i="5"/>
  <c r="L127" i="5"/>
  <c r="M127" i="5"/>
  <c r="M112" i="5"/>
  <c r="Z108" i="5"/>
  <c r="AN108" i="5"/>
  <c r="Z114" i="5"/>
  <c r="AN114" i="5"/>
  <c r="Z121" i="5"/>
  <c r="AN121" i="5"/>
  <c r="Z110" i="5"/>
  <c r="AN110" i="5"/>
  <c r="Z111" i="5"/>
  <c r="AN111" i="5"/>
  <c r="Z113" i="5"/>
  <c r="AN113" i="5"/>
  <c r="Z118" i="5"/>
  <c r="AN118" i="5"/>
  <c r="Z107" i="5"/>
  <c r="AN107" i="5"/>
  <c r="Z125" i="5"/>
  <c r="AN125" i="5"/>
  <c r="Z128" i="5"/>
  <c r="AN128" i="5"/>
  <c r="Z123" i="5"/>
  <c r="AN123" i="5"/>
  <c r="Z162" i="5"/>
  <c r="AN162" i="5"/>
  <c r="Z120" i="5"/>
  <c r="AN120" i="5"/>
  <c r="Z126" i="5"/>
  <c r="AN126" i="5"/>
  <c r="Z104" i="5"/>
  <c r="AN104" i="5"/>
  <c r="AN105" i="5"/>
  <c r="Z109" i="5"/>
  <c r="AN109" i="5"/>
  <c r="Z117" i="5"/>
  <c r="AN117" i="5"/>
  <c r="Z122" i="5"/>
  <c r="AN122" i="5"/>
  <c r="Z115" i="5"/>
  <c r="AN115" i="5"/>
  <c r="Z106" i="5"/>
  <c r="AN106" i="5"/>
  <c r="Z124" i="5"/>
  <c r="AN124" i="5"/>
  <c r="Z119" i="5"/>
  <c r="AN119" i="5"/>
  <c r="Z116" i="5"/>
  <c r="AN116" i="5"/>
  <c r="Z127" i="5"/>
  <c r="AN127" i="5"/>
  <c r="Z112" i="5"/>
  <c r="AN112" i="5"/>
  <c r="C106" i="5"/>
  <c r="D266" i="2"/>
  <c r="C108" i="5"/>
  <c r="C114" i="5"/>
  <c r="C121" i="5"/>
  <c r="C110" i="5"/>
  <c r="C111" i="5"/>
  <c r="C99" i="5"/>
  <c r="C113" i="5"/>
  <c r="C118" i="5"/>
  <c r="C107" i="5"/>
  <c r="C100" i="5"/>
  <c r="C125" i="5"/>
  <c r="C128" i="5"/>
  <c r="C123" i="5"/>
  <c r="C101" i="5"/>
  <c r="C102" i="5"/>
  <c r="C120" i="5"/>
  <c r="C126" i="5"/>
  <c r="C103" i="5"/>
  <c r="C104" i="5"/>
  <c r="C109" i="5"/>
  <c r="C117" i="5"/>
  <c r="C122" i="5"/>
  <c r="C115" i="5"/>
  <c r="C105" i="5"/>
  <c r="C124" i="5"/>
  <c r="C119" i="5"/>
  <c r="C116" i="5"/>
  <c r="C127" i="5"/>
  <c r="C112" i="5"/>
  <c r="AH139" i="5" l="1"/>
  <c r="AJ139" i="5" s="1"/>
  <c r="AE139" i="5"/>
  <c r="BB133" i="5"/>
  <c r="AH101" i="5"/>
  <c r="AJ101" i="5" s="1"/>
  <c r="AC103" i="5"/>
  <c r="AH103" i="5" s="1"/>
  <c r="AJ103" i="5" s="1"/>
  <c r="AZ103" i="5"/>
  <c r="BB103" i="5" s="1"/>
  <c r="AY129" i="5"/>
  <c r="AZ129" i="5" s="1"/>
  <c r="BB129" i="5" s="1"/>
  <c r="AP129" i="5"/>
  <c r="AQ129" i="5" s="1"/>
  <c r="AS129" i="5" s="1"/>
  <c r="AB129" i="5"/>
  <c r="AC129" i="5" s="1"/>
  <c r="AY130" i="5"/>
  <c r="AZ130" i="5" s="1"/>
  <c r="BB130" i="5" s="1"/>
  <c r="AP130" i="5"/>
  <c r="AQ130" i="5" s="1"/>
  <c r="AS130" i="5" s="1"/>
  <c r="AB130" i="5"/>
  <c r="AC130" i="5" s="1"/>
  <c r="AY192" i="5"/>
  <c r="AZ192" i="5" s="1"/>
  <c r="BB192" i="5" s="1"/>
  <c r="AP192" i="5"/>
  <c r="AQ192" i="5" s="1"/>
  <c r="AS192" i="5" s="1"/>
  <c r="AB192" i="5"/>
  <c r="AC192" i="5" s="1"/>
  <c r="AY131" i="5"/>
  <c r="AZ131" i="5" s="1"/>
  <c r="BB131" i="5" s="1"/>
  <c r="AP131" i="5"/>
  <c r="AQ131" i="5" s="1"/>
  <c r="AS131" i="5" s="1"/>
  <c r="AB131" i="5"/>
  <c r="AC131" i="5" s="1"/>
  <c r="AY99" i="5"/>
  <c r="AZ99" i="5" s="1"/>
  <c r="BB99" i="5" s="1"/>
  <c r="AB102" i="5"/>
  <c r="AC102" i="5" s="1"/>
  <c r="V102" i="5"/>
  <c r="AX102" i="5" s="1"/>
  <c r="AY102" i="5" s="1"/>
  <c r="AZ102" i="5" s="1"/>
  <c r="BB102" i="5" s="1"/>
  <c r="P99" i="5"/>
  <c r="AA99" i="5" s="1"/>
  <c r="S99" i="5"/>
  <c r="AO99" i="5" s="1"/>
  <c r="AP99" i="5" s="1"/>
  <c r="S102" i="5"/>
  <c r="AO102" i="5" s="1"/>
  <c r="AP102" i="5" s="1"/>
  <c r="AQ102" i="5" s="1"/>
  <c r="AS102" i="5" s="1"/>
  <c r="H102" i="5"/>
  <c r="O100" i="5"/>
  <c r="P100" i="5" s="1"/>
  <c r="AA100" i="5" s="1"/>
  <c r="U100" i="5"/>
  <c r="V100" i="5" s="1"/>
  <c r="AX100" i="5" s="1"/>
  <c r="R100" i="5"/>
  <c r="S100" i="5" s="1"/>
  <c r="AO100" i="5" s="1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51" i="2"/>
  <c r="Z2" i="5"/>
  <c r="Z3" i="5"/>
  <c r="Z4" i="5"/>
  <c r="Z6" i="5"/>
  <c r="Z5" i="5"/>
  <c r="Z147" i="5"/>
  <c r="Z146" i="5"/>
  <c r="Z10" i="5"/>
  <c r="Z14" i="5"/>
  <c r="Z150" i="5"/>
  <c r="Z9" i="5"/>
  <c r="Z8" i="5"/>
  <c r="Z7" i="5"/>
  <c r="Z13" i="5"/>
  <c r="Z149" i="5"/>
  <c r="Z11" i="5"/>
  <c r="Z24" i="5"/>
  <c r="Z25" i="5"/>
  <c r="Z22" i="5"/>
  <c r="Z23" i="5"/>
  <c r="Z19" i="5"/>
  <c r="Z16" i="5"/>
  <c r="Z17" i="5"/>
  <c r="Z21" i="5"/>
  <c r="Z15" i="5"/>
  <c r="Z18" i="5"/>
  <c r="Z20" i="5"/>
  <c r="Z26" i="5"/>
  <c r="Z29" i="5"/>
  <c r="Z28" i="5"/>
  <c r="Z27" i="5"/>
  <c r="Z32" i="5"/>
  <c r="Z35" i="5"/>
  <c r="Z34" i="5"/>
  <c r="Z31" i="5"/>
  <c r="Z30" i="5"/>
  <c r="Z33" i="5"/>
  <c r="Z151" i="5"/>
  <c r="Z152" i="5"/>
  <c r="Z153" i="5"/>
  <c r="Z37" i="5"/>
  <c r="Z154" i="5"/>
  <c r="Z155" i="5"/>
  <c r="Z36" i="5"/>
  <c r="Z40" i="5"/>
  <c r="Z44" i="5"/>
  <c r="Z43" i="5"/>
  <c r="Z41" i="5"/>
  <c r="Z38" i="5"/>
  <c r="Z39" i="5"/>
  <c r="Z42" i="5"/>
  <c r="Z45" i="5"/>
  <c r="Z158" i="5"/>
  <c r="Z157" i="5"/>
  <c r="Z156" i="5"/>
  <c r="Z50" i="5"/>
  <c r="Z47" i="5"/>
  <c r="Z49" i="5"/>
  <c r="Z48" i="5"/>
  <c r="Z46" i="5"/>
  <c r="Z55" i="5"/>
  <c r="Z54" i="5"/>
  <c r="Z53" i="5"/>
  <c r="Z51" i="5"/>
  <c r="Z52" i="5"/>
  <c r="Z56" i="5"/>
  <c r="Z183" i="5"/>
  <c r="Z59" i="5"/>
  <c r="Z159" i="5"/>
  <c r="Z184" i="5"/>
  <c r="Z160" i="5"/>
  <c r="Z185" i="5"/>
  <c r="Z161" i="5"/>
  <c r="Z58" i="5"/>
  <c r="Z186" i="5"/>
  <c r="Z57" i="5"/>
  <c r="Z188" i="5"/>
  <c r="Z65" i="5"/>
  <c r="Z164" i="5"/>
  <c r="Z62" i="5"/>
  <c r="Z60" i="5"/>
  <c r="Z64" i="5"/>
  <c r="Z165" i="5"/>
  <c r="Z166" i="5"/>
  <c r="Z163" i="5"/>
  <c r="Z63" i="5"/>
  <c r="Z61" i="5"/>
  <c r="Z67" i="5"/>
  <c r="Z187" i="5"/>
  <c r="Z167" i="5"/>
  <c r="Z66" i="5"/>
  <c r="Z69" i="5"/>
  <c r="Z169" i="5"/>
  <c r="Z68" i="5"/>
  <c r="Z170" i="5"/>
  <c r="Z171" i="5"/>
  <c r="Z168" i="5"/>
  <c r="Z70" i="5"/>
  <c r="Z173" i="5"/>
  <c r="Z74" i="5"/>
  <c r="Z172" i="5"/>
  <c r="Z174" i="5"/>
  <c r="Z75" i="5"/>
  <c r="Z71" i="5"/>
  <c r="Z175" i="5"/>
  <c r="Z73" i="5"/>
  <c r="Z72" i="5"/>
  <c r="Z79" i="5"/>
  <c r="Z78" i="5"/>
  <c r="Z76" i="5"/>
  <c r="Z77" i="5"/>
  <c r="Z82" i="5"/>
  <c r="Z83" i="5"/>
  <c r="Z80" i="5"/>
  <c r="Z81" i="5"/>
  <c r="Z84" i="5"/>
  <c r="Z86" i="5"/>
  <c r="Z178" i="5"/>
  <c r="Z85" i="5"/>
  <c r="Z176" i="5"/>
  <c r="Z177" i="5"/>
  <c r="Z93" i="5"/>
  <c r="Z91" i="5"/>
  <c r="Z89" i="5"/>
  <c r="Z94" i="5"/>
  <c r="Z88" i="5"/>
  <c r="Z92" i="5"/>
  <c r="Z90" i="5"/>
  <c r="Z87" i="5"/>
  <c r="Z95" i="5"/>
  <c r="Z180" i="5"/>
  <c r="Z98" i="5"/>
  <c r="Z96" i="5"/>
  <c r="Z179" i="5"/>
  <c r="Z181" i="5"/>
  <c r="Z97" i="5"/>
  <c r="M86" i="5"/>
  <c r="U86" i="5" s="1"/>
  <c r="M178" i="5"/>
  <c r="M85" i="5"/>
  <c r="M176" i="5"/>
  <c r="R176" i="5" s="1"/>
  <c r="M177" i="5"/>
  <c r="U177" i="5" s="1"/>
  <c r="M93" i="5"/>
  <c r="M91" i="5"/>
  <c r="M89" i="5"/>
  <c r="M94" i="5"/>
  <c r="M88" i="5"/>
  <c r="O88" i="5" s="1"/>
  <c r="M92" i="5"/>
  <c r="M90" i="5"/>
  <c r="M87" i="5"/>
  <c r="R87" i="5" s="1"/>
  <c r="M95" i="5"/>
  <c r="M180" i="5"/>
  <c r="R122" i="5" s="1"/>
  <c r="M98" i="5"/>
  <c r="M96" i="5"/>
  <c r="M179" i="5"/>
  <c r="M181" i="5"/>
  <c r="M97" i="5"/>
  <c r="M2" i="5"/>
  <c r="U2" i="5" s="1"/>
  <c r="M3" i="5"/>
  <c r="U3" i="5" s="1"/>
  <c r="M4" i="5"/>
  <c r="O4" i="5" s="1"/>
  <c r="M6" i="5"/>
  <c r="U6" i="5" s="1"/>
  <c r="M5" i="5"/>
  <c r="U5" i="5" s="1"/>
  <c r="M147" i="5"/>
  <c r="M146" i="5"/>
  <c r="M10" i="5"/>
  <c r="M14" i="5"/>
  <c r="U114" i="5" s="1"/>
  <c r="M150" i="5"/>
  <c r="U122" i="5" s="1"/>
  <c r="M9" i="5"/>
  <c r="M8" i="5"/>
  <c r="M7" i="5"/>
  <c r="M13" i="5"/>
  <c r="M12" i="5"/>
  <c r="M149" i="5"/>
  <c r="U108" i="5" s="1"/>
  <c r="M11" i="5"/>
  <c r="M24" i="5"/>
  <c r="M25" i="5"/>
  <c r="M22" i="5"/>
  <c r="M23" i="5"/>
  <c r="M19" i="5"/>
  <c r="M16" i="5"/>
  <c r="M17" i="5"/>
  <c r="M21" i="5"/>
  <c r="M15" i="5"/>
  <c r="M18" i="5"/>
  <c r="M20" i="5"/>
  <c r="M26" i="5"/>
  <c r="M29" i="5"/>
  <c r="M28" i="5"/>
  <c r="M27" i="5"/>
  <c r="M32" i="5"/>
  <c r="M35" i="5"/>
  <c r="M34" i="5"/>
  <c r="M31" i="5"/>
  <c r="M30" i="5"/>
  <c r="M33" i="5"/>
  <c r="M151" i="5"/>
  <c r="M152" i="5"/>
  <c r="M153" i="5"/>
  <c r="O108" i="5" s="1"/>
  <c r="M37" i="5"/>
  <c r="M154" i="5"/>
  <c r="M155" i="5"/>
  <c r="M36" i="5"/>
  <c r="M40" i="5"/>
  <c r="M44" i="5"/>
  <c r="M43" i="5"/>
  <c r="M41" i="5"/>
  <c r="M38" i="5"/>
  <c r="M39" i="5"/>
  <c r="M42" i="5"/>
  <c r="M45" i="5"/>
  <c r="M158" i="5"/>
  <c r="M157" i="5"/>
  <c r="M156" i="5"/>
  <c r="M50" i="5"/>
  <c r="M47" i="5"/>
  <c r="M49" i="5"/>
  <c r="M48" i="5"/>
  <c r="M46" i="5"/>
  <c r="M55" i="5"/>
  <c r="M54" i="5"/>
  <c r="M53" i="5"/>
  <c r="M51" i="5"/>
  <c r="M52" i="5"/>
  <c r="M56" i="5"/>
  <c r="M183" i="5"/>
  <c r="M59" i="5"/>
  <c r="M159" i="5"/>
  <c r="M184" i="5"/>
  <c r="M160" i="5"/>
  <c r="R120" i="5" s="1"/>
  <c r="M185" i="5"/>
  <c r="M161" i="5"/>
  <c r="M58" i="5"/>
  <c r="M186" i="5"/>
  <c r="M57" i="5"/>
  <c r="M188" i="5"/>
  <c r="M65" i="5"/>
  <c r="M164" i="5"/>
  <c r="M162" i="5"/>
  <c r="M60" i="5"/>
  <c r="M64" i="5"/>
  <c r="M166" i="5"/>
  <c r="O166" i="5" s="1"/>
  <c r="M163" i="5"/>
  <c r="M63" i="5"/>
  <c r="M61" i="5"/>
  <c r="M67" i="5"/>
  <c r="M187" i="5"/>
  <c r="M167" i="5"/>
  <c r="M66" i="5"/>
  <c r="M69" i="5"/>
  <c r="M169" i="5"/>
  <c r="M68" i="5"/>
  <c r="U68" i="5" s="1"/>
  <c r="M170" i="5"/>
  <c r="U170" i="5" s="1"/>
  <c r="M171" i="5"/>
  <c r="R171" i="5" s="1"/>
  <c r="M168" i="5"/>
  <c r="M70" i="5"/>
  <c r="M173" i="5"/>
  <c r="M74" i="5"/>
  <c r="M172" i="5"/>
  <c r="O172" i="5" s="1"/>
  <c r="M174" i="5"/>
  <c r="U174" i="5" s="1"/>
  <c r="M75" i="5"/>
  <c r="O75" i="5" s="1"/>
  <c r="M71" i="5"/>
  <c r="M175" i="5"/>
  <c r="M73" i="5"/>
  <c r="M72" i="5"/>
  <c r="U72" i="5" s="1"/>
  <c r="M79" i="5"/>
  <c r="M78" i="5"/>
  <c r="R78" i="5" s="1"/>
  <c r="M76" i="5"/>
  <c r="U76" i="5" s="1"/>
  <c r="M77" i="5"/>
  <c r="U77" i="5" s="1"/>
  <c r="M82" i="5"/>
  <c r="U82" i="5" s="1"/>
  <c r="M83" i="5"/>
  <c r="O83" i="5" s="1"/>
  <c r="M80" i="5"/>
  <c r="U80" i="5" s="1"/>
  <c r="M81" i="5"/>
  <c r="M84" i="5"/>
  <c r="U84" i="5" s="1"/>
  <c r="AE103" i="5" l="1"/>
  <c r="AF103" i="5" s="1"/>
  <c r="AE131" i="5"/>
  <c r="AF131" i="5" s="1"/>
  <c r="AH131" i="5"/>
  <c r="AJ131" i="5" s="1"/>
  <c r="AE192" i="5"/>
  <c r="AH192" i="5"/>
  <c r="AJ192" i="5" s="1"/>
  <c r="AE130" i="5"/>
  <c r="AH130" i="5"/>
  <c r="AJ130" i="5" s="1"/>
  <c r="AE129" i="5"/>
  <c r="AF129" i="5" s="1"/>
  <c r="AH129" i="5"/>
  <c r="AJ129" i="5" s="1"/>
  <c r="AQ99" i="5"/>
  <c r="AS99" i="5" s="1"/>
  <c r="AE102" i="5"/>
  <c r="AF102" i="5" s="1"/>
  <c r="AH102" i="5"/>
  <c r="AJ102" i="5" s="1"/>
  <c r="AB99" i="5"/>
  <c r="AC99" i="5" s="1"/>
  <c r="AP100" i="5"/>
  <c r="AQ100" i="5" s="1"/>
  <c r="AS100" i="5" s="1"/>
  <c r="AY100" i="5"/>
  <c r="AZ100" i="5" s="1"/>
  <c r="BB100" i="5" s="1"/>
  <c r="AB100" i="5"/>
  <c r="AC100" i="5" s="1"/>
  <c r="R105" i="5"/>
  <c r="R146" i="5"/>
  <c r="O181" i="5"/>
  <c r="O94" i="5"/>
  <c r="U105" i="5"/>
  <c r="O122" i="5"/>
  <c r="U90" i="5"/>
  <c r="O163" i="5"/>
  <c r="O178" i="5"/>
  <c r="O97" i="5"/>
  <c r="O165" i="5"/>
  <c r="R113" i="5"/>
  <c r="O20" i="5"/>
  <c r="U8" i="5"/>
  <c r="O89" i="5"/>
  <c r="U56" i="5"/>
  <c r="U91" i="5"/>
  <c r="U187" i="5"/>
  <c r="U95" i="5"/>
  <c r="R93" i="5"/>
  <c r="U123" i="5"/>
  <c r="R169" i="5"/>
  <c r="U126" i="5"/>
  <c r="O125" i="5"/>
  <c r="U13" i="5"/>
  <c r="U147" i="5"/>
  <c r="U179" i="5"/>
  <c r="R108" i="5"/>
  <c r="R69" i="5"/>
  <c r="R57" i="5"/>
  <c r="R59" i="5"/>
  <c r="R46" i="5"/>
  <c r="R30" i="5"/>
  <c r="O26" i="5"/>
  <c r="U23" i="5"/>
  <c r="U96" i="5"/>
  <c r="R121" i="5"/>
  <c r="O98" i="5"/>
  <c r="R107" i="5"/>
  <c r="U70" i="5"/>
  <c r="U64" i="5"/>
  <c r="U39" i="5"/>
  <c r="U34" i="5"/>
  <c r="O18" i="5"/>
  <c r="U110" i="5"/>
  <c r="U9" i="5"/>
  <c r="R180" i="5"/>
  <c r="R126" i="5"/>
  <c r="R119" i="5"/>
  <c r="U168" i="5"/>
  <c r="U60" i="5"/>
  <c r="R118" i="5"/>
  <c r="R111" i="5"/>
  <c r="O121" i="5"/>
  <c r="R106" i="5"/>
  <c r="O104" i="5"/>
  <c r="O123" i="5"/>
  <c r="U73" i="5"/>
  <c r="O73" i="5"/>
  <c r="O117" i="5"/>
  <c r="U167" i="5"/>
  <c r="O64" i="5"/>
  <c r="O186" i="5"/>
  <c r="U183" i="5"/>
  <c r="U48" i="5"/>
  <c r="O42" i="5"/>
  <c r="U155" i="5"/>
  <c r="U31" i="5"/>
  <c r="U22" i="5"/>
  <c r="U7" i="5"/>
  <c r="O120" i="5"/>
  <c r="O126" i="5"/>
  <c r="O107" i="5"/>
  <c r="O71" i="5"/>
  <c r="U67" i="5"/>
  <c r="U161" i="5"/>
  <c r="U52" i="5"/>
  <c r="U47" i="5"/>
  <c r="U38" i="5"/>
  <c r="U37" i="5"/>
  <c r="U35" i="5"/>
  <c r="U15" i="5"/>
  <c r="U24" i="5"/>
  <c r="U104" i="5"/>
  <c r="O119" i="5"/>
  <c r="U124" i="5"/>
  <c r="O124" i="5"/>
  <c r="O61" i="5"/>
  <c r="O62" i="5"/>
  <c r="O185" i="5"/>
  <c r="U51" i="5"/>
  <c r="O50" i="5"/>
  <c r="U41" i="5"/>
  <c r="U153" i="5"/>
  <c r="U32" i="5"/>
  <c r="U21" i="5"/>
  <c r="U11" i="5"/>
  <c r="R150" i="5"/>
  <c r="U106" i="5"/>
  <c r="U117" i="5"/>
  <c r="R109" i="5"/>
  <c r="U111" i="5"/>
  <c r="O106" i="5"/>
  <c r="U109" i="5"/>
  <c r="R110" i="5"/>
  <c r="U58" i="5"/>
  <c r="U154" i="5"/>
  <c r="U63" i="5"/>
  <c r="U164" i="5"/>
  <c r="O160" i="5"/>
  <c r="U53" i="5"/>
  <c r="U156" i="5"/>
  <c r="U43" i="5"/>
  <c r="U152" i="5"/>
  <c r="O27" i="5"/>
  <c r="U17" i="5"/>
  <c r="U149" i="5"/>
  <c r="R14" i="5"/>
  <c r="U119" i="5"/>
  <c r="R124" i="5"/>
  <c r="U120" i="5"/>
  <c r="O118" i="5"/>
  <c r="O115" i="5"/>
  <c r="U113" i="5"/>
  <c r="U175" i="5"/>
  <c r="U49" i="5"/>
  <c r="U25" i="5"/>
  <c r="O65" i="5"/>
  <c r="O184" i="5"/>
  <c r="R54" i="5"/>
  <c r="O157" i="5"/>
  <c r="O44" i="5"/>
  <c r="R28" i="5"/>
  <c r="R10" i="5"/>
  <c r="O111" i="5"/>
  <c r="O109" i="5"/>
  <c r="R125" i="5"/>
  <c r="U118" i="5"/>
  <c r="O110" i="5"/>
  <c r="R74" i="5"/>
  <c r="U188" i="5"/>
  <c r="U159" i="5"/>
  <c r="R55" i="5"/>
  <c r="R158" i="5"/>
  <c r="U40" i="5"/>
  <c r="U33" i="5"/>
  <c r="O29" i="5"/>
  <c r="R148" i="5"/>
  <c r="R117" i="5"/>
  <c r="O113" i="5"/>
  <c r="O105" i="5"/>
  <c r="U107" i="5"/>
  <c r="U125" i="5"/>
  <c r="R123" i="5"/>
  <c r="R114" i="5"/>
  <c r="O114" i="5"/>
  <c r="U121" i="5"/>
  <c r="R70" i="5"/>
  <c r="R67" i="5"/>
  <c r="R52" i="5"/>
  <c r="R37" i="5"/>
  <c r="R38" i="5"/>
  <c r="R35" i="5"/>
  <c r="R82" i="5"/>
  <c r="R5" i="5"/>
  <c r="R73" i="5"/>
  <c r="R48" i="5"/>
  <c r="R71" i="5"/>
  <c r="R47" i="5"/>
  <c r="R15" i="5"/>
  <c r="R161" i="5"/>
  <c r="R56" i="5"/>
  <c r="R24" i="5"/>
  <c r="R9" i="5"/>
  <c r="R32" i="5"/>
  <c r="R20" i="5"/>
  <c r="R22" i="5"/>
  <c r="R64" i="5"/>
  <c r="R7" i="5"/>
  <c r="R186" i="5"/>
  <c r="R31" i="5"/>
  <c r="R3" i="5"/>
  <c r="R41" i="5"/>
  <c r="R21" i="5"/>
  <c r="R153" i="5"/>
  <c r="R11" i="5"/>
  <c r="R51" i="5"/>
  <c r="O180" i="5"/>
  <c r="R187" i="5"/>
  <c r="R77" i="5"/>
  <c r="R61" i="5"/>
  <c r="R185" i="5"/>
  <c r="R39" i="5"/>
  <c r="R175" i="5"/>
  <c r="R60" i="5"/>
  <c r="R18" i="5"/>
  <c r="U186" i="5"/>
  <c r="R154" i="5"/>
  <c r="R62" i="5"/>
  <c r="R49" i="5"/>
  <c r="R168" i="5"/>
  <c r="R58" i="5"/>
  <c r="R50" i="5"/>
  <c r="R34" i="5"/>
  <c r="R25" i="5"/>
  <c r="R174" i="5"/>
  <c r="R63" i="5"/>
  <c r="R155" i="5"/>
  <c r="U20" i="5"/>
  <c r="R17" i="5"/>
  <c r="R80" i="5"/>
  <c r="R183" i="5"/>
  <c r="O68" i="5"/>
  <c r="R53" i="5"/>
  <c r="R43" i="5"/>
  <c r="R160" i="5"/>
  <c r="R27" i="5"/>
  <c r="R68" i="5"/>
  <c r="R42" i="5"/>
  <c r="O156" i="5"/>
  <c r="R167" i="5"/>
  <c r="R152" i="5"/>
  <c r="O25" i="5"/>
  <c r="R170" i="5"/>
  <c r="R83" i="5"/>
  <c r="R75" i="5"/>
  <c r="R164" i="5"/>
  <c r="R156" i="5"/>
  <c r="R26" i="5"/>
  <c r="O53" i="5"/>
  <c r="O22" i="5"/>
  <c r="R98" i="5"/>
  <c r="U27" i="5"/>
  <c r="O169" i="5"/>
  <c r="O7" i="5"/>
  <c r="R177" i="5"/>
  <c r="U185" i="5"/>
  <c r="U18" i="5"/>
  <c r="R149" i="5"/>
  <c r="O82" i="5"/>
  <c r="O63" i="5"/>
  <c r="O43" i="5"/>
  <c r="O9" i="5"/>
  <c r="U160" i="5"/>
  <c r="R76" i="5"/>
  <c r="O77" i="5"/>
  <c r="O152" i="5"/>
  <c r="U71" i="5"/>
  <c r="O76" i="5"/>
  <c r="O164" i="5"/>
  <c r="U75" i="5"/>
  <c r="U54" i="5"/>
  <c r="R23" i="5"/>
  <c r="U42" i="5"/>
  <c r="O174" i="5"/>
  <c r="O93" i="5"/>
  <c r="U169" i="5"/>
  <c r="U92" i="5"/>
  <c r="O92" i="5"/>
  <c r="R92" i="5"/>
  <c r="U66" i="5"/>
  <c r="O66" i="5"/>
  <c r="U36" i="5"/>
  <c r="R36" i="5"/>
  <c r="O36" i="5"/>
  <c r="U166" i="5"/>
  <c r="O69" i="5"/>
  <c r="U165" i="5"/>
  <c r="U158" i="5"/>
  <c r="U74" i="5"/>
  <c r="O74" i="5"/>
  <c r="U173" i="5"/>
  <c r="R173" i="5"/>
  <c r="O173" i="5"/>
  <c r="U69" i="5"/>
  <c r="O158" i="5"/>
  <c r="U55" i="5"/>
  <c r="R188" i="5"/>
  <c r="R166" i="5"/>
  <c r="R40" i="5"/>
  <c r="O159" i="5"/>
  <c r="O23" i="5"/>
  <c r="U181" i="5"/>
  <c r="R181" i="5"/>
  <c r="U46" i="5"/>
  <c r="O46" i="5"/>
  <c r="U30" i="5"/>
  <c r="O30" i="5"/>
  <c r="U88" i="5"/>
  <c r="R88" i="5"/>
  <c r="O40" i="5"/>
  <c r="U79" i="5"/>
  <c r="R79" i="5"/>
  <c r="O79" i="5"/>
  <c r="U19" i="5"/>
  <c r="O19" i="5"/>
  <c r="U146" i="5"/>
  <c r="O146" i="5"/>
  <c r="O33" i="5"/>
  <c r="U81" i="5"/>
  <c r="O81" i="5"/>
  <c r="U57" i="5"/>
  <c r="O57" i="5"/>
  <c r="U45" i="5"/>
  <c r="R45" i="5"/>
  <c r="O45" i="5"/>
  <c r="U178" i="5"/>
  <c r="R178" i="5"/>
  <c r="O188" i="5"/>
  <c r="R165" i="5"/>
  <c r="R66" i="5"/>
  <c r="O54" i="5"/>
  <c r="R84" i="5"/>
  <c r="O84" i="5"/>
  <c r="U148" i="5"/>
  <c r="O148" i="5"/>
  <c r="U85" i="5"/>
  <c r="O85" i="5"/>
  <c r="R85" i="5"/>
  <c r="R72" i="5"/>
  <c r="O72" i="5"/>
  <c r="U59" i="5"/>
  <c r="O59" i="5"/>
  <c r="R179" i="5"/>
  <c r="O179" i="5"/>
  <c r="R159" i="5"/>
  <c r="R33" i="5"/>
  <c r="R81" i="5"/>
  <c r="R19" i="5"/>
  <c r="R13" i="5"/>
  <c r="R172" i="5"/>
  <c r="U172" i="5"/>
  <c r="R163" i="5"/>
  <c r="U163" i="5"/>
  <c r="R65" i="5"/>
  <c r="U65" i="5"/>
  <c r="R184" i="5"/>
  <c r="U184" i="5"/>
  <c r="R157" i="5"/>
  <c r="U157" i="5"/>
  <c r="R44" i="5"/>
  <c r="U44" i="5"/>
  <c r="R151" i="5"/>
  <c r="U151" i="5"/>
  <c r="R16" i="5"/>
  <c r="U16" i="5"/>
  <c r="O16" i="5"/>
  <c r="R12" i="5"/>
  <c r="U12" i="5"/>
  <c r="O12" i="5"/>
  <c r="U97" i="5"/>
  <c r="R97" i="5"/>
  <c r="U176" i="5"/>
  <c r="O176" i="5"/>
  <c r="O55" i="5"/>
  <c r="O151" i="5"/>
  <c r="O13" i="5"/>
  <c r="O15" i="5"/>
  <c r="O24" i="5"/>
  <c r="O14" i="5"/>
  <c r="O95" i="5"/>
  <c r="O177" i="5"/>
  <c r="R95" i="5"/>
  <c r="U83" i="5"/>
  <c r="U62" i="5"/>
  <c r="U98" i="5"/>
  <c r="O167" i="5"/>
  <c r="O183" i="5"/>
  <c r="O48" i="5"/>
  <c r="O155" i="5"/>
  <c r="O31" i="5"/>
  <c r="O21" i="5"/>
  <c r="O11" i="5"/>
  <c r="O87" i="5"/>
  <c r="U94" i="5"/>
  <c r="U180" i="5"/>
  <c r="O70" i="5"/>
  <c r="O187" i="5"/>
  <c r="O60" i="5"/>
  <c r="O58" i="5"/>
  <c r="O56" i="5"/>
  <c r="O49" i="5"/>
  <c r="O39" i="5"/>
  <c r="O154" i="5"/>
  <c r="O34" i="5"/>
  <c r="O17" i="5"/>
  <c r="O149" i="5"/>
  <c r="O5" i="5"/>
  <c r="O96" i="5"/>
  <c r="U61" i="5"/>
  <c r="U50" i="5"/>
  <c r="U93" i="5"/>
  <c r="O80" i="5"/>
  <c r="O175" i="5"/>
  <c r="O168" i="5"/>
  <c r="O67" i="5"/>
  <c r="O161" i="5"/>
  <c r="O52" i="5"/>
  <c r="O47" i="5"/>
  <c r="O38" i="5"/>
  <c r="O37" i="5"/>
  <c r="O35" i="5"/>
  <c r="O3" i="5"/>
  <c r="U87" i="5"/>
  <c r="O170" i="5"/>
  <c r="O51" i="5"/>
  <c r="O41" i="5"/>
  <c r="O153" i="5"/>
  <c r="O32" i="5"/>
  <c r="R96" i="5"/>
  <c r="U78" i="5"/>
  <c r="O78" i="5"/>
  <c r="U4" i="5"/>
  <c r="R4" i="5"/>
  <c r="O91" i="5"/>
  <c r="R91" i="5"/>
  <c r="R147" i="5"/>
  <c r="O147" i="5"/>
  <c r="R89" i="5"/>
  <c r="U89" i="5"/>
  <c r="R29" i="5"/>
  <c r="U29" i="5"/>
  <c r="O171" i="5"/>
  <c r="U171" i="5"/>
  <c r="R8" i="5"/>
  <c r="O8" i="5"/>
  <c r="U26" i="5"/>
  <c r="O90" i="5"/>
  <c r="R90" i="5"/>
  <c r="O2" i="5"/>
  <c r="R2" i="5"/>
  <c r="U28" i="5"/>
  <c r="O28" i="5"/>
  <c r="R6" i="5"/>
  <c r="O6" i="5"/>
  <c r="U14" i="5"/>
  <c r="U150" i="5"/>
  <c r="O150" i="5"/>
  <c r="R86" i="5"/>
  <c r="O86" i="5"/>
  <c r="R94" i="5"/>
  <c r="O10" i="5"/>
  <c r="U10" i="5"/>
  <c r="AN190" i="5"/>
  <c r="Z190" i="5"/>
  <c r="M190" i="5"/>
  <c r="U115" i="5" s="1"/>
  <c r="L190" i="5"/>
  <c r="AN94" i="5"/>
  <c r="L93" i="5"/>
  <c r="AN29" i="5"/>
  <c r="L55" i="5"/>
  <c r="AN28" i="5"/>
  <c r="L173" i="5"/>
  <c r="AN26" i="5"/>
  <c r="L82" i="5"/>
  <c r="V82" i="5" s="1"/>
  <c r="AN27" i="5"/>
  <c r="L40" i="5"/>
  <c r="AN32" i="5"/>
  <c r="L44" i="5"/>
  <c r="AN14" i="5"/>
  <c r="L43" i="5"/>
  <c r="AN8" i="5"/>
  <c r="L41" i="5"/>
  <c r="AN9" i="5"/>
  <c r="L54" i="5"/>
  <c r="AN150" i="5"/>
  <c r="L79" i="5"/>
  <c r="AN10" i="5"/>
  <c r="L78" i="5"/>
  <c r="AN7" i="5"/>
  <c r="L69" i="5"/>
  <c r="AN13" i="5"/>
  <c r="L74" i="5"/>
  <c r="L76" i="5"/>
  <c r="V76" i="5" s="1"/>
  <c r="AN12" i="5"/>
  <c r="L172" i="5"/>
  <c r="AN149" i="5"/>
  <c r="L174" i="5"/>
  <c r="AN24" i="5"/>
  <c r="L83" i="5"/>
  <c r="P83" i="5" s="1"/>
  <c r="AA83" i="5" s="1"/>
  <c r="AN25" i="5"/>
  <c r="L91" i="5"/>
  <c r="AN22" i="5"/>
  <c r="L80" i="5"/>
  <c r="AN23" i="5"/>
  <c r="L81" i="5"/>
  <c r="AN19" i="5"/>
  <c r="L89" i="5"/>
  <c r="AN16" i="5"/>
  <c r="L169" i="5"/>
  <c r="AN17" i="5"/>
  <c r="L77" i="5"/>
  <c r="AN21" i="5"/>
  <c r="L75" i="5"/>
  <c r="AN15" i="5"/>
  <c r="L68" i="5"/>
  <c r="AN11" i="5"/>
  <c r="L94" i="5"/>
  <c r="AN18" i="5"/>
  <c r="L88" i="5"/>
  <c r="AN20" i="5"/>
  <c r="L38" i="5"/>
  <c r="AN35" i="5"/>
  <c r="L84" i="5"/>
  <c r="V84" i="5" s="1"/>
  <c r="AN34" i="5"/>
  <c r="L92" i="5"/>
  <c r="AN31" i="5"/>
  <c r="L71" i="5"/>
  <c r="AN30" i="5"/>
  <c r="M191" i="5"/>
  <c r="M189" i="5"/>
  <c r="O116" i="5" s="1"/>
  <c r="L191" i="5"/>
  <c r="Z191" i="5"/>
  <c r="AH99" i="5" l="1"/>
  <c r="AJ99" i="5" s="1"/>
  <c r="AE99" i="5"/>
  <c r="AF99" i="5" s="1"/>
  <c r="AH100" i="5"/>
  <c r="AJ100" i="5" s="1"/>
  <c r="AE100" i="5"/>
  <c r="AF100" i="5" s="1"/>
  <c r="U127" i="5"/>
  <c r="O127" i="5"/>
  <c r="R127" i="5"/>
  <c r="R115" i="5"/>
  <c r="R116" i="5"/>
  <c r="U116" i="5"/>
  <c r="V116" i="5" s="1"/>
  <c r="AX116" i="5" s="1"/>
  <c r="AY116" i="5" s="1"/>
  <c r="AZ116" i="5" s="1"/>
  <c r="BB116" i="5" s="1"/>
  <c r="P82" i="5"/>
  <c r="AA82" i="5" s="1"/>
  <c r="AB82" i="5" s="1"/>
  <c r="S80" i="5"/>
  <c r="AO80" i="5" s="1"/>
  <c r="P71" i="5"/>
  <c r="O189" i="5"/>
  <c r="R162" i="5"/>
  <c r="U162" i="5"/>
  <c r="O162" i="5"/>
  <c r="U112" i="5"/>
  <c r="R112" i="5"/>
  <c r="O112" i="5"/>
  <c r="U128" i="5"/>
  <c r="R128" i="5"/>
  <c r="O128" i="5"/>
  <c r="P172" i="5"/>
  <c r="AA172" i="5" s="1"/>
  <c r="AB172" i="5" s="1"/>
  <c r="S169" i="5"/>
  <c r="AO169" i="5" s="1"/>
  <c r="AP169" i="5" s="1"/>
  <c r="S74" i="5"/>
  <c r="AO74" i="5" s="1"/>
  <c r="AP74" i="5" s="1"/>
  <c r="AQ74" i="5" s="1"/>
  <c r="AS74" i="5" s="1"/>
  <c r="V79" i="5"/>
  <c r="S77" i="5"/>
  <c r="AO77" i="5" s="1"/>
  <c r="AP77" i="5" s="1"/>
  <c r="AQ77" i="5" s="1"/>
  <c r="AS77" i="5" s="1"/>
  <c r="P77" i="5"/>
  <c r="AA77" i="5" s="1"/>
  <c r="AB77" i="5" s="1"/>
  <c r="V80" i="5"/>
  <c r="S76" i="5"/>
  <c r="AO76" i="5" s="1"/>
  <c r="AP76" i="5" s="1"/>
  <c r="AQ76" i="5" s="1"/>
  <c r="AS76" i="5" s="1"/>
  <c r="V172" i="5"/>
  <c r="S79" i="5"/>
  <c r="AO79" i="5" s="1"/>
  <c r="AP79" i="5" s="1"/>
  <c r="AQ79" i="5" s="1"/>
  <c r="AS79" i="5" s="1"/>
  <c r="V69" i="5"/>
  <c r="AB83" i="5"/>
  <c r="V77" i="5"/>
  <c r="S82" i="5"/>
  <c r="AO82" i="5" s="1"/>
  <c r="AP82" i="5" s="1"/>
  <c r="AQ82" i="5" s="1"/>
  <c r="AS82" i="5" s="1"/>
  <c r="V68" i="5"/>
  <c r="P84" i="5"/>
  <c r="AA84" i="5" s="1"/>
  <c r="P75" i="5"/>
  <c r="AA75" i="5" s="1"/>
  <c r="P173" i="5"/>
  <c r="AA173" i="5" s="1"/>
  <c r="S83" i="5"/>
  <c r="AO83" i="5" s="1"/>
  <c r="AP83" i="5" s="1"/>
  <c r="AQ83" i="5" s="1"/>
  <c r="AS83" i="5" s="1"/>
  <c r="O191" i="5"/>
  <c r="R191" i="5"/>
  <c r="U190" i="5"/>
  <c r="V190" i="5" s="1"/>
  <c r="R190" i="5"/>
  <c r="S84" i="5"/>
  <c r="AO84" i="5" s="1"/>
  <c r="AP84" i="5" s="1"/>
  <c r="AQ84" i="5" s="1"/>
  <c r="AS84" i="5" s="1"/>
  <c r="P81" i="5"/>
  <c r="AA81" i="5" s="1"/>
  <c r="AB81" i="5" s="1"/>
  <c r="S173" i="5"/>
  <c r="AO173" i="5" s="1"/>
  <c r="AP173" i="5" s="1"/>
  <c r="AQ173" i="5" s="1"/>
  <c r="AS173" i="5" s="1"/>
  <c r="V83" i="5"/>
  <c r="P74" i="5"/>
  <c r="AA74" i="5" s="1"/>
  <c r="P80" i="5"/>
  <c r="AA80" i="5" s="1"/>
  <c r="S81" i="5"/>
  <c r="AO81" i="5" s="1"/>
  <c r="AP81" i="5" s="1"/>
  <c r="AQ81" i="5" s="1"/>
  <c r="AS81" i="5" s="1"/>
  <c r="V81" i="5"/>
  <c r="V173" i="5"/>
  <c r="V74" i="5"/>
  <c r="P79" i="5"/>
  <c r="AA79" i="5" s="1"/>
  <c r="S38" i="5"/>
  <c r="AO38" i="5" s="1"/>
  <c r="AP38" i="5" s="1"/>
  <c r="AQ38" i="5" s="1"/>
  <c r="AS38" i="5" s="1"/>
  <c r="P76" i="5"/>
  <c r="AA76" i="5" s="1"/>
  <c r="S78" i="5"/>
  <c r="AO78" i="5" s="1"/>
  <c r="P78" i="5"/>
  <c r="AA78" i="5" s="1"/>
  <c r="V78" i="5"/>
  <c r="O190" i="5"/>
  <c r="P190" i="5" s="1"/>
  <c r="AA190" i="5" s="1"/>
  <c r="U189" i="5"/>
  <c r="R189" i="5"/>
  <c r="U191" i="5"/>
  <c r="AW8" i="5"/>
  <c r="AW9" i="5"/>
  <c r="AW10" i="5"/>
  <c r="AW7" i="5"/>
  <c r="AW12" i="5"/>
  <c r="AW149" i="5"/>
  <c r="AW11" i="5"/>
  <c r="AW146" i="5"/>
  <c r="AW147" i="5"/>
  <c r="AW5" i="5"/>
  <c r="AW3" i="5"/>
  <c r="AW2" i="5"/>
  <c r="AW4" i="5"/>
  <c r="AW6" i="5"/>
  <c r="AN33" i="5"/>
  <c r="AN67" i="5"/>
  <c r="AN187" i="5"/>
  <c r="AN167" i="5"/>
  <c r="AN66" i="5"/>
  <c r="AN53" i="5"/>
  <c r="AN65" i="5"/>
  <c r="AN164" i="5"/>
  <c r="AN62" i="5"/>
  <c r="AN60" i="5"/>
  <c r="AN64" i="5"/>
  <c r="AN165" i="5"/>
  <c r="AN166" i="5"/>
  <c r="AN163" i="5"/>
  <c r="AN63" i="5"/>
  <c r="AN183" i="5"/>
  <c r="AN59" i="5"/>
  <c r="AN159" i="5"/>
  <c r="AN184" i="5"/>
  <c r="AN160" i="5"/>
  <c r="AN185" i="5"/>
  <c r="AN161" i="5"/>
  <c r="AN58" i="5"/>
  <c r="AN186" i="5"/>
  <c r="AN61" i="5"/>
  <c r="AN51" i="5"/>
  <c r="AN52" i="5"/>
  <c r="AN57" i="5"/>
  <c r="AN188" i="5"/>
  <c r="AN56" i="5"/>
  <c r="AN54" i="5"/>
  <c r="AN55" i="5"/>
  <c r="AN151" i="5"/>
  <c r="AN152" i="5"/>
  <c r="AN153" i="5"/>
  <c r="AN45" i="5"/>
  <c r="AN37" i="5"/>
  <c r="AN154" i="5"/>
  <c r="AN155" i="5"/>
  <c r="AN158" i="5"/>
  <c r="AN157" i="5"/>
  <c r="AN156" i="5"/>
  <c r="AN36" i="5"/>
  <c r="AN50" i="5"/>
  <c r="AN47" i="5"/>
  <c r="AN49" i="5"/>
  <c r="AN48" i="5"/>
  <c r="AN46" i="5"/>
  <c r="AN146" i="5"/>
  <c r="AN147" i="5"/>
  <c r="AN5" i="5"/>
  <c r="AN3" i="5"/>
  <c r="AN2" i="5"/>
  <c r="AN4" i="5"/>
  <c r="AN6" i="5"/>
  <c r="AN38" i="5"/>
  <c r="AN44" i="5"/>
  <c r="AN40" i="5"/>
  <c r="AN39" i="5"/>
  <c r="AN41" i="5"/>
  <c r="AN43" i="5"/>
  <c r="AN42" i="5"/>
  <c r="AN76" i="5"/>
  <c r="AN77" i="5"/>
  <c r="AN79" i="5"/>
  <c r="AN78" i="5"/>
  <c r="AN87" i="5"/>
  <c r="AN178" i="5"/>
  <c r="AN81" i="5"/>
  <c r="AN191" i="5"/>
  <c r="AN189" i="5"/>
  <c r="AN85" i="5"/>
  <c r="AN176" i="5"/>
  <c r="AN84" i="5"/>
  <c r="AN80" i="5"/>
  <c r="AN86" i="5"/>
  <c r="AN177" i="5"/>
  <c r="AN172" i="5"/>
  <c r="AN173" i="5"/>
  <c r="AN174" i="5"/>
  <c r="AN74" i="5"/>
  <c r="AN73" i="5"/>
  <c r="AN71" i="5"/>
  <c r="AN72" i="5"/>
  <c r="AN75" i="5"/>
  <c r="AN175" i="5"/>
  <c r="AN90" i="5"/>
  <c r="AN91" i="5"/>
  <c r="AN89" i="5"/>
  <c r="AN93" i="5"/>
  <c r="AN92" i="5"/>
  <c r="AN88" i="5"/>
  <c r="AN168" i="5"/>
  <c r="AN70" i="5"/>
  <c r="AN169" i="5"/>
  <c r="AN170" i="5"/>
  <c r="AN68" i="5"/>
  <c r="AN69" i="5"/>
  <c r="AN171" i="5"/>
  <c r="AN95" i="5"/>
  <c r="AN180" i="5"/>
  <c r="AN98" i="5"/>
  <c r="AN96" i="5"/>
  <c r="AN179" i="5"/>
  <c r="AN181" i="5"/>
  <c r="AN97" i="5"/>
  <c r="Z189" i="5"/>
  <c r="L146" i="5"/>
  <c r="L147" i="5"/>
  <c r="L5" i="5"/>
  <c r="P5" i="5" s="1"/>
  <c r="AA5" i="5" s="1"/>
  <c r="L3" i="5"/>
  <c r="P3" i="5" s="1"/>
  <c r="AA3" i="5" s="1"/>
  <c r="L2" i="5"/>
  <c r="S2" i="5" s="1"/>
  <c r="AO2" i="5" s="1"/>
  <c r="AP2" i="5" s="1"/>
  <c r="AQ2" i="5" s="1"/>
  <c r="AS2" i="5" s="1"/>
  <c r="L4" i="5"/>
  <c r="L39" i="5"/>
  <c r="L42" i="5"/>
  <c r="L87" i="5"/>
  <c r="S87" i="5" s="1"/>
  <c r="AO87" i="5" s="1"/>
  <c r="AP87" i="5" s="1"/>
  <c r="AQ87" i="5" s="1"/>
  <c r="AS87" i="5" s="1"/>
  <c r="L178" i="5"/>
  <c r="P178" i="5" s="1"/>
  <c r="AA178" i="5" s="1"/>
  <c r="AB178" i="5" s="1"/>
  <c r="L189" i="5"/>
  <c r="L85" i="5"/>
  <c r="V85" i="5" s="1"/>
  <c r="S176" i="5"/>
  <c r="AO176" i="5" s="1"/>
  <c r="L86" i="5"/>
  <c r="P119" i="5"/>
  <c r="AA119" i="5" s="1"/>
  <c r="L73" i="5"/>
  <c r="L72" i="5"/>
  <c r="L175" i="5"/>
  <c r="L90" i="5"/>
  <c r="L70" i="5"/>
  <c r="L170" i="5"/>
  <c r="V115" i="5" s="1"/>
  <c r="AX115" i="5" s="1"/>
  <c r="AY115" i="5" s="1"/>
  <c r="AZ115" i="5" s="1"/>
  <c r="BB115" i="5" s="1"/>
  <c r="L171" i="5"/>
  <c r="L95" i="5"/>
  <c r="L180" i="5"/>
  <c r="V71" i="5"/>
  <c r="L96" i="5"/>
  <c r="L179" i="5"/>
  <c r="L181" i="5"/>
  <c r="L97" i="5"/>
  <c r="L67" i="5"/>
  <c r="L187" i="5"/>
  <c r="L167" i="5"/>
  <c r="V109" i="5" s="1"/>
  <c r="AX109" i="5" s="1"/>
  <c r="AY109" i="5" s="1"/>
  <c r="AZ109" i="5" s="1"/>
  <c r="BB109" i="5" s="1"/>
  <c r="L66" i="5"/>
  <c r="P66" i="5" s="1"/>
  <c r="AA66" i="5" s="1"/>
  <c r="L65" i="5"/>
  <c r="L164" i="5"/>
  <c r="P106" i="5" s="1"/>
  <c r="AA106" i="5" s="1"/>
  <c r="L62" i="5"/>
  <c r="L162" i="5"/>
  <c r="L60" i="5"/>
  <c r="L64" i="5"/>
  <c r="L165" i="5"/>
  <c r="P165" i="5" s="1"/>
  <c r="AA165" i="5" s="1"/>
  <c r="AB165" i="5" s="1"/>
  <c r="L166" i="5"/>
  <c r="L163" i="5"/>
  <c r="L63" i="5"/>
  <c r="L183" i="5"/>
  <c r="L59" i="5"/>
  <c r="S59" i="5" s="1"/>
  <c r="AO59" i="5" s="1"/>
  <c r="AP59" i="5" s="1"/>
  <c r="AQ59" i="5" s="1"/>
  <c r="AS59" i="5" s="1"/>
  <c r="L159" i="5"/>
  <c r="L184" i="5"/>
  <c r="L185" i="5"/>
  <c r="L58" i="5"/>
  <c r="L51" i="5"/>
  <c r="L52" i="5"/>
  <c r="L57" i="5"/>
  <c r="S57" i="5" s="1"/>
  <c r="AO57" i="5" s="1"/>
  <c r="AP57" i="5" s="1"/>
  <c r="AQ57" i="5" s="1"/>
  <c r="AS57" i="5" s="1"/>
  <c r="L188" i="5"/>
  <c r="V188" i="5" s="1"/>
  <c r="L56" i="5"/>
  <c r="V38" i="5" s="1"/>
  <c r="L152" i="5"/>
  <c r="L28" i="5"/>
  <c r="L26" i="5"/>
  <c r="L14" i="5"/>
  <c r="L8" i="5"/>
  <c r="L9" i="5"/>
  <c r="L150" i="5"/>
  <c r="V91" i="5" s="1"/>
  <c r="L10" i="5"/>
  <c r="L29" i="5"/>
  <c r="C191" i="5"/>
  <c r="D190" i="3"/>
  <c r="D191" i="3"/>
  <c r="D192" i="3"/>
  <c r="D193" i="3"/>
  <c r="D194" i="3"/>
  <c r="D195" i="3"/>
  <c r="D196" i="3"/>
  <c r="D268" i="3"/>
  <c r="D269" i="3"/>
  <c r="D270" i="3"/>
  <c r="D271" i="3"/>
  <c r="D272" i="3"/>
  <c r="D273" i="3"/>
  <c r="D274" i="3"/>
  <c r="D197" i="3"/>
  <c r="D198" i="3"/>
  <c r="D199" i="3"/>
  <c r="D200" i="3"/>
  <c r="D201" i="3"/>
  <c r="D202" i="3"/>
  <c r="D203" i="3"/>
  <c r="D275" i="3"/>
  <c r="D276" i="3"/>
  <c r="D277" i="3"/>
  <c r="D278" i="3"/>
  <c r="D279" i="3"/>
  <c r="D280" i="3"/>
  <c r="D281" i="3"/>
  <c r="C96" i="4"/>
  <c r="C97" i="4"/>
  <c r="C98" i="4"/>
  <c r="C99" i="4"/>
  <c r="C100" i="4"/>
  <c r="C101" i="4"/>
  <c r="C102" i="4"/>
  <c r="C135" i="4"/>
  <c r="C136" i="4"/>
  <c r="C137" i="4"/>
  <c r="C138" i="4"/>
  <c r="C139" i="4"/>
  <c r="C140" i="4"/>
  <c r="C141" i="4"/>
  <c r="E294" i="1"/>
  <c r="E295" i="1"/>
  <c r="E318" i="1"/>
  <c r="E319" i="1"/>
  <c r="E320" i="1"/>
  <c r="E321" i="1"/>
  <c r="E322" i="1"/>
  <c r="E385" i="1"/>
  <c r="E386" i="1"/>
  <c r="E387" i="1"/>
  <c r="E388" i="1"/>
  <c r="E389" i="1"/>
  <c r="E390" i="1"/>
  <c r="E391" i="1"/>
  <c r="E546" i="1"/>
  <c r="E547" i="1"/>
  <c r="E562" i="1"/>
  <c r="E563" i="1"/>
  <c r="E564" i="1"/>
  <c r="E565" i="1"/>
  <c r="E566" i="1"/>
  <c r="E599" i="1"/>
  <c r="E600" i="1"/>
  <c r="E601" i="1"/>
  <c r="E602" i="1"/>
  <c r="E603" i="1"/>
  <c r="E604" i="1"/>
  <c r="E605" i="1"/>
  <c r="E392" i="1"/>
  <c r="E393" i="1"/>
  <c r="E394" i="1"/>
  <c r="E395" i="1"/>
  <c r="E396" i="1"/>
  <c r="E397" i="1"/>
  <c r="E398" i="1"/>
  <c r="E548" i="1"/>
  <c r="E549" i="1"/>
  <c r="E550" i="1"/>
  <c r="E551" i="1"/>
  <c r="E552" i="1"/>
  <c r="E553" i="1"/>
  <c r="E554" i="1"/>
  <c r="E399" i="1"/>
  <c r="E400" i="1"/>
  <c r="E401" i="1"/>
  <c r="E402" i="1"/>
  <c r="E403" i="1"/>
  <c r="E404" i="1"/>
  <c r="E405" i="1"/>
  <c r="E555" i="1"/>
  <c r="E556" i="1"/>
  <c r="E557" i="1"/>
  <c r="E558" i="1"/>
  <c r="E559" i="1"/>
  <c r="E560" i="1"/>
  <c r="E561" i="1"/>
  <c r="E450" i="1"/>
  <c r="E451" i="1"/>
  <c r="E452" i="1"/>
  <c r="E453" i="1"/>
  <c r="E518" i="1"/>
  <c r="E480" i="1"/>
  <c r="E481" i="1"/>
  <c r="E482" i="1"/>
  <c r="E483" i="1"/>
  <c r="E484" i="1"/>
  <c r="E485" i="1"/>
  <c r="E486" i="1"/>
  <c r="E487" i="1"/>
  <c r="E488" i="1"/>
  <c r="E489" i="1"/>
  <c r="E424" i="1"/>
  <c r="E425" i="1"/>
  <c r="E426" i="1"/>
  <c r="E427" i="1"/>
  <c r="E428" i="1"/>
  <c r="E429" i="1"/>
  <c r="E430" i="1"/>
  <c r="E431" i="1"/>
  <c r="E432" i="1"/>
  <c r="E490" i="1"/>
  <c r="E519" i="1"/>
  <c r="E520" i="1"/>
  <c r="E521" i="1"/>
  <c r="E522" i="1"/>
  <c r="E523" i="1"/>
  <c r="E524" i="1"/>
  <c r="E525" i="1"/>
  <c r="E454" i="1"/>
  <c r="E455" i="1"/>
  <c r="E456" i="1"/>
  <c r="E457" i="1"/>
  <c r="E526" i="1"/>
  <c r="E491" i="1"/>
  <c r="E492" i="1"/>
  <c r="E493" i="1"/>
  <c r="E494" i="1"/>
  <c r="E495" i="1"/>
  <c r="E496" i="1"/>
  <c r="E497" i="1"/>
  <c r="E498" i="1"/>
  <c r="E499" i="1"/>
  <c r="E500" i="1"/>
  <c r="E433" i="1"/>
  <c r="E434" i="1"/>
  <c r="E435" i="1"/>
  <c r="E436" i="1"/>
  <c r="E437" i="1"/>
  <c r="E438" i="1"/>
  <c r="E439" i="1"/>
  <c r="E440" i="1"/>
  <c r="E441" i="1"/>
  <c r="E501" i="1"/>
  <c r="E527" i="1"/>
  <c r="E528" i="1"/>
  <c r="E529" i="1"/>
  <c r="E530" i="1"/>
  <c r="E531" i="1"/>
  <c r="E532" i="1"/>
  <c r="E533" i="1"/>
  <c r="E332" i="1"/>
  <c r="E333" i="1"/>
  <c r="E334" i="1"/>
  <c r="E335" i="1"/>
  <c r="E369" i="1"/>
  <c r="E336" i="1"/>
  <c r="E337" i="1"/>
  <c r="E338" i="1"/>
  <c r="E339" i="1"/>
  <c r="E362" i="1"/>
  <c r="E363" i="1"/>
  <c r="E364" i="1"/>
  <c r="E365" i="1"/>
  <c r="E366" i="1"/>
  <c r="E367" i="1"/>
  <c r="E323" i="1"/>
  <c r="E324" i="1"/>
  <c r="E325" i="1"/>
  <c r="E326" i="1"/>
  <c r="E327" i="1"/>
  <c r="E328" i="1"/>
  <c r="E329" i="1"/>
  <c r="E330" i="1"/>
  <c r="E331" i="1"/>
  <c r="E368" i="1"/>
  <c r="E378" i="1"/>
  <c r="E379" i="1"/>
  <c r="E380" i="1"/>
  <c r="E381" i="1"/>
  <c r="E382" i="1"/>
  <c r="E383" i="1"/>
  <c r="E384" i="1"/>
  <c r="E576" i="1"/>
  <c r="E577" i="1"/>
  <c r="E578" i="1"/>
  <c r="E579" i="1"/>
  <c r="E591" i="1"/>
  <c r="E580" i="1"/>
  <c r="E581" i="1"/>
  <c r="E582" i="1"/>
  <c r="E583" i="1"/>
  <c r="E584" i="1"/>
  <c r="E585" i="1"/>
  <c r="E586" i="1"/>
  <c r="E587" i="1"/>
  <c r="E588" i="1"/>
  <c r="E589" i="1"/>
  <c r="E567" i="1"/>
  <c r="E568" i="1"/>
  <c r="E569" i="1"/>
  <c r="E570" i="1"/>
  <c r="E571" i="1"/>
  <c r="E572" i="1"/>
  <c r="E573" i="1"/>
  <c r="E574" i="1"/>
  <c r="E575" i="1"/>
  <c r="E590" i="1"/>
  <c r="E592" i="1"/>
  <c r="E593" i="1"/>
  <c r="E594" i="1"/>
  <c r="E595" i="1"/>
  <c r="E596" i="1"/>
  <c r="E597" i="1"/>
  <c r="E598" i="1"/>
  <c r="C18" i="6"/>
  <c r="C19" i="6"/>
  <c r="C20" i="6"/>
  <c r="C21" i="6"/>
  <c r="C22" i="6"/>
  <c r="C23" i="6"/>
  <c r="C24" i="6"/>
  <c r="C25" i="6"/>
  <c r="D222" i="3"/>
  <c r="D223" i="3"/>
  <c r="D224" i="3"/>
  <c r="D225" i="3"/>
  <c r="D252" i="3"/>
  <c r="D230" i="3"/>
  <c r="D231" i="3"/>
  <c r="D232" i="3"/>
  <c r="D233" i="3"/>
  <c r="D234" i="3"/>
  <c r="D235" i="3"/>
  <c r="D236" i="3"/>
  <c r="D237" i="3"/>
  <c r="D238" i="3"/>
  <c r="D239" i="3"/>
  <c r="D204" i="3"/>
  <c r="D205" i="3"/>
  <c r="D206" i="3"/>
  <c r="D207" i="3"/>
  <c r="D208" i="3"/>
  <c r="D209" i="3"/>
  <c r="D210" i="3"/>
  <c r="D211" i="3"/>
  <c r="D212" i="3"/>
  <c r="D240" i="3"/>
  <c r="D253" i="3"/>
  <c r="D254" i="3"/>
  <c r="D255" i="3"/>
  <c r="D256" i="3"/>
  <c r="D257" i="3"/>
  <c r="D258" i="3"/>
  <c r="D259" i="3"/>
  <c r="D226" i="3"/>
  <c r="D227" i="3"/>
  <c r="D228" i="3"/>
  <c r="D229" i="3"/>
  <c r="D260" i="3"/>
  <c r="D241" i="3"/>
  <c r="D242" i="3"/>
  <c r="D243" i="3"/>
  <c r="D244" i="3"/>
  <c r="D245" i="3"/>
  <c r="D246" i="3"/>
  <c r="D247" i="3"/>
  <c r="D248" i="3"/>
  <c r="D249" i="3"/>
  <c r="D250" i="3"/>
  <c r="D213" i="3"/>
  <c r="D214" i="3"/>
  <c r="D215" i="3"/>
  <c r="D216" i="3"/>
  <c r="D217" i="3"/>
  <c r="D218" i="3"/>
  <c r="D219" i="3"/>
  <c r="D220" i="3"/>
  <c r="D221" i="3"/>
  <c r="D251" i="3"/>
  <c r="D261" i="3"/>
  <c r="D262" i="3"/>
  <c r="D263" i="3"/>
  <c r="D264" i="3"/>
  <c r="D265" i="3"/>
  <c r="D266" i="3"/>
  <c r="D267" i="3"/>
  <c r="C112" i="4"/>
  <c r="C113" i="4"/>
  <c r="C114" i="4"/>
  <c r="C115" i="4"/>
  <c r="C127" i="4"/>
  <c r="C116" i="4"/>
  <c r="C117" i="4"/>
  <c r="C118" i="4"/>
  <c r="C119" i="4"/>
  <c r="C120" i="4"/>
  <c r="C121" i="4"/>
  <c r="C122" i="4"/>
  <c r="C123" i="4"/>
  <c r="C124" i="4"/>
  <c r="C125" i="4"/>
  <c r="C103" i="4"/>
  <c r="C104" i="4"/>
  <c r="C105" i="4"/>
  <c r="C106" i="4"/>
  <c r="C107" i="4"/>
  <c r="C108" i="4"/>
  <c r="C109" i="4"/>
  <c r="C110" i="4"/>
  <c r="C111" i="4"/>
  <c r="C126" i="4"/>
  <c r="C128" i="4"/>
  <c r="C129" i="4"/>
  <c r="C130" i="4"/>
  <c r="C131" i="4"/>
  <c r="C132" i="4"/>
  <c r="C133" i="4"/>
  <c r="C134" i="4"/>
  <c r="D94" i="2"/>
  <c r="D237" i="2"/>
  <c r="D92" i="2"/>
  <c r="D204" i="2"/>
  <c r="D90" i="2"/>
  <c r="D203" i="2"/>
  <c r="D88" i="2"/>
  <c r="D202" i="2"/>
  <c r="D86" i="2"/>
  <c r="D201" i="2"/>
  <c r="D84" i="2"/>
  <c r="D200" i="2"/>
  <c r="D82" i="2"/>
  <c r="D199" i="2"/>
  <c r="D172" i="2"/>
  <c r="D163" i="2"/>
  <c r="D170" i="2"/>
  <c r="D249" i="2"/>
  <c r="D168" i="2"/>
  <c r="D161" i="2"/>
  <c r="D166" i="2"/>
  <c r="D159" i="2"/>
  <c r="D164" i="2"/>
  <c r="D126" i="2"/>
  <c r="D162" i="2"/>
  <c r="D125" i="2"/>
  <c r="D160" i="2"/>
  <c r="D124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98" i="2"/>
  <c r="D197" i="2"/>
  <c r="D196" i="2"/>
  <c r="D195" i="2"/>
  <c r="D194" i="2"/>
  <c r="D193" i="2"/>
  <c r="D192" i="2"/>
  <c r="D190" i="2"/>
  <c r="D177" i="2"/>
  <c r="D176" i="2"/>
  <c r="D175" i="2"/>
  <c r="D174" i="2"/>
  <c r="D173" i="2"/>
  <c r="D171" i="2"/>
  <c r="D169" i="2"/>
  <c r="D167" i="2"/>
  <c r="D165" i="2"/>
  <c r="D247" i="2"/>
  <c r="D189" i="2"/>
  <c r="D188" i="2"/>
  <c r="D187" i="2"/>
  <c r="D245" i="2"/>
  <c r="D186" i="2"/>
  <c r="D185" i="2"/>
  <c r="D184" i="2"/>
  <c r="D183" i="2"/>
  <c r="D182" i="2"/>
  <c r="D191" i="2"/>
  <c r="D181" i="2"/>
  <c r="D180" i="2"/>
  <c r="D179" i="2"/>
  <c r="D178" i="2"/>
  <c r="C97" i="5"/>
  <c r="C181" i="5"/>
  <c r="C179" i="5"/>
  <c r="C96" i="5"/>
  <c r="C98" i="5"/>
  <c r="C180" i="5"/>
  <c r="C95" i="5"/>
  <c r="C171" i="5"/>
  <c r="C69" i="5"/>
  <c r="C68" i="5"/>
  <c r="C170" i="5"/>
  <c r="C169" i="5"/>
  <c r="C70" i="5"/>
  <c r="C168" i="5"/>
  <c r="C88" i="5"/>
  <c r="C92" i="5"/>
  <c r="C93" i="5"/>
  <c r="C89" i="5"/>
  <c r="C91" i="5"/>
  <c r="C94" i="5"/>
  <c r="C90" i="5"/>
  <c r="C82" i="5"/>
  <c r="C175" i="5"/>
  <c r="C75" i="5"/>
  <c r="C72" i="5"/>
  <c r="C71" i="5"/>
  <c r="C73" i="5"/>
  <c r="C74" i="5"/>
  <c r="C174" i="5"/>
  <c r="C173" i="5"/>
  <c r="C172" i="5"/>
  <c r="C177" i="5"/>
  <c r="C86" i="5"/>
  <c r="C80" i="5"/>
  <c r="C84" i="5"/>
  <c r="C176" i="5"/>
  <c r="C83" i="5"/>
  <c r="C85" i="5"/>
  <c r="C81" i="5"/>
  <c r="C178" i="5"/>
  <c r="C87" i="5"/>
  <c r="C78" i="5"/>
  <c r="C79" i="5"/>
  <c r="C77" i="5"/>
  <c r="C76" i="5"/>
  <c r="C42" i="5"/>
  <c r="C6" i="5"/>
  <c r="D106" i="3"/>
  <c r="D107" i="3"/>
  <c r="D14" i="3"/>
  <c r="D15" i="3"/>
  <c r="C54" i="4"/>
  <c r="C8" i="4"/>
  <c r="D87" i="2"/>
  <c r="D250" i="2"/>
  <c r="D79" i="2"/>
  <c r="D77" i="2"/>
  <c r="D7" i="2"/>
  <c r="E198" i="1"/>
  <c r="E199" i="1"/>
  <c r="E14" i="1"/>
  <c r="E15" i="1"/>
  <c r="E212" i="1"/>
  <c r="E213" i="1"/>
  <c r="E28" i="1"/>
  <c r="E29" i="1"/>
  <c r="C146" i="5"/>
  <c r="C147" i="5"/>
  <c r="C5" i="5"/>
  <c r="C3" i="5"/>
  <c r="C2" i="5"/>
  <c r="C4" i="5"/>
  <c r="C38" i="5"/>
  <c r="C44" i="5"/>
  <c r="C40" i="5"/>
  <c r="C39" i="5"/>
  <c r="C41" i="5"/>
  <c r="C43" i="5"/>
  <c r="C2" i="4"/>
  <c r="C3" i="4"/>
  <c r="C4" i="4"/>
  <c r="C5" i="4"/>
  <c r="C6" i="4"/>
  <c r="C7" i="4"/>
  <c r="C48" i="4"/>
  <c r="C49" i="4"/>
  <c r="C50" i="4"/>
  <c r="C51" i="4"/>
  <c r="C52" i="4"/>
  <c r="C53" i="4"/>
  <c r="E211" i="1"/>
  <c r="E210" i="1"/>
  <c r="E209" i="1"/>
  <c r="E208" i="1"/>
  <c r="E207" i="1"/>
  <c r="E206" i="1"/>
  <c r="E205" i="1"/>
  <c r="E204" i="1"/>
  <c r="E203" i="1"/>
  <c r="E202" i="1"/>
  <c r="E201" i="1"/>
  <c r="E200" i="1"/>
  <c r="E27" i="1"/>
  <c r="E26" i="1"/>
  <c r="E25" i="1"/>
  <c r="E24" i="1"/>
  <c r="E23" i="1"/>
  <c r="E22" i="1"/>
  <c r="E21" i="1"/>
  <c r="E20" i="1"/>
  <c r="E19" i="1"/>
  <c r="E18" i="1"/>
  <c r="E17" i="1"/>
  <c r="E16" i="1"/>
  <c r="E249" i="1"/>
  <c r="E248" i="1"/>
  <c r="E247" i="1"/>
  <c r="E246" i="1"/>
  <c r="E245" i="1"/>
  <c r="E185" i="1"/>
  <c r="E244" i="1"/>
  <c r="E243" i="1"/>
  <c r="E242" i="1"/>
  <c r="E184" i="1"/>
  <c r="E183" i="1"/>
  <c r="E182" i="1"/>
  <c r="E241" i="1"/>
  <c r="E181" i="1"/>
  <c r="E180" i="1"/>
  <c r="E179" i="1"/>
  <c r="E240" i="1"/>
  <c r="E239" i="1"/>
  <c r="E238" i="1"/>
  <c r="E237" i="1"/>
  <c r="E236" i="1"/>
  <c r="E178" i="1"/>
  <c r="E235" i="1"/>
  <c r="E234" i="1"/>
  <c r="E233" i="1"/>
  <c r="E177" i="1"/>
  <c r="E176" i="1"/>
  <c r="E175" i="1"/>
  <c r="E232" i="1"/>
  <c r="E174" i="1"/>
  <c r="E173" i="1"/>
  <c r="E172" i="1"/>
  <c r="E273" i="1"/>
  <c r="E272" i="1"/>
  <c r="E271" i="1"/>
  <c r="E317" i="1"/>
  <c r="E316" i="1"/>
  <c r="E270" i="1"/>
  <c r="E269" i="1"/>
  <c r="E361" i="1"/>
  <c r="E315" i="1"/>
  <c r="E314" i="1"/>
  <c r="E313" i="1"/>
  <c r="E312" i="1"/>
  <c r="E311" i="1"/>
  <c r="E310" i="1"/>
  <c r="E309" i="1"/>
  <c r="E308" i="1"/>
  <c r="E307" i="1"/>
  <c r="E360" i="1"/>
  <c r="E359" i="1"/>
  <c r="E358" i="1"/>
  <c r="E357" i="1"/>
  <c r="E356" i="1"/>
  <c r="E355" i="1"/>
  <c r="E354" i="1"/>
  <c r="E353" i="1"/>
  <c r="E352" i="1"/>
  <c r="E351" i="1"/>
  <c r="E268" i="1"/>
  <c r="E377" i="1"/>
  <c r="E376" i="1"/>
  <c r="E375" i="1"/>
  <c r="E374" i="1"/>
  <c r="E267" i="1"/>
  <c r="E266" i="1"/>
  <c r="E265" i="1"/>
  <c r="E306" i="1"/>
  <c r="E305" i="1"/>
  <c r="E264" i="1"/>
  <c r="E263" i="1"/>
  <c r="E350" i="1"/>
  <c r="E304" i="1"/>
  <c r="E303" i="1"/>
  <c r="E302" i="1"/>
  <c r="E301" i="1"/>
  <c r="E300" i="1"/>
  <c r="E299" i="1"/>
  <c r="E298" i="1"/>
  <c r="E297" i="1"/>
  <c r="E296" i="1"/>
  <c r="E349" i="1"/>
  <c r="E348" i="1"/>
  <c r="E347" i="1"/>
  <c r="E346" i="1"/>
  <c r="E345" i="1"/>
  <c r="E344" i="1"/>
  <c r="E343" i="1"/>
  <c r="E342" i="1"/>
  <c r="E341" i="1"/>
  <c r="E340" i="1"/>
  <c r="E262" i="1"/>
  <c r="E373" i="1"/>
  <c r="E372" i="1"/>
  <c r="E371" i="1"/>
  <c r="E370" i="1"/>
  <c r="E157" i="1"/>
  <c r="E156" i="1"/>
  <c r="E155" i="1"/>
  <c r="E154" i="1"/>
  <c r="E153" i="1"/>
  <c r="E117" i="1"/>
  <c r="E116" i="1"/>
  <c r="E73" i="1"/>
  <c r="E115" i="1"/>
  <c r="E114" i="1"/>
  <c r="E113" i="1"/>
  <c r="E112" i="1"/>
  <c r="E111" i="1"/>
  <c r="E110" i="1"/>
  <c r="E109" i="1"/>
  <c r="E108" i="1"/>
  <c r="E107" i="1"/>
  <c r="E72" i="1"/>
  <c r="E71" i="1"/>
  <c r="E70" i="1"/>
  <c r="E69" i="1"/>
  <c r="E68" i="1"/>
  <c r="E67" i="1"/>
  <c r="E66" i="1"/>
  <c r="E65" i="1"/>
  <c r="E64" i="1"/>
  <c r="E63" i="1"/>
  <c r="E152" i="1"/>
  <c r="E133" i="1"/>
  <c r="E132" i="1"/>
  <c r="E131" i="1"/>
  <c r="E130" i="1"/>
  <c r="E151" i="1"/>
  <c r="E150" i="1"/>
  <c r="E149" i="1"/>
  <c r="E148" i="1"/>
  <c r="E147" i="1"/>
  <c r="E106" i="1"/>
  <c r="E105" i="1"/>
  <c r="E62" i="1"/>
  <c r="E104" i="1"/>
  <c r="E103" i="1"/>
  <c r="E102" i="1"/>
  <c r="E101" i="1"/>
  <c r="E100" i="1"/>
  <c r="E99" i="1"/>
  <c r="E98" i="1"/>
  <c r="E97" i="1"/>
  <c r="E96" i="1"/>
  <c r="E61" i="1"/>
  <c r="E60" i="1"/>
  <c r="E59" i="1"/>
  <c r="E58" i="1"/>
  <c r="E57" i="1"/>
  <c r="E56" i="1"/>
  <c r="E55" i="1"/>
  <c r="E54" i="1"/>
  <c r="E53" i="1"/>
  <c r="E52" i="1"/>
  <c r="E146" i="1"/>
  <c r="E129" i="1"/>
  <c r="E128" i="1"/>
  <c r="E127" i="1"/>
  <c r="E126" i="1"/>
  <c r="E119" i="1"/>
  <c r="E120" i="1"/>
  <c r="E121" i="1"/>
  <c r="E134" i="1"/>
  <c r="E30" i="1"/>
  <c r="E31" i="1"/>
  <c r="E32" i="1"/>
  <c r="E33" i="1"/>
  <c r="E34" i="1"/>
  <c r="E35" i="1"/>
  <c r="E36" i="1"/>
  <c r="E37" i="1"/>
  <c r="E38" i="1"/>
  <c r="E39" i="1"/>
  <c r="E74" i="1"/>
  <c r="E75" i="1"/>
  <c r="E76" i="1"/>
  <c r="E77" i="1"/>
  <c r="E78" i="1"/>
  <c r="E79" i="1"/>
  <c r="E80" i="1"/>
  <c r="E81" i="1"/>
  <c r="E82" i="1"/>
  <c r="E40" i="1"/>
  <c r="E83" i="1"/>
  <c r="E84" i="1"/>
  <c r="E135" i="1"/>
  <c r="E136" i="1"/>
  <c r="E137" i="1"/>
  <c r="E138" i="1"/>
  <c r="E139" i="1"/>
  <c r="E122" i="1"/>
  <c r="E123" i="1"/>
  <c r="E124" i="1"/>
  <c r="E125" i="1"/>
  <c r="E140" i="1"/>
  <c r="E41" i="1"/>
  <c r="E42" i="1"/>
  <c r="E43" i="1"/>
  <c r="E44" i="1"/>
  <c r="E45" i="1"/>
  <c r="E46" i="1"/>
  <c r="E47" i="1"/>
  <c r="E48" i="1"/>
  <c r="E49" i="1"/>
  <c r="E50" i="1"/>
  <c r="E85" i="1"/>
  <c r="E86" i="1"/>
  <c r="E87" i="1"/>
  <c r="E88" i="1"/>
  <c r="E89" i="1"/>
  <c r="E90" i="1"/>
  <c r="E91" i="1"/>
  <c r="E92" i="1"/>
  <c r="E93" i="1"/>
  <c r="E51" i="1"/>
  <c r="E94" i="1"/>
  <c r="E95" i="1"/>
  <c r="E141" i="1"/>
  <c r="E142" i="1"/>
  <c r="E143" i="1"/>
  <c r="E144" i="1"/>
  <c r="E145" i="1"/>
  <c r="E542" i="1"/>
  <c r="E543" i="1"/>
  <c r="E544" i="1"/>
  <c r="E545" i="1"/>
  <c r="E476" i="1"/>
  <c r="E515" i="1"/>
  <c r="E516" i="1"/>
  <c r="E517" i="1"/>
  <c r="E534" i="1"/>
  <c r="E535" i="1"/>
  <c r="E536" i="1"/>
  <c r="E537" i="1"/>
  <c r="E538" i="1"/>
  <c r="E539" i="1"/>
  <c r="E540" i="1"/>
  <c r="E504" i="1"/>
  <c r="E505" i="1"/>
  <c r="E506" i="1"/>
  <c r="E507" i="1"/>
  <c r="E508" i="1"/>
  <c r="E509" i="1"/>
  <c r="E510" i="1"/>
  <c r="E511" i="1"/>
  <c r="E512" i="1"/>
  <c r="E541" i="1"/>
  <c r="E477" i="1"/>
  <c r="E478" i="1"/>
  <c r="E513" i="1"/>
  <c r="E514" i="1"/>
  <c r="E479" i="1"/>
  <c r="E502" i="1"/>
  <c r="E503" i="1"/>
  <c r="E290" i="1"/>
  <c r="E291" i="1"/>
  <c r="E292" i="1"/>
  <c r="E293" i="1"/>
  <c r="E250" i="1"/>
  <c r="E279" i="1"/>
  <c r="E280" i="1"/>
  <c r="E281" i="1"/>
  <c r="E282" i="1"/>
  <c r="E283" i="1"/>
  <c r="E284" i="1"/>
  <c r="E285" i="1"/>
  <c r="E286" i="1"/>
  <c r="E287" i="1"/>
  <c r="E288" i="1"/>
  <c r="E256" i="1"/>
  <c r="E257" i="1"/>
  <c r="E258" i="1"/>
  <c r="E259" i="1"/>
  <c r="E260" i="1"/>
  <c r="E261" i="1"/>
  <c r="E274" i="1"/>
  <c r="E275" i="1"/>
  <c r="E276" i="1"/>
  <c r="E289" i="1"/>
  <c r="E251" i="1"/>
  <c r="E252" i="1"/>
  <c r="E277" i="1"/>
  <c r="E278" i="1"/>
  <c r="E253" i="1"/>
  <c r="E254" i="1"/>
  <c r="E255" i="1"/>
  <c r="E158" i="1"/>
  <c r="E159" i="1"/>
  <c r="E160" i="1"/>
  <c r="E214" i="1"/>
  <c r="E161" i="1"/>
  <c r="E162" i="1"/>
  <c r="E163" i="1"/>
  <c r="E215" i="1"/>
  <c r="E216" i="1"/>
  <c r="E217" i="1"/>
  <c r="E164" i="1"/>
  <c r="E218" i="1"/>
  <c r="E219" i="1"/>
  <c r="E220" i="1"/>
  <c r="E221" i="1"/>
  <c r="E222" i="1"/>
  <c r="E165" i="1"/>
  <c r="E166" i="1"/>
  <c r="E167" i="1"/>
  <c r="E223" i="1"/>
  <c r="E168" i="1"/>
  <c r="E169" i="1"/>
  <c r="E170" i="1"/>
  <c r="E224" i="1"/>
  <c r="E225" i="1"/>
  <c r="E226" i="1"/>
  <c r="E171" i="1"/>
  <c r="E227" i="1"/>
  <c r="E228" i="1"/>
  <c r="E229" i="1"/>
  <c r="E230" i="1"/>
  <c r="E231" i="1"/>
  <c r="E2" i="1"/>
  <c r="E3" i="1"/>
  <c r="E4" i="1"/>
  <c r="E5" i="1"/>
  <c r="E6" i="1"/>
  <c r="E7" i="1"/>
  <c r="E8" i="1"/>
  <c r="E9" i="1"/>
  <c r="E10" i="1"/>
  <c r="E11" i="1"/>
  <c r="E12" i="1"/>
  <c r="E13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18" i="1"/>
  <c r="D2" i="3"/>
  <c r="D3" i="3"/>
  <c r="D4" i="3"/>
  <c r="D5" i="3"/>
  <c r="D6" i="3"/>
  <c r="D7" i="3"/>
  <c r="D8" i="3"/>
  <c r="D9" i="3"/>
  <c r="D10" i="3"/>
  <c r="D11" i="3"/>
  <c r="D12" i="3"/>
  <c r="D13" i="3"/>
  <c r="D94" i="3"/>
  <c r="D95" i="3"/>
  <c r="D96" i="3"/>
  <c r="D97" i="3"/>
  <c r="D98" i="3"/>
  <c r="D99" i="3"/>
  <c r="D100" i="3"/>
  <c r="D101" i="3"/>
  <c r="D102" i="3"/>
  <c r="D103" i="3"/>
  <c r="D104" i="3"/>
  <c r="D105" i="3"/>
  <c r="D2" i="2"/>
  <c r="D67" i="2"/>
  <c r="D3" i="2"/>
  <c r="D69" i="2"/>
  <c r="D4" i="2"/>
  <c r="D71" i="2"/>
  <c r="D5" i="2"/>
  <c r="D73" i="2"/>
  <c r="D6" i="2"/>
  <c r="D75" i="2"/>
  <c r="D241" i="2"/>
  <c r="D76" i="2"/>
  <c r="D238" i="2"/>
  <c r="D78" i="2"/>
  <c r="D240" i="2"/>
  <c r="D80" i="2"/>
  <c r="D242" i="2"/>
  <c r="D81" i="2"/>
  <c r="D244" i="2"/>
  <c r="D83" i="2"/>
  <c r="D246" i="2"/>
  <c r="D85" i="2"/>
  <c r="D248" i="2"/>
  <c r="C28" i="5"/>
  <c r="C26" i="5"/>
  <c r="C27" i="5"/>
  <c r="C32" i="5"/>
  <c r="C14" i="5"/>
  <c r="C8" i="5"/>
  <c r="C9" i="5"/>
  <c r="C150" i="5"/>
  <c r="C10" i="5"/>
  <c r="C7" i="5"/>
  <c r="C13" i="5"/>
  <c r="C148" i="5"/>
  <c r="C12" i="5"/>
  <c r="C149" i="5"/>
  <c r="C24" i="5"/>
  <c r="C25" i="5"/>
  <c r="C22" i="5"/>
  <c r="C23" i="5"/>
  <c r="C19" i="5"/>
  <c r="C16" i="5"/>
  <c r="C17" i="5"/>
  <c r="C21" i="5"/>
  <c r="C15" i="5"/>
  <c r="C11" i="5"/>
  <c r="C18" i="5"/>
  <c r="C20" i="5"/>
  <c r="C35" i="5"/>
  <c r="C34" i="5"/>
  <c r="C31" i="5"/>
  <c r="C30" i="5"/>
  <c r="C33" i="5"/>
  <c r="C67" i="5"/>
  <c r="C187" i="5"/>
  <c r="C167" i="5"/>
  <c r="C66" i="5"/>
  <c r="C53" i="5"/>
  <c r="C65" i="5"/>
  <c r="C164" i="5"/>
  <c r="C62" i="5"/>
  <c r="C162" i="5"/>
  <c r="C60" i="5"/>
  <c r="C64" i="5"/>
  <c r="C165" i="5"/>
  <c r="C166" i="5"/>
  <c r="C163" i="5"/>
  <c r="C63" i="5"/>
  <c r="C183" i="5"/>
  <c r="C59" i="5"/>
  <c r="C159" i="5"/>
  <c r="C184" i="5"/>
  <c r="C160" i="5"/>
  <c r="C185" i="5"/>
  <c r="C161" i="5"/>
  <c r="C58" i="5"/>
  <c r="C186" i="5"/>
  <c r="C61" i="5"/>
  <c r="C51" i="5"/>
  <c r="C52" i="5"/>
  <c r="C57" i="5"/>
  <c r="C188" i="5"/>
  <c r="C56" i="5"/>
  <c r="C54" i="5"/>
  <c r="C55" i="5"/>
  <c r="C151" i="5"/>
  <c r="C152" i="5"/>
  <c r="C153" i="5"/>
  <c r="C45" i="5"/>
  <c r="C37" i="5"/>
  <c r="C154" i="5"/>
  <c r="C155" i="5"/>
  <c r="C158" i="5"/>
  <c r="C157" i="5"/>
  <c r="C156" i="5"/>
  <c r="C36" i="5"/>
  <c r="C50" i="5"/>
  <c r="C47" i="5"/>
  <c r="C49" i="5"/>
  <c r="C48" i="5"/>
  <c r="C46" i="5"/>
  <c r="C29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2" i="6"/>
  <c r="C31" i="4"/>
  <c r="C32" i="4"/>
  <c r="C33" i="4"/>
  <c r="C34" i="4"/>
  <c r="C35" i="4"/>
  <c r="C9" i="4"/>
  <c r="C10" i="4"/>
  <c r="C11" i="4"/>
  <c r="C12" i="4"/>
  <c r="C13" i="4"/>
  <c r="C14" i="4"/>
  <c r="C15" i="4"/>
  <c r="C16" i="4"/>
  <c r="C17" i="4"/>
  <c r="C18" i="4"/>
  <c r="C20" i="4"/>
  <c r="C21" i="4"/>
  <c r="C22" i="4"/>
  <c r="C23" i="4"/>
  <c r="C24" i="4"/>
  <c r="C25" i="4"/>
  <c r="C26" i="4"/>
  <c r="C27" i="4"/>
  <c r="C28" i="4"/>
  <c r="C19" i="4"/>
  <c r="C29" i="4"/>
  <c r="C30" i="4"/>
  <c r="C36" i="4"/>
  <c r="C37" i="4"/>
  <c r="C38" i="4"/>
  <c r="C39" i="4"/>
  <c r="C40" i="4"/>
  <c r="C92" i="4"/>
  <c r="C93" i="4"/>
  <c r="C94" i="4"/>
  <c r="C95" i="4"/>
  <c r="C64" i="4"/>
  <c r="C81" i="4"/>
  <c r="C82" i="4"/>
  <c r="C83" i="4"/>
  <c r="C84" i="4"/>
  <c r="C85" i="4"/>
  <c r="C86" i="4"/>
  <c r="C87" i="4"/>
  <c r="C88" i="4"/>
  <c r="C89" i="4"/>
  <c r="C90" i="4"/>
  <c r="C70" i="4"/>
  <c r="C71" i="4"/>
  <c r="C72" i="4"/>
  <c r="C73" i="4"/>
  <c r="C74" i="4"/>
  <c r="C75" i="4"/>
  <c r="C76" i="4"/>
  <c r="C77" i="4"/>
  <c r="C78" i="4"/>
  <c r="C91" i="4"/>
  <c r="C65" i="4"/>
  <c r="C66" i="4"/>
  <c r="C79" i="4"/>
  <c r="C80" i="4"/>
  <c r="C67" i="4"/>
  <c r="C68" i="4"/>
  <c r="C69" i="4"/>
  <c r="C41" i="4"/>
  <c r="C42" i="4"/>
  <c r="C43" i="4"/>
  <c r="C55" i="4"/>
  <c r="C44" i="4"/>
  <c r="C45" i="4"/>
  <c r="C46" i="4"/>
  <c r="C56" i="4"/>
  <c r="C57" i="4"/>
  <c r="C58" i="4"/>
  <c r="C47" i="4"/>
  <c r="C59" i="4"/>
  <c r="C60" i="4"/>
  <c r="C61" i="4"/>
  <c r="C62" i="4"/>
  <c r="C63" i="4"/>
  <c r="D61" i="3"/>
  <c r="D62" i="3"/>
  <c r="D63" i="3"/>
  <c r="D68" i="3"/>
  <c r="D16" i="3"/>
  <c r="D17" i="3"/>
  <c r="D18" i="3"/>
  <c r="D19" i="3"/>
  <c r="D20" i="3"/>
  <c r="D21" i="3"/>
  <c r="D22" i="3"/>
  <c r="D23" i="3"/>
  <c r="D24" i="3"/>
  <c r="D25" i="3"/>
  <c r="D38" i="3"/>
  <c r="D39" i="3"/>
  <c r="D40" i="3"/>
  <c r="D41" i="3"/>
  <c r="D42" i="3"/>
  <c r="D43" i="3"/>
  <c r="D44" i="3"/>
  <c r="D45" i="3"/>
  <c r="D46" i="3"/>
  <c r="D26" i="3"/>
  <c r="D47" i="3"/>
  <c r="D48" i="3"/>
  <c r="D69" i="3"/>
  <c r="D70" i="3"/>
  <c r="D71" i="3"/>
  <c r="D72" i="3"/>
  <c r="D73" i="3"/>
  <c r="D64" i="3"/>
  <c r="D65" i="3"/>
  <c r="D66" i="3"/>
  <c r="D67" i="3"/>
  <c r="D74" i="3"/>
  <c r="D27" i="3"/>
  <c r="D28" i="3"/>
  <c r="D29" i="3"/>
  <c r="D30" i="3"/>
  <c r="D31" i="3"/>
  <c r="D32" i="3"/>
  <c r="D33" i="3"/>
  <c r="D34" i="3"/>
  <c r="D35" i="3"/>
  <c r="D36" i="3"/>
  <c r="D49" i="3"/>
  <c r="D50" i="3"/>
  <c r="D51" i="3"/>
  <c r="D52" i="3"/>
  <c r="D53" i="3"/>
  <c r="D54" i="3"/>
  <c r="D55" i="3"/>
  <c r="D56" i="3"/>
  <c r="D57" i="3"/>
  <c r="D37" i="3"/>
  <c r="D58" i="3"/>
  <c r="D59" i="3"/>
  <c r="D75" i="3"/>
  <c r="D76" i="3"/>
  <c r="D77" i="3"/>
  <c r="D78" i="3"/>
  <c r="D79" i="3"/>
  <c r="D182" i="3"/>
  <c r="D183" i="3"/>
  <c r="D184" i="3"/>
  <c r="D185" i="3"/>
  <c r="D126" i="3"/>
  <c r="D160" i="3"/>
  <c r="D161" i="3"/>
  <c r="D162" i="3"/>
  <c r="D163" i="3"/>
  <c r="D164" i="3"/>
  <c r="D165" i="3"/>
  <c r="D166" i="3"/>
  <c r="D167" i="3"/>
  <c r="D168" i="3"/>
  <c r="D169" i="3"/>
  <c r="D138" i="3"/>
  <c r="D139" i="3"/>
  <c r="D140" i="3"/>
  <c r="D141" i="3"/>
  <c r="D142" i="3"/>
  <c r="D143" i="3"/>
  <c r="D144" i="3"/>
  <c r="D145" i="3"/>
  <c r="D146" i="3"/>
  <c r="D170" i="3"/>
  <c r="D127" i="3"/>
  <c r="D128" i="3"/>
  <c r="D147" i="3"/>
  <c r="D148" i="3"/>
  <c r="D129" i="3"/>
  <c r="D130" i="3"/>
  <c r="D131" i="3"/>
  <c r="D186" i="3"/>
  <c r="D187" i="3"/>
  <c r="D188" i="3"/>
  <c r="D189" i="3"/>
  <c r="D132" i="3"/>
  <c r="D171" i="3"/>
  <c r="D172" i="3"/>
  <c r="D173" i="3"/>
  <c r="D174" i="3"/>
  <c r="D175" i="3"/>
  <c r="D176" i="3"/>
  <c r="D177" i="3"/>
  <c r="D178" i="3"/>
  <c r="D179" i="3"/>
  <c r="D180" i="3"/>
  <c r="D149" i="3"/>
  <c r="D150" i="3"/>
  <c r="D151" i="3"/>
  <c r="D152" i="3"/>
  <c r="D153" i="3"/>
  <c r="D154" i="3"/>
  <c r="D155" i="3"/>
  <c r="D156" i="3"/>
  <c r="D157" i="3"/>
  <c r="D181" i="3"/>
  <c r="D133" i="3"/>
  <c r="D134" i="3"/>
  <c r="D158" i="3"/>
  <c r="D159" i="3"/>
  <c r="D135" i="3"/>
  <c r="D136" i="3"/>
  <c r="D137" i="3"/>
  <c r="D80" i="3"/>
  <c r="D81" i="3"/>
  <c r="D82" i="3"/>
  <c r="D108" i="3"/>
  <c r="D83" i="3"/>
  <c r="D84" i="3"/>
  <c r="D85" i="3"/>
  <c r="D109" i="3"/>
  <c r="D110" i="3"/>
  <c r="D111" i="3"/>
  <c r="D86" i="3"/>
  <c r="D112" i="3"/>
  <c r="D113" i="3"/>
  <c r="D114" i="3"/>
  <c r="D115" i="3"/>
  <c r="D116" i="3"/>
  <c r="D87" i="3"/>
  <c r="D88" i="3"/>
  <c r="D89" i="3"/>
  <c r="D117" i="3"/>
  <c r="D90" i="3"/>
  <c r="D91" i="3"/>
  <c r="D92" i="3"/>
  <c r="D118" i="3"/>
  <c r="D119" i="3"/>
  <c r="D120" i="3"/>
  <c r="D93" i="3"/>
  <c r="D121" i="3"/>
  <c r="D122" i="3"/>
  <c r="D123" i="3"/>
  <c r="D124" i="3"/>
  <c r="D125" i="3"/>
  <c r="D60" i="3"/>
  <c r="D30" i="2"/>
  <c r="D31" i="2"/>
  <c r="D32" i="2"/>
  <c r="D33" i="2"/>
  <c r="D8" i="2"/>
  <c r="D9" i="2"/>
  <c r="D10" i="2"/>
  <c r="D13" i="2"/>
  <c r="D15" i="2"/>
  <c r="D16" i="2"/>
  <c r="D17" i="2"/>
  <c r="D19" i="2"/>
  <c r="D20" i="2"/>
  <c r="D21" i="2"/>
  <c r="D22" i="2"/>
  <c r="D23" i="2"/>
  <c r="D239" i="2"/>
  <c r="D24" i="2"/>
  <c r="D25" i="2"/>
  <c r="D26" i="2"/>
  <c r="D18" i="2"/>
  <c r="D27" i="2"/>
  <c r="D28" i="2"/>
  <c r="D66" i="2"/>
  <c r="D68" i="2"/>
  <c r="D70" i="2"/>
  <c r="D72" i="2"/>
  <c r="D74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120" i="2"/>
  <c r="D121" i="2"/>
  <c r="D122" i="2"/>
  <c r="D123" i="2"/>
  <c r="D89" i="2"/>
  <c r="D109" i="2"/>
  <c r="D110" i="2"/>
  <c r="D111" i="2"/>
  <c r="D112" i="2"/>
  <c r="D113" i="2"/>
  <c r="D114" i="2"/>
  <c r="D115" i="2"/>
  <c r="D116" i="2"/>
  <c r="D117" i="2"/>
  <c r="D118" i="2"/>
  <c r="D98" i="2"/>
  <c r="D99" i="2"/>
  <c r="D100" i="2"/>
  <c r="D101" i="2"/>
  <c r="D102" i="2"/>
  <c r="D103" i="2"/>
  <c r="D104" i="2"/>
  <c r="D105" i="2"/>
  <c r="D106" i="2"/>
  <c r="D119" i="2"/>
  <c r="D91" i="2"/>
  <c r="D93" i="2"/>
  <c r="D107" i="2"/>
  <c r="D108" i="2"/>
  <c r="D95" i="2"/>
  <c r="D96" i="2"/>
  <c r="D97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9" i="2"/>
  <c r="S91" i="5" l="1"/>
  <c r="AO91" i="5" s="1"/>
  <c r="AP91" i="5" s="1"/>
  <c r="AQ91" i="5" s="1"/>
  <c r="AS91" i="5" s="1"/>
  <c r="S190" i="5"/>
  <c r="AO190" i="5" s="1"/>
  <c r="AP190" i="5" s="1"/>
  <c r="AQ190" i="5" s="1"/>
  <c r="AS190" i="5" s="1"/>
  <c r="P51" i="5"/>
  <c r="AA51" i="5" s="1"/>
  <c r="AB51" i="5" s="1"/>
  <c r="P163" i="5"/>
  <c r="AA163" i="5" s="1"/>
  <c r="AB163" i="5" s="1"/>
  <c r="V106" i="5"/>
  <c r="AX106" i="5" s="1"/>
  <c r="AY106" i="5" s="1"/>
  <c r="AZ106" i="5" s="1"/>
  <c r="BB106" i="5" s="1"/>
  <c r="AB106" i="5"/>
  <c r="AC106" i="5" s="1"/>
  <c r="S109" i="5"/>
  <c r="AO109" i="5" s="1"/>
  <c r="AP109" i="5" s="1"/>
  <c r="AQ109" i="5" s="1"/>
  <c r="AS109" i="5" s="1"/>
  <c r="P91" i="5"/>
  <c r="AA91" i="5" s="1"/>
  <c r="AB91" i="5" s="1"/>
  <c r="P67" i="5"/>
  <c r="AA67" i="5" s="1"/>
  <c r="AB67" i="5" s="1"/>
  <c r="P44" i="5"/>
  <c r="AA44" i="5" s="1"/>
  <c r="AB44" i="5" s="1"/>
  <c r="P54" i="5"/>
  <c r="AA54" i="5" s="1"/>
  <c r="AB54" i="5" s="1"/>
  <c r="S44" i="5"/>
  <c r="AO44" i="5" s="1"/>
  <c r="AP44" i="5" s="1"/>
  <c r="V62" i="5"/>
  <c r="AX62" i="5" s="1"/>
  <c r="AY62" i="5" s="1"/>
  <c r="AZ62" i="5" s="1"/>
  <c r="P126" i="5"/>
  <c r="AA126" i="5" s="1"/>
  <c r="AB126" i="5" s="1"/>
  <c r="AC126" i="5" s="1"/>
  <c r="S106" i="5"/>
  <c r="AO106" i="5" s="1"/>
  <c r="AP106" i="5" s="1"/>
  <c r="AQ106" i="5" s="1"/>
  <c r="AS106" i="5" s="1"/>
  <c r="S116" i="5"/>
  <c r="AO116" i="5" s="1"/>
  <c r="AP116" i="5" s="1"/>
  <c r="AQ116" i="5" s="1"/>
  <c r="AS116" i="5" s="1"/>
  <c r="P177" i="5"/>
  <c r="AA177" i="5" s="1"/>
  <c r="AB177" i="5" s="1"/>
  <c r="S119" i="5"/>
  <c r="AO119" i="5" s="1"/>
  <c r="AP119" i="5" s="1"/>
  <c r="AQ119" i="5" s="1"/>
  <c r="AS119" i="5" s="1"/>
  <c r="P68" i="5"/>
  <c r="AA68" i="5" s="1"/>
  <c r="AB68" i="5" s="1"/>
  <c r="S128" i="5"/>
  <c r="AO128" i="5" s="1"/>
  <c r="AP128" i="5" s="1"/>
  <c r="AQ128" i="5" s="1"/>
  <c r="AS128" i="5" s="1"/>
  <c r="P162" i="5"/>
  <c r="AA162" i="5" s="1"/>
  <c r="AB162" i="5" s="1"/>
  <c r="AC162" i="5" s="1"/>
  <c r="V44" i="5"/>
  <c r="V119" i="5"/>
  <c r="AX119" i="5" s="1"/>
  <c r="AY119" i="5" s="1"/>
  <c r="AZ119" i="5" s="1"/>
  <c r="BB119" i="5" s="1"/>
  <c r="V128" i="5"/>
  <c r="V162" i="5"/>
  <c r="AX162" i="5" s="1"/>
  <c r="AY162" i="5" s="1"/>
  <c r="AZ162" i="5" s="1"/>
  <c r="BB162" i="5" s="1"/>
  <c r="P128" i="5"/>
  <c r="AA128" i="5" s="1"/>
  <c r="AB128" i="5" s="1"/>
  <c r="AC128" i="5" s="1"/>
  <c r="AH128" i="5" s="1"/>
  <c r="AJ128" i="5" s="1"/>
  <c r="P169" i="5"/>
  <c r="AA169" i="5" s="1"/>
  <c r="AB169" i="5" s="1"/>
  <c r="S68" i="5"/>
  <c r="AO68" i="5" s="1"/>
  <c r="AP68" i="5" s="1"/>
  <c r="AQ68" i="5" s="1"/>
  <c r="AS68" i="5" s="1"/>
  <c r="P116" i="5"/>
  <c r="AA116" i="5" s="1"/>
  <c r="AB116" i="5" s="1"/>
  <c r="S127" i="5"/>
  <c r="AO127" i="5" s="1"/>
  <c r="AP127" i="5" s="1"/>
  <c r="AQ127" i="5" s="1"/>
  <c r="AS127" i="5" s="1"/>
  <c r="P127" i="5"/>
  <c r="AA127" i="5" s="1"/>
  <c r="AB127" i="5" s="1"/>
  <c r="P167" i="5"/>
  <c r="AA167" i="5" s="1"/>
  <c r="AB167" i="5" s="1"/>
  <c r="V122" i="5"/>
  <c r="P122" i="5"/>
  <c r="AA122" i="5" s="1"/>
  <c r="S122" i="5"/>
  <c r="AO122" i="5" s="1"/>
  <c r="AP122" i="5" s="1"/>
  <c r="AQ122" i="5" s="1"/>
  <c r="AS122" i="5" s="1"/>
  <c r="V169" i="5"/>
  <c r="V127" i="5"/>
  <c r="AX127" i="5" s="1"/>
  <c r="AY127" i="5" s="1"/>
  <c r="AZ127" i="5" s="1"/>
  <c r="BB127" i="5" s="1"/>
  <c r="V117" i="5"/>
  <c r="AP80" i="5"/>
  <c r="AQ80" i="5" s="1"/>
  <c r="AQ169" i="5"/>
  <c r="AS169" i="5" s="1"/>
  <c r="S54" i="5"/>
  <c r="AO54" i="5" s="1"/>
  <c r="AP54" i="5" s="1"/>
  <c r="AQ54" i="5" s="1"/>
  <c r="AS54" i="5" s="1"/>
  <c r="S40" i="5"/>
  <c r="AO40" i="5" s="1"/>
  <c r="AP40" i="5" s="1"/>
  <c r="AQ40" i="5" s="1"/>
  <c r="AS40" i="5" s="1"/>
  <c r="V54" i="5"/>
  <c r="V75" i="5"/>
  <c r="AX75" i="5" s="1"/>
  <c r="AY75" i="5" s="1"/>
  <c r="AZ75" i="5" s="1"/>
  <c r="V40" i="5"/>
  <c r="S115" i="5"/>
  <c r="AO115" i="5" s="1"/>
  <c r="AP115" i="5" s="1"/>
  <c r="AQ115" i="5" s="1"/>
  <c r="AS115" i="5" s="1"/>
  <c r="P109" i="5"/>
  <c r="AA109" i="5" s="1"/>
  <c r="S162" i="5"/>
  <c r="AO162" i="5" s="1"/>
  <c r="AC172" i="5"/>
  <c r="AH172" i="5" s="1"/>
  <c r="AJ172" i="5" s="1"/>
  <c r="P117" i="5"/>
  <c r="AA117" i="5" s="1"/>
  <c r="V105" i="5"/>
  <c r="AX105" i="5" s="1"/>
  <c r="AY105" i="5" s="1"/>
  <c r="AZ105" i="5" s="1"/>
  <c r="BB105" i="5" s="1"/>
  <c r="S105" i="5"/>
  <c r="AO105" i="5" s="1"/>
  <c r="AP105" i="5" s="1"/>
  <c r="AQ105" i="5" s="1"/>
  <c r="AS105" i="5" s="1"/>
  <c r="P40" i="5"/>
  <c r="AA40" i="5" s="1"/>
  <c r="AB40" i="5" s="1"/>
  <c r="V55" i="5"/>
  <c r="S55" i="5"/>
  <c r="AO55" i="5" s="1"/>
  <c r="AP55" i="5" s="1"/>
  <c r="AQ55" i="5" s="1"/>
  <c r="AS55" i="5" s="1"/>
  <c r="S117" i="5"/>
  <c r="AO117" i="5" s="1"/>
  <c r="AP117" i="5" s="1"/>
  <c r="AQ117" i="5" s="1"/>
  <c r="AS117" i="5" s="1"/>
  <c r="S71" i="5"/>
  <c r="AO71" i="5" s="1"/>
  <c r="AP71" i="5" s="1"/>
  <c r="AQ71" i="5" s="1"/>
  <c r="AS71" i="5" s="1"/>
  <c r="AA71" i="5"/>
  <c r="AB71" i="5" s="1"/>
  <c r="P55" i="5"/>
  <c r="AA55" i="5" s="1"/>
  <c r="AB55" i="5" s="1"/>
  <c r="P115" i="5"/>
  <c r="AA115" i="5" s="1"/>
  <c r="S69" i="5"/>
  <c r="AO69" i="5" s="1"/>
  <c r="AP69" i="5" s="1"/>
  <c r="AQ69" i="5" s="1"/>
  <c r="AS69" i="5" s="1"/>
  <c r="P187" i="5"/>
  <c r="AA187" i="5" s="1"/>
  <c r="AB187" i="5" s="1"/>
  <c r="P38" i="5"/>
  <c r="AA38" i="5" s="1"/>
  <c r="AB38" i="5" s="1"/>
  <c r="S75" i="5"/>
  <c r="V159" i="5"/>
  <c r="AX159" i="5" s="1"/>
  <c r="AY159" i="5" s="1"/>
  <c r="AZ159" i="5" s="1"/>
  <c r="V126" i="5"/>
  <c r="AX126" i="5" s="1"/>
  <c r="S126" i="5"/>
  <c r="AO126" i="5" s="1"/>
  <c r="AP126" i="5" s="1"/>
  <c r="AQ126" i="5" s="1"/>
  <c r="AS126" i="5" s="1"/>
  <c r="P175" i="5"/>
  <c r="AA175" i="5" s="1"/>
  <c r="AB175" i="5" s="1"/>
  <c r="S172" i="5"/>
  <c r="AO172" i="5" s="1"/>
  <c r="AP172" i="5" s="1"/>
  <c r="AQ172" i="5" s="1"/>
  <c r="AS172" i="5" s="1"/>
  <c r="P69" i="5"/>
  <c r="AA69" i="5" s="1"/>
  <c r="AB69" i="5" s="1"/>
  <c r="P105" i="5"/>
  <c r="AA105" i="5" s="1"/>
  <c r="AB119" i="5"/>
  <c r="AX83" i="5"/>
  <c r="AY83" i="5" s="1"/>
  <c r="AZ83" i="5" s="1"/>
  <c r="AX80" i="5"/>
  <c r="AY80" i="5" s="1"/>
  <c r="AZ80" i="5" s="1"/>
  <c r="AX78" i="5"/>
  <c r="AY78" i="5" s="1"/>
  <c r="AZ78" i="5" s="1"/>
  <c r="AX38" i="5"/>
  <c r="AY38" i="5" s="1"/>
  <c r="AZ38" i="5" s="1"/>
  <c r="AC178" i="5"/>
  <c r="AH178" i="5" s="1"/>
  <c r="AJ178" i="5" s="1"/>
  <c r="AC77" i="5"/>
  <c r="AC83" i="5"/>
  <c r="AC82" i="5"/>
  <c r="AC165" i="5"/>
  <c r="AC81" i="5"/>
  <c r="P87" i="5"/>
  <c r="AA87" i="5" s="1"/>
  <c r="AB87" i="5" s="1"/>
  <c r="S85" i="5"/>
  <c r="AO85" i="5" s="1"/>
  <c r="AP85" i="5" s="1"/>
  <c r="AQ85" i="5" s="1"/>
  <c r="V59" i="5"/>
  <c r="AX59" i="5" s="1"/>
  <c r="AY59" i="5" s="1"/>
  <c r="AZ59" i="5" s="1"/>
  <c r="V176" i="5"/>
  <c r="AX176" i="5" s="1"/>
  <c r="AY176" i="5" s="1"/>
  <c r="AZ176" i="5" s="1"/>
  <c r="P85" i="5"/>
  <c r="AA85" i="5" s="1"/>
  <c r="AB85" i="5" s="1"/>
  <c r="AB3" i="5"/>
  <c r="AB66" i="5"/>
  <c r="P65" i="5"/>
  <c r="AA65" i="5" s="1"/>
  <c r="AB65" i="5" s="1"/>
  <c r="V65" i="5"/>
  <c r="V39" i="5"/>
  <c r="AX39" i="5" s="1"/>
  <c r="S39" i="5"/>
  <c r="AO39" i="5" s="1"/>
  <c r="AP39" i="5" s="1"/>
  <c r="AQ39" i="5" s="1"/>
  <c r="AS39" i="5" s="1"/>
  <c r="P39" i="5"/>
  <c r="AA39" i="5" s="1"/>
  <c r="AB173" i="5"/>
  <c r="AP176" i="5"/>
  <c r="AQ176" i="5" s="1"/>
  <c r="AS176" i="5" s="1"/>
  <c r="S188" i="5"/>
  <c r="AO188" i="5" s="1"/>
  <c r="AP188" i="5" s="1"/>
  <c r="AQ188" i="5" s="1"/>
  <c r="AS188" i="5" s="1"/>
  <c r="V163" i="5"/>
  <c r="AX163" i="5" s="1"/>
  <c r="S52" i="5"/>
  <c r="AO52" i="5" s="1"/>
  <c r="AP52" i="5" s="1"/>
  <c r="AQ52" i="5" s="1"/>
  <c r="AS52" i="5" s="1"/>
  <c r="V52" i="5"/>
  <c r="AX52" i="5" s="1"/>
  <c r="AY52" i="5" s="1"/>
  <c r="AZ52" i="5" s="1"/>
  <c r="P184" i="5"/>
  <c r="AA184" i="5" s="1"/>
  <c r="V184" i="5"/>
  <c r="P64" i="5"/>
  <c r="AA64" i="5" s="1"/>
  <c r="V64" i="5"/>
  <c r="AX64" i="5" s="1"/>
  <c r="AY64" i="5" s="1"/>
  <c r="AZ64" i="5" s="1"/>
  <c r="S64" i="5"/>
  <c r="AO64" i="5" s="1"/>
  <c r="AP64" i="5" s="1"/>
  <c r="AQ64" i="5" s="1"/>
  <c r="AS64" i="5" s="1"/>
  <c r="V167" i="5"/>
  <c r="AX167" i="5" s="1"/>
  <c r="AY167" i="5" s="1"/>
  <c r="AZ167" i="5" s="1"/>
  <c r="S167" i="5"/>
  <c r="AO167" i="5" s="1"/>
  <c r="AP167" i="5" s="1"/>
  <c r="AQ167" i="5" s="1"/>
  <c r="AS167" i="5" s="1"/>
  <c r="S184" i="5"/>
  <c r="AO184" i="5" s="1"/>
  <c r="P59" i="5"/>
  <c r="AA59" i="5" s="1"/>
  <c r="V57" i="5"/>
  <c r="P188" i="5"/>
  <c r="AA188" i="5" s="1"/>
  <c r="P176" i="5"/>
  <c r="AA176" i="5" s="1"/>
  <c r="AB176" i="5" s="1"/>
  <c r="V56" i="5"/>
  <c r="S56" i="5"/>
  <c r="AO56" i="5" s="1"/>
  <c r="AP56" i="5" s="1"/>
  <c r="AQ56" i="5" s="1"/>
  <c r="AS56" i="5" s="1"/>
  <c r="P166" i="5"/>
  <c r="AA166" i="5" s="1"/>
  <c r="V166" i="5"/>
  <c r="S60" i="5"/>
  <c r="AO60" i="5" s="1"/>
  <c r="AP60" i="5" s="1"/>
  <c r="AQ60" i="5" s="1"/>
  <c r="AS60" i="5" s="1"/>
  <c r="V60" i="5"/>
  <c r="AX60" i="5" s="1"/>
  <c r="V3" i="5"/>
  <c r="AX3" i="5" s="1"/>
  <c r="S3" i="5"/>
  <c r="AO3" i="5" s="1"/>
  <c r="AP3" i="5" s="1"/>
  <c r="AQ3" i="5" s="1"/>
  <c r="AS3" i="5" s="1"/>
  <c r="P159" i="5"/>
  <c r="AA159" i="5" s="1"/>
  <c r="AB74" i="5"/>
  <c r="S61" i="5"/>
  <c r="AO61" i="5" s="1"/>
  <c r="AP61" i="5" s="1"/>
  <c r="AQ61" i="5" s="1"/>
  <c r="AS61" i="5" s="1"/>
  <c r="P61" i="5"/>
  <c r="AA61" i="5" s="1"/>
  <c r="V67" i="5"/>
  <c r="AX68" i="5" s="1"/>
  <c r="AY68" i="5" s="1"/>
  <c r="AZ68" i="5" s="1"/>
  <c r="S67" i="5"/>
  <c r="AO67" i="5" s="1"/>
  <c r="AP67" i="5" s="1"/>
  <c r="AQ67" i="5" s="1"/>
  <c r="AS67" i="5" s="1"/>
  <c r="V175" i="5"/>
  <c r="AX175" i="5" s="1"/>
  <c r="S175" i="5"/>
  <c r="AO175" i="5" s="1"/>
  <c r="AP175" i="5" s="1"/>
  <c r="AQ175" i="5" s="1"/>
  <c r="AS175" i="5" s="1"/>
  <c r="V5" i="5"/>
  <c r="AX5" i="5" s="1"/>
  <c r="AY5" i="5" s="1"/>
  <c r="AZ5" i="5" s="1"/>
  <c r="S5" i="5"/>
  <c r="AO5" i="5" s="1"/>
  <c r="AP5" i="5" s="1"/>
  <c r="AQ5" i="5" s="1"/>
  <c r="AS5" i="5" s="1"/>
  <c r="AB76" i="5"/>
  <c r="P60" i="5"/>
  <c r="AA60" i="5" s="1"/>
  <c r="AB60" i="5" s="1"/>
  <c r="S166" i="5"/>
  <c r="AO166" i="5" s="1"/>
  <c r="AP166" i="5" s="1"/>
  <c r="AQ166" i="5" s="1"/>
  <c r="AS166" i="5" s="1"/>
  <c r="S165" i="5"/>
  <c r="AO165" i="5" s="1"/>
  <c r="AP165" i="5" s="1"/>
  <c r="AQ165" i="5" s="1"/>
  <c r="P56" i="5"/>
  <c r="AA56" i="5" s="1"/>
  <c r="V177" i="5"/>
  <c r="S177" i="5"/>
  <c r="AO177" i="5" s="1"/>
  <c r="AP177" i="5" s="1"/>
  <c r="AQ177" i="5" s="1"/>
  <c r="AS177" i="5" s="1"/>
  <c r="P185" i="5"/>
  <c r="AA185" i="5" s="1"/>
  <c r="V185" i="5"/>
  <c r="S185" i="5"/>
  <c r="AO185" i="5" s="1"/>
  <c r="AP185" i="5" s="1"/>
  <c r="AQ185" i="5" s="1"/>
  <c r="AS185" i="5" s="1"/>
  <c r="V170" i="5"/>
  <c r="S170" i="5"/>
  <c r="AO170" i="5" s="1"/>
  <c r="AP170" i="5" s="1"/>
  <c r="AQ170" i="5" s="1"/>
  <c r="AS170" i="5" s="1"/>
  <c r="AB79" i="5"/>
  <c r="V70" i="5"/>
  <c r="S70" i="5"/>
  <c r="AO70" i="5" s="1"/>
  <c r="AP70" i="5" s="1"/>
  <c r="AQ70" i="5" s="1"/>
  <c r="AS70" i="5" s="1"/>
  <c r="S51" i="5"/>
  <c r="AO51" i="5" s="1"/>
  <c r="AP51" i="5" s="1"/>
  <c r="AQ51" i="5" s="1"/>
  <c r="AS51" i="5" s="1"/>
  <c r="V51" i="5"/>
  <c r="AX51" i="5" s="1"/>
  <c r="AY51" i="5" s="1"/>
  <c r="AZ51" i="5" s="1"/>
  <c r="BB51" i="5" s="1"/>
  <c r="S65" i="5"/>
  <c r="AO65" i="5" s="1"/>
  <c r="P170" i="5"/>
  <c r="AA170" i="5" s="1"/>
  <c r="V183" i="5"/>
  <c r="S183" i="5"/>
  <c r="AO183" i="5" s="1"/>
  <c r="AP183" i="5" s="1"/>
  <c r="AQ183" i="5" s="1"/>
  <c r="AS183" i="5" s="1"/>
  <c r="P62" i="5"/>
  <c r="AA62" i="5" s="1"/>
  <c r="S62" i="5"/>
  <c r="AO62" i="5" s="1"/>
  <c r="AP62" i="5" s="1"/>
  <c r="AQ62" i="5" s="1"/>
  <c r="AS62" i="5" s="1"/>
  <c r="V178" i="5"/>
  <c r="P70" i="5"/>
  <c r="AA70" i="5" s="1"/>
  <c r="S178" i="5"/>
  <c r="AO178" i="5" s="1"/>
  <c r="AP178" i="5" s="1"/>
  <c r="AQ178" i="5" s="1"/>
  <c r="AS178" i="5" s="1"/>
  <c r="P183" i="5"/>
  <c r="AA183" i="5" s="1"/>
  <c r="P52" i="5"/>
  <c r="AA52" i="5" s="1"/>
  <c r="AB75" i="5"/>
  <c r="P57" i="5"/>
  <c r="AA57" i="5" s="1"/>
  <c r="V187" i="5"/>
  <c r="S187" i="5"/>
  <c r="AO187" i="5" s="1"/>
  <c r="V58" i="5"/>
  <c r="AX58" i="5" s="1"/>
  <c r="S58" i="5"/>
  <c r="AO58" i="5" s="1"/>
  <c r="AP58" i="5" s="1"/>
  <c r="AQ58" i="5" s="1"/>
  <c r="AS58" i="5" s="1"/>
  <c r="V63" i="5"/>
  <c r="S63" i="5"/>
  <c r="AO63" i="5" s="1"/>
  <c r="AP63" i="5" s="1"/>
  <c r="AQ63" i="5" s="1"/>
  <c r="AS63" i="5" s="1"/>
  <c r="P63" i="5"/>
  <c r="AA63" i="5" s="1"/>
  <c r="V164" i="5"/>
  <c r="AX164" i="5" s="1"/>
  <c r="S164" i="5"/>
  <c r="AO164" i="5" s="1"/>
  <c r="AP164" i="5" s="1"/>
  <c r="AQ164" i="5" s="1"/>
  <c r="AS164" i="5" s="1"/>
  <c r="P164" i="5"/>
  <c r="AA164" i="5" s="1"/>
  <c r="V73" i="5"/>
  <c r="AX73" i="5" s="1"/>
  <c r="AY73" i="5" s="1"/>
  <c r="AZ73" i="5" s="1"/>
  <c r="S73" i="5"/>
  <c r="AO73" i="5" s="1"/>
  <c r="AP73" i="5" s="1"/>
  <c r="AQ73" i="5" s="1"/>
  <c r="AS73" i="5" s="1"/>
  <c r="P42" i="5"/>
  <c r="AA42" i="5" s="1"/>
  <c r="S42" i="5"/>
  <c r="AO42" i="5" s="1"/>
  <c r="AP42" i="5" s="1"/>
  <c r="AQ42" i="5" s="1"/>
  <c r="AS42" i="5" s="1"/>
  <c r="V42" i="5"/>
  <c r="AB80" i="5"/>
  <c r="P58" i="5"/>
  <c r="AA58" i="5" s="1"/>
  <c r="S66" i="5"/>
  <c r="AO66" i="5" s="1"/>
  <c r="AP66" i="5" s="1"/>
  <c r="AQ66" i="5" s="1"/>
  <c r="AS66" i="5" s="1"/>
  <c r="AB84" i="5"/>
  <c r="S163" i="5"/>
  <c r="AO163" i="5" s="1"/>
  <c r="AP163" i="5" s="1"/>
  <c r="AQ163" i="5" s="1"/>
  <c r="AS163" i="5" s="1"/>
  <c r="V87" i="5"/>
  <c r="AX87" i="5" s="1"/>
  <c r="AY87" i="5" s="1"/>
  <c r="AZ87" i="5" s="1"/>
  <c r="V165" i="5"/>
  <c r="AX165" i="5" s="1"/>
  <c r="AY165" i="5" s="1"/>
  <c r="AZ165" i="5" s="1"/>
  <c r="V66" i="5"/>
  <c r="AB5" i="5"/>
  <c r="P73" i="5"/>
  <c r="AA73" i="5" s="1"/>
  <c r="S159" i="5"/>
  <c r="AO159" i="5" s="1"/>
  <c r="AP159" i="5" s="1"/>
  <c r="AQ159" i="5" s="1"/>
  <c r="AS159" i="5" s="1"/>
  <c r="V61" i="5"/>
  <c r="V72" i="5"/>
  <c r="P72" i="5"/>
  <c r="AA72" i="5" s="1"/>
  <c r="S72" i="5"/>
  <c r="AO72" i="5" s="1"/>
  <c r="AP72" i="5" s="1"/>
  <c r="AQ72" i="5" s="1"/>
  <c r="AS72" i="5" s="1"/>
  <c r="AB78" i="5"/>
  <c r="AP78" i="5"/>
  <c r="AQ78" i="5" s="1"/>
  <c r="AS78" i="5" s="1"/>
  <c r="V4" i="5"/>
  <c r="AX4" i="5" s="1"/>
  <c r="AY4" i="5" s="1"/>
  <c r="AZ4" i="5" s="1"/>
  <c r="P4" i="5"/>
  <c r="AA4" i="5" s="1"/>
  <c r="S4" i="5"/>
  <c r="AO4" i="5" s="1"/>
  <c r="AP4" i="5" s="1"/>
  <c r="AQ4" i="5" s="1"/>
  <c r="AS4" i="5" s="1"/>
  <c r="S147" i="5"/>
  <c r="AO147" i="5" s="1"/>
  <c r="AP147" i="5" s="1"/>
  <c r="AQ147" i="5" s="1"/>
  <c r="AS147" i="5" s="1"/>
  <c r="P147" i="5"/>
  <c r="AA147" i="5" s="1"/>
  <c r="V147" i="5"/>
  <c r="P171" i="5"/>
  <c r="AA171" i="5" s="1"/>
  <c r="S171" i="5"/>
  <c r="AO171" i="5" s="1"/>
  <c r="AP171" i="5" s="1"/>
  <c r="AQ171" i="5" s="1"/>
  <c r="AS171" i="5" s="1"/>
  <c r="V171" i="5"/>
  <c r="AX171" i="5" s="1"/>
  <c r="AY171" i="5" s="1"/>
  <c r="AZ171" i="5" s="1"/>
  <c r="V90" i="5"/>
  <c r="AX90" i="5" s="1"/>
  <c r="AY90" i="5" s="1"/>
  <c r="AZ90" i="5" s="1"/>
  <c r="S90" i="5"/>
  <c r="AO90" i="5" s="1"/>
  <c r="P90" i="5"/>
  <c r="AA90" i="5" s="1"/>
  <c r="AB90" i="5" s="1"/>
  <c r="P2" i="5"/>
  <c r="AA2" i="5" s="1"/>
  <c r="V2" i="5"/>
  <c r="AX2" i="5" s="1"/>
  <c r="S6" i="5"/>
  <c r="AO6" i="5" s="1"/>
  <c r="AP6" i="5" s="1"/>
  <c r="AQ6" i="5" s="1"/>
  <c r="AS6" i="5" s="1"/>
  <c r="V6" i="5"/>
  <c r="P6" i="5"/>
  <c r="AA6" i="5" s="1"/>
  <c r="S86" i="5"/>
  <c r="AO86" i="5" s="1"/>
  <c r="AP86" i="5" s="1"/>
  <c r="AQ86" i="5" s="1"/>
  <c r="AS86" i="5" s="1"/>
  <c r="V86" i="5"/>
  <c r="AX86" i="5" s="1"/>
  <c r="P86" i="5"/>
  <c r="AA86" i="5" s="1"/>
  <c r="AB190" i="5"/>
  <c r="P191" i="5"/>
  <c r="AA191" i="5" s="1"/>
  <c r="AB191" i="5" s="1"/>
  <c r="S191" i="5"/>
  <c r="AO191" i="5" s="1"/>
  <c r="AP191" i="5" s="1"/>
  <c r="AQ191" i="5" s="1"/>
  <c r="AS191" i="5" s="1"/>
  <c r="P189" i="5"/>
  <c r="AA189" i="5" s="1"/>
  <c r="AB189" i="5" s="1"/>
  <c r="S189" i="5"/>
  <c r="AO189" i="5" s="1"/>
  <c r="V189" i="5"/>
  <c r="V191" i="5"/>
  <c r="B20" i="9"/>
  <c r="AC44" i="5" l="1"/>
  <c r="AH44" i="5" s="1"/>
  <c r="AJ44" i="5" s="1"/>
  <c r="AC91" i="5"/>
  <c r="AH91" i="5" s="1"/>
  <c r="AJ91" i="5" s="1"/>
  <c r="AE106" i="5"/>
  <c r="AF106" i="5" s="1"/>
  <c r="AH106" i="5"/>
  <c r="AJ106" i="5" s="1"/>
  <c r="AQ44" i="5"/>
  <c r="AS44" i="5" s="1"/>
  <c r="AB122" i="5"/>
  <c r="AC122" i="5" s="1"/>
  <c r="AE81" i="5"/>
  <c r="AF81" i="5" s="1"/>
  <c r="AH81" i="5"/>
  <c r="AJ81" i="5" s="1"/>
  <c r="AE83" i="5"/>
  <c r="AF83" i="5" s="1"/>
  <c r="AH83" i="5"/>
  <c r="AJ83" i="5" s="1"/>
  <c r="AH126" i="5"/>
  <c r="AJ126" i="5" s="1"/>
  <c r="AE126" i="5"/>
  <c r="AF126" i="5" s="1"/>
  <c r="AE128" i="5"/>
  <c r="AF128" i="5" s="1"/>
  <c r="AH77" i="5"/>
  <c r="AJ77" i="5" s="1"/>
  <c r="AE77" i="5"/>
  <c r="AF77" i="5" s="1"/>
  <c r="AH82" i="5"/>
  <c r="AJ82" i="5" s="1"/>
  <c r="AE82" i="5"/>
  <c r="AF82" i="5" s="1"/>
  <c r="AE162" i="5"/>
  <c r="AF162" i="5" s="1"/>
  <c r="AH162" i="5"/>
  <c r="AE165" i="5"/>
  <c r="AF165" i="5" s="1"/>
  <c r="AH165" i="5"/>
  <c r="AJ165" i="5" s="1"/>
  <c r="AO75" i="5"/>
  <c r="AP75" i="5" s="1"/>
  <c r="AS80" i="5"/>
  <c r="AC116" i="5"/>
  <c r="AC69" i="5"/>
  <c r="AC55" i="5"/>
  <c r="AC119" i="5"/>
  <c r="AP162" i="5"/>
  <c r="AQ162" i="5" s="1"/>
  <c r="AS162" i="5" s="1"/>
  <c r="AB109" i="5"/>
  <c r="AC109" i="5" s="1"/>
  <c r="AB115" i="5"/>
  <c r="AY126" i="5"/>
  <c r="AZ126" i="5" s="1"/>
  <c r="BB126" i="5" s="1"/>
  <c r="AB117" i="5"/>
  <c r="AC117" i="5" s="1"/>
  <c r="AB105" i="5"/>
  <c r="AC105" i="5" s="1"/>
  <c r="AC127" i="5"/>
  <c r="BB59" i="5"/>
  <c r="BB73" i="5"/>
  <c r="BB80" i="5"/>
  <c r="BB176" i="5"/>
  <c r="BB52" i="5"/>
  <c r="BB78" i="5"/>
  <c r="AX122" i="5"/>
  <c r="AY122" i="5" s="1"/>
  <c r="AZ122" i="5" s="1"/>
  <c r="BB122" i="5" s="1"/>
  <c r="AX183" i="5"/>
  <c r="AY183" i="5" s="1"/>
  <c r="AZ183" i="5" s="1"/>
  <c r="AX56" i="5"/>
  <c r="AY56" i="5" s="1"/>
  <c r="AZ56" i="5" s="1"/>
  <c r="AX61" i="5"/>
  <c r="AY61" i="5" s="1"/>
  <c r="AZ61" i="5" s="1"/>
  <c r="BB61" i="5" s="1"/>
  <c r="AX63" i="5"/>
  <c r="AY63" i="5" s="1"/>
  <c r="AZ63" i="5" s="1"/>
  <c r="BB63" i="5" s="1"/>
  <c r="AX91" i="5"/>
  <c r="AY91" i="5" s="1"/>
  <c r="AZ91" i="5" s="1"/>
  <c r="BB91" i="5" s="1"/>
  <c r="AX178" i="5"/>
  <c r="AY178" i="5" s="1"/>
  <c r="AZ178" i="5" s="1"/>
  <c r="BB178" i="5" s="1"/>
  <c r="AX82" i="5"/>
  <c r="AY82" i="5" s="1"/>
  <c r="AZ82" i="5" s="1"/>
  <c r="BB82" i="5" s="1"/>
  <c r="AX170" i="5"/>
  <c r="AY170" i="5" s="1"/>
  <c r="AZ170" i="5" s="1"/>
  <c r="AX76" i="5"/>
  <c r="AX177" i="5"/>
  <c r="AY177" i="5" s="1"/>
  <c r="AZ177" i="5" s="1"/>
  <c r="BB177" i="5" s="1"/>
  <c r="AX184" i="5"/>
  <c r="AY184" i="5" s="1"/>
  <c r="AZ184" i="5" s="1"/>
  <c r="BB184" i="5" s="1"/>
  <c r="AX188" i="5"/>
  <c r="AY188" i="5" s="1"/>
  <c r="AZ188" i="5" s="1"/>
  <c r="BB188" i="5" s="1"/>
  <c r="AX70" i="5"/>
  <c r="AY70" i="5" s="1"/>
  <c r="AZ70" i="5" s="1"/>
  <c r="AX84" i="5"/>
  <c r="AY84" i="5" s="1"/>
  <c r="AZ84" i="5" s="1"/>
  <c r="BB84" i="5" s="1"/>
  <c r="AX190" i="5"/>
  <c r="AX66" i="5"/>
  <c r="AY66" i="5" s="1"/>
  <c r="AZ66" i="5" s="1"/>
  <c r="BB66" i="5" s="1"/>
  <c r="AX185" i="5"/>
  <c r="AY185" i="5" s="1"/>
  <c r="AZ185" i="5" s="1"/>
  <c r="BB185" i="5" s="1"/>
  <c r="AX166" i="5"/>
  <c r="AY166" i="5" s="1"/>
  <c r="AZ166" i="5" s="1"/>
  <c r="AX77" i="5"/>
  <c r="AY77" i="5" s="1"/>
  <c r="AZ77" i="5" s="1"/>
  <c r="BB77" i="5" s="1"/>
  <c r="AX81" i="5"/>
  <c r="AY81" i="5" s="1"/>
  <c r="AZ81" i="5" s="1"/>
  <c r="BB81" i="5" s="1"/>
  <c r="AX57" i="5"/>
  <c r="AY57" i="5" s="1"/>
  <c r="AZ57" i="5" s="1"/>
  <c r="AX40" i="5"/>
  <c r="AY40" i="5" s="1"/>
  <c r="AZ40" i="5" s="1"/>
  <c r="BB40" i="5" s="1"/>
  <c r="AX169" i="5"/>
  <c r="AY169" i="5" s="1"/>
  <c r="AZ169" i="5" s="1"/>
  <c r="BB68" i="5"/>
  <c r="AC177" i="5"/>
  <c r="AH177" i="5" s="1"/>
  <c r="AJ177" i="5" s="1"/>
  <c r="AC80" i="5"/>
  <c r="AC189" i="5"/>
  <c r="AH189" i="5" s="1"/>
  <c r="AJ189" i="5" s="1"/>
  <c r="AC79" i="5"/>
  <c r="AC51" i="5"/>
  <c r="AC175" i="5"/>
  <c r="AH175" i="5" s="1"/>
  <c r="AJ175" i="5" s="1"/>
  <c r="AC68" i="5"/>
  <c r="AC90" i="5"/>
  <c r="AC169" i="5"/>
  <c r="AH169" i="5" s="1"/>
  <c r="AJ169" i="5" s="1"/>
  <c r="AC176" i="5"/>
  <c r="AH176" i="5" s="1"/>
  <c r="AJ176" i="5" s="1"/>
  <c r="AC173" i="5"/>
  <c r="AH173" i="5" s="1"/>
  <c r="AJ173" i="5" s="1"/>
  <c r="AC3" i="5"/>
  <c r="AC191" i="5"/>
  <c r="AH191" i="5" s="1"/>
  <c r="AJ191" i="5" s="1"/>
  <c r="AC78" i="5"/>
  <c r="AC54" i="5"/>
  <c r="AC75" i="5"/>
  <c r="AC40" i="5"/>
  <c r="AC187" i="5"/>
  <c r="AH187" i="5" s="1"/>
  <c r="AJ187" i="5" s="1"/>
  <c r="AC76" i="5"/>
  <c r="AC74" i="5"/>
  <c r="AC190" i="5"/>
  <c r="AH190" i="5" s="1"/>
  <c r="AJ190" i="5" s="1"/>
  <c r="AC5" i="5"/>
  <c r="AC84" i="5"/>
  <c r="AE84" i="5" s="1"/>
  <c r="AC163" i="5"/>
  <c r="AC71" i="5"/>
  <c r="AC65" i="5"/>
  <c r="AC38" i="5"/>
  <c r="AC167" i="5"/>
  <c r="AC67" i="5"/>
  <c r="AC60" i="5"/>
  <c r="AC66" i="5"/>
  <c r="AC87" i="5"/>
  <c r="AC85" i="5"/>
  <c r="AB58" i="5"/>
  <c r="AY39" i="5"/>
  <c r="AZ39" i="5" s="1"/>
  <c r="AB183" i="5"/>
  <c r="AB166" i="5"/>
  <c r="AY164" i="5"/>
  <c r="AZ164" i="5" s="1"/>
  <c r="AB64" i="5"/>
  <c r="AB164" i="5"/>
  <c r="AB61" i="5"/>
  <c r="AB39" i="5"/>
  <c r="AB70" i="5"/>
  <c r="AB170" i="5"/>
  <c r="AB185" i="5"/>
  <c r="AY175" i="5"/>
  <c r="AZ175" i="5" s="1"/>
  <c r="AB159" i="5"/>
  <c r="AP187" i="5"/>
  <c r="AQ187" i="5" s="1"/>
  <c r="AP65" i="5"/>
  <c r="AQ65" i="5" s="1"/>
  <c r="AS65" i="5" s="1"/>
  <c r="AB56" i="5"/>
  <c r="AY163" i="5"/>
  <c r="AZ163" i="5" s="1"/>
  <c r="AB184" i="5"/>
  <c r="AB42" i="5"/>
  <c r="AY58" i="5"/>
  <c r="AZ58" i="5" s="1"/>
  <c r="AB188" i="5"/>
  <c r="AB57" i="5"/>
  <c r="AP184" i="5"/>
  <c r="AQ184" i="5" s="1"/>
  <c r="AS184" i="5" s="1"/>
  <c r="AB73" i="5"/>
  <c r="AB63" i="5"/>
  <c r="AY3" i="5"/>
  <c r="AZ3" i="5" s="1"/>
  <c r="AB52" i="5"/>
  <c r="AB62" i="5"/>
  <c r="AY60" i="5"/>
  <c r="AZ60" i="5" s="1"/>
  <c r="AB59" i="5"/>
  <c r="AB72" i="5"/>
  <c r="AB4" i="5"/>
  <c r="AB147" i="5"/>
  <c r="AB171" i="5"/>
  <c r="AP90" i="5"/>
  <c r="AQ90" i="5" s="1"/>
  <c r="AS90" i="5" s="1"/>
  <c r="AY2" i="5"/>
  <c r="AZ2" i="5" s="1"/>
  <c r="AB2" i="5"/>
  <c r="AB6" i="5"/>
  <c r="AB86" i="5"/>
  <c r="AY86" i="5"/>
  <c r="AZ86" i="5" s="1"/>
  <c r="BB86" i="5" s="1"/>
  <c r="AP189" i="5"/>
  <c r="AQ189" i="5" s="1"/>
  <c r="AS189" i="5" s="1"/>
  <c r="D7" i="9"/>
  <c r="D8" i="9"/>
  <c r="D9" i="9"/>
  <c r="D10" i="9"/>
  <c r="D3" i="9"/>
  <c r="D11" i="9"/>
  <c r="D6" i="9"/>
  <c r="D4" i="9"/>
  <c r="D2" i="9"/>
  <c r="D5" i="9"/>
  <c r="AH65" i="5" l="1"/>
  <c r="AJ65" i="5" s="1"/>
  <c r="AE65" i="5"/>
  <c r="AF65" i="5" s="1"/>
  <c r="AE44" i="5"/>
  <c r="AF44" i="5" s="1"/>
  <c r="AE91" i="5"/>
  <c r="AF91" i="5" s="1"/>
  <c r="AE122" i="5"/>
  <c r="AF122" i="5" s="1"/>
  <c r="AH122" i="5"/>
  <c r="AJ122" i="5" s="1"/>
  <c r="AJ162" i="5"/>
  <c r="AE5" i="5"/>
  <c r="AF5" i="5" s="1"/>
  <c r="AH5" i="5"/>
  <c r="AJ5" i="5" s="1"/>
  <c r="AE127" i="5"/>
  <c r="AF127" i="5" s="1"/>
  <c r="AH127" i="5"/>
  <c r="AJ127" i="5" s="1"/>
  <c r="AH67" i="5"/>
  <c r="AJ67" i="5" s="1"/>
  <c r="AE67" i="5"/>
  <c r="AF67" i="5" s="1"/>
  <c r="AH40" i="5"/>
  <c r="AJ40" i="5" s="1"/>
  <c r="AE40" i="5"/>
  <c r="AF40" i="5" s="1"/>
  <c r="AE85" i="5"/>
  <c r="AF85" i="5" s="1"/>
  <c r="AH85" i="5"/>
  <c r="AJ85" i="5" s="1"/>
  <c r="AE87" i="5"/>
  <c r="AF87" i="5" s="1"/>
  <c r="AH87" i="5"/>
  <c r="AJ87" i="5" s="1"/>
  <c r="AH105" i="5"/>
  <c r="AJ105" i="5" s="1"/>
  <c r="AE105" i="5"/>
  <c r="AF105" i="5" s="1"/>
  <c r="AE119" i="5"/>
  <c r="AF119" i="5" s="1"/>
  <c r="AH119" i="5"/>
  <c r="AJ119" i="5" s="1"/>
  <c r="AH60" i="5"/>
  <c r="AJ60" i="5" s="1"/>
  <c r="AE60" i="5"/>
  <c r="AF60" i="5" s="1"/>
  <c r="AH74" i="5"/>
  <c r="AJ74" i="5" s="1"/>
  <c r="AE74" i="5"/>
  <c r="AF74" i="5" s="1"/>
  <c r="AH75" i="5"/>
  <c r="AJ75" i="5" s="1"/>
  <c r="AE75" i="5"/>
  <c r="AF75" i="5" s="1"/>
  <c r="AE3" i="5"/>
  <c r="AF3" i="5" s="1"/>
  <c r="AH3" i="5"/>
  <c r="AJ3" i="5" s="1"/>
  <c r="AE80" i="5"/>
  <c r="AF80" i="5" s="1"/>
  <c r="AH80" i="5"/>
  <c r="AJ80" i="5" s="1"/>
  <c r="AE117" i="5"/>
  <c r="AF117" i="5" s="1"/>
  <c r="AH117" i="5"/>
  <c r="AJ117" i="5" s="1"/>
  <c r="AH55" i="5"/>
  <c r="AJ55" i="5" s="1"/>
  <c r="AE55" i="5"/>
  <c r="AF55" i="5" s="1"/>
  <c r="AH167" i="5"/>
  <c r="AJ167" i="5" s="1"/>
  <c r="AE167" i="5"/>
  <c r="AF167" i="5" s="1"/>
  <c r="AE71" i="5"/>
  <c r="AF71" i="5" s="1"/>
  <c r="AH71" i="5"/>
  <c r="AJ71" i="5" s="1"/>
  <c r="AH66" i="5"/>
  <c r="AJ66" i="5" s="1"/>
  <c r="AE66" i="5"/>
  <c r="AF66" i="5" s="1"/>
  <c r="AE51" i="5"/>
  <c r="AF51" i="5" s="1"/>
  <c r="AH51" i="5"/>
  <c r="AJ51" i="5" s="1"/>
  <c r="AH69" i="5"/>
  <c r="AJ69" i="5" s="1"/>
  <c r="AE69" i="5"/>
  <c r="AF69" i="5" s="1"/>
  <c r="AE163" i="5"/>
  <c r="AF163" i="5" s="1"/>
  <c r="AH163" i="5"/>
  <c r="AJ163" i="5" s="1"/>
  <c r="AE38" i="5"/>
  <c r="AF38" i="5" s="1"/>
  <c r="AH38" i="5"/>
  <c r="AJ38" i="5" s="1"/>
  <c r="AF84" i="5"/>
  <c r="AH84" i="5"/>
  <c r="AJ84" i="5" s="1"/>
  <c r="AH76" i="5"/>
  <c r="AJ76" i="5" s="1"/>
  <c r="AE76" i="5"/>
  <c r="AF76" i="5" s="1"/>
  <c r="AH54" i="5"/>
  <c r="AJ54" i="5" s="1"/>
  <c r="AE54" i="5"/>
  <c r="AF54" i="5" s="1"/>
  <c r="AE90" i="5"/>
  <c r="AF90" i="5" s="1"/>
  <c r="AH90" i="5"/>
  <c r="AJ90" i="5" s="1"/>
  <c r="AE79" i="5"/>
  <c r="AF79" i="5" s="1"/>
  <c r="AH79" i="5"/>
  <c r="AJ79" i="5" s="1"/>
  <c r="AE78" i="5"/>
  <c r="AF78" i="5" s="1"/>
  <c r="AH78" i="5"/>
  <c r="AJ78" i="5" s="1"/>
  <c r="AE68" i="5"/>
  <c r="AH68" i="5"/>
  <c r="AE109" i="5"/>
  <c r="AF109" i="5" s="1"/>
  <c r="AH109" i="5"/>
  <c r="AJ109" i="5" s="1"/>
  <c r="AH116" i="5"/>
  <c r="AJ116" i="5" s="1"/>
  <c r="AE116" i="5"/>
  <c r="AF116" i="5" s="1"/>
  <c r="AQ75" i="5"/>
  <c r="AS75" i="5" s="1"/>
  <c r="AC115" i="5"/>
  <c r="BB167" i="5"/>
  <c r="BB3" i="5"/>
  <c r="BB62" i="5"/>
  <c r="BB39" i="5"/>
  <c r="BB171" i="5"/>
  <c r="BB159" i="5"/>
  <c r="BB163" i="5"/>
  <c r="BB57" i="5"/>
  <c r="BB87" i="5"/>
  <c r="BB90" i="5"/>
  <c r="BB70" i="5"/>
  <c r="BB183" i="5"/>
  <c r="BB83" i="5"/>
  <c r="BB38" i="5"/>
  <c r="AY76" i="5"/>
  <c r="AZ76" i="5" s="1"/>
  <c r="BB76" i="5" s="1"/>
  <c r="AY190" i="5"/>
  <c r="AZ190" i="5" s="1"/>
  <c r="AC188" i="5"/>
  <c r="AC39" i="5"/>
  <c r="AC59" i="5"/>
  <c r="AC61" i="5"/>
  <c r="AC6" i="5"/>
  <c r="AC73" i="5"/>
  <c r="AC56" i="5"/>
  <c r="AC164" i="5"/>
  <c r="AC171" i="5"/>
  <c r="AH171" i="5" s="1"/>
  <c r="AJ171" i="5" s="1"/>
  <c r="AC42" i="5"/>
  <c r="AC64" i="5"/>
  <c r="AC58" i="5"/>
  <c r="AC185" i="5"/>
  <c r="AC2" i="5"/>
  <c r="AC147" i="5"/>
  <c r="AH147" i="5" s="1"/>
  <c r="AJ147" i="5" s="1"/>
  <c r="AC57" i="5"/>
  <c r="AC184" i="5"/>
  <c r="AC170" i="5"/>
  <c r="AH170" i="5" s="1"/>
  <c r="AJ170" i="5" s="1"/>
  <c r="AC159" i="5"/>
  <c r="AH159" i="5" s="1"/>
  <c r="AJ159" i="5" s="1"/>
  <c r="AC4" i="5"/>
  <c r="AC62" i="5"/>
  <c r="AC70" i="5"/>
  <c r="AC166" i="5"/>
  <c r="AC63" i="5"/>
  <c r="AC86" i="5"/>
  <c r="AC72" i="5"/>
  <c r="AC52" i="5"/>
  <c r="AC183" i="5"/>
  <c r="AH2" i="5" l="1"/>
  <c r="AJ2" i="5" s="1"/>
  <c r="AE2" i="5"/>
  <c r="AF2" i="5" s="1"/>
  <c r="AE58" i="5"/>
  <c r="AF58" i="5" s="1"/>
  <c r="AH58" i="5"/>
  <c r="AJ58" i="5" s="1"/>
  <c r="AH73" i="5"/>
  <c r="AJ73" i="5" s="1"/>
  <c r="AE73" i="5"/>
  <c r="AF73" i="5" s="1"/>
  <c r="AH39" i="5"/>
  <c r="AJ39" i="5" s="1"/>
  <c r="AE39" i="5"/>
  <c r="AF39" i="5" s="1"/>
  <c r="AJ68" i="5"/>
  <c r="AF68" i="5"/>
  <c r="AE72" i="5"/>
  <c r="AF72" i="5" s="1"/>
  <c r="AH72" i="5"/>
  <c r="AJ72" i="5" s="1"/>
  <c r="AE64" i="5"/>
  <c r="AF64" i="5" s="1"/>
  <c r="AH64" i="5"/>
  <c r="AJ64" i="5" s="1"/>
  <c r="AE6" i="5"/>
  <c r="AF6" i="5" s="1"/>
  <c r="AH6" i="5"/>
  <c r="AJ6" i="5" s="1"/>
  <c r="AH183" i="5"/>
  <c r="AJ183" i="5" s="1"/>
  <c r="AE183" i="5"/>
  <c r="AF183" i="5" s="1"/>
  <c r="AH86" i="5"/>
  <c r="AJ86" i="5" s="1"/>
  <c r="AE86" i="5"/>
  <c r="AF86" i="5" s="1"/>
  <c r="AE70" i="5"/>
  <c r="AF70" i="5" s="1"/>
  <c r="AH70" i="5"/>
  <c r="AJ70" i="5" s="1"/>
  <c r="AH184" i="5"/>
  <c r="AJ184" i="5" s="1"/>
  <c r="AE184" i="5"/>
  <c r="AF184" i="5" s="1"/>
  <c r="AH188" i="5"/>
  <c r="AJ188" i="5" s="1"/>
  <c r="AE188" i="5"/>
  <c r="AF188" i="5" s="1"/>
  <c r="AH4" i="5"/>
  <c r="AJ4" i="5" s="1"/>
  <c r="AE4" i="5"/>
  <c r="AF4" i="5" s="1"/>
  <c r="AH57" i="5"/>
  <c r="AJ57" i="5" s="1"/>
  <c r="AE57" i="5"/>
  <c r="AF57" i="5" s="1"/>
  <c r="AE185" i="5"/>
  <c r="AF185" i="5" s="1"/>
  <c r="AH185" i="5"/>
  <c r="AJ185" i="5" s="1"/>
  <c r="AE42" i="5"/>
  <c r="AF42" i="5" s="1"/>
  <c r="AH42" i="5"/>
  <c r="AJ42" i="5" s="1"/>
  <c r="AH164" i="5"/>
  <c r="AJ164" i="5" s="1"/>
  <c r="AE164" i="5"/>
  <c r="AF164" i="5" s="1"/>
  <c r="AE61" i="5"/>
  <c r="AF61" i="5" s="1"/>
  <c r="AH61" i="5"/>
  <c r="AJ61" i="5" s="1"/>
  <c r="AE166" i="5"/>
  <c r="AF166" i="5" s="1"/>
  <c r="AH166" i="5"/>
  <c r="AJ166" i="5" s="1"/>
  <c r="AH52" i="5"/>
  <c r="AJ52" i="5" s="1"/>
  <c r="AE52" i="5"/>
  <c r="AF52" i="5" s="1"/>
  <c r="AH63" i="5"/>
  <c r="AJ63" i="5" s="1"/>
  <c r="AE63" i="5"/>
  <c r="AF63" i="5" s="1"/>
  <c r="AH56" i="5"/>
  <c r="AJ56" i="5" s="1"/>
  <c r="AE56" i="5"/>
  <c r="AF56" i="5" s="1"/>
  <c r="AH59" i="5"/>
  <c r="AJ59" i="5" s="1"/>
  <c r="AE59" i="5"/>
  <c r="AF59" i="5" s="1"/>
  <c r="AH115" i="5"/>
  <c r="AJ115" i="5" s="1"/>
  <c r="AE115" i="5"/>
  <c r="AF115" i="5" s="1"/>
  <c r="AH62" i="5"/>
  <c r="AJ62" i="5" s="1"/>
  <c r="AE62" i="5"/>
  <c r="AF62" i="5" s="1"/>
  <c r="BB170" i="5"/>
  <c r="BB190" i="5"/>
  <c r="L112" i="5"/>
  <c r="P174" i="5" l="1"/>
  <c r="AA174" i="5" s="1"/>
  <c r="V174" i="5"/>
  <c r="AX174" i="5" s="1"/>
  <c r="AY174" i="5" s="1"/>
  <c r="AZ174" i="5" s="1"/>
  <c r="BB174" i="5" s="1"/>
  <c r="S174" i="5"/>
  <c r="AO174" i="5" s="1"/>
  <c r="AP174" i="5" s="1"/>
  <c r="AQ174" i="5" s="1"/>
  <c r="AS174" i="5" s="1"/>
  <c r="V92" i="5"/>
  <c r="AX92" i="5" s="1"/>
  <c r="AY92" i="5" s="1"/>
  <c r="AZ92" i="5" s="1"/>
  <c r="BB92" i="5" s="1"/>
  <c r="S92" i="5"/>
  <c r="AO92" i="5" s="1"/>
  <c r="AP92" i="5" s="1"/>
  <c r="AQ92" i="5" s="1"/>
  <c r="AS92" i="5" s="1"/>
  <c r="P92" i="5"/>
  <c r="AA92" i="5" s="1"/>
  <c r="S112" i="5"/>
  <c r="AO112" i="5" s="1"/>
  <c r="AP112" i="5" s="1"/>
  <c r="AQ112" i="5" s="1"/>
  <c r="AS112" i="5" s="1"/>
  <c r="V96" i="5"/>
  <c r="AX96" i="5" s="1"/>
  <c r="AY96" i="5" s="1"/>
  <c r="AZ96" i="5" s="1"/>
  <c r="BB96" i="5" s="1"/>
  <c r="P96" i="5"/>
  <c r="AA96" i="5" s="1"/>
  <c r="L21" i="5"/>
  <c r="L31" i="5"/>
  <c r="L155" i="5"/>
  <c r="L49" i="5"/>
  <c r="L48" i="5"/>
  <c r="L33" i="5"/>
  <c r="L45" i="5"/>
  <c r="L46" i="5"/>
  <c r="L160" i="5"/>
  <c r="L157" i="5"/>
  <c r="L161" i="5"/>
  <c r="L153" i="5"/>
  <c r="L15" i="5"/>
  <c r="L7" i="5"/>
  <c r="L20" i="5"/>
  <c r="L158" i="5"/>
  <c r="L53" i="5"/>
  <c r="L27" i="5"/>
  <c r="L168" i="5"/>
  <c r="L19" i="5"/>
  <c r="L156" i="5"/>
  <c r="L30" i="5"/>
  <c r="L32" i="5"/>
  <c r="L16" i="5"/>
  <c r="L35" i="5"/>
  <c r="L186" i="5"/>
  <c r="L149" i="5"/>
  <c r="L17" i="5"/>
  <c r="L34" i="5"/>
  <c r="L154" i="5"/>
  <c r="L47" i="5"/>
  <c r="V112" i="5"/>
  <c r="AX112" i="5" s="1"/>
  <c r="P112" i="5"/>
  <c r="AA112" i="5" s="1"/>
  <c r="V13" i="5" l="1"/>
  <c r="AX13" i="5" s="1"/>
  <c r="AY13" i="5" s="1"/>
  <c r="AZ13" i="5" s="1"/>
  <c r="BB13" i="5" s="1"/>
  <c r="S13" i="5"/>
  <c r="AO13" i="5" s="1"/>
  <c r="AP13" i="5" s="1"/>
  <c r="AQ13" i="5" s="1"/>
  <c r="AS13" i="5" s="1"/>
  <c r="P13" i="5"/>
  <c r="AA13" i="5" s="1"/>
  <c r="AB174" i="5"/>
  <c r="AC174" i="5" s="1"/>
  <c r="AH174" i="5" s="1"/>
  <c r="AJ174" i="5" s="1"/>
  <c r="P88" i="5"/>
  <c r="AA88" i="5" s="1"/>
  <c r="V88" i="5"/>
  <c r="AX88" i="5" s="1"/>
  <c r="S88" i="5"/>
  <c r="AO88" i="5" s="1"/>
  <c r="AP88" i="5" s="1"/>
  <c r="AQ88" i="5" s="1"/>
  <c r="AS88" i="5" s="1"/>
  <c r="P146" i="5"/>
  <c r="AA146" i="5" s="1"/>
  <c r="S146" i="5"/>
  <c r="AO146" i="5" s="1"/>
  <c r="AP146" i="5" s="1"/>
  <c r="AQ146" i="5" s="1"/>
  <c r="AS146" i="5" s="1"/>
  <c r="V146" i="5"/>
  <c r="AX146" i="5" s="1"/>
  <c r="AY146" i="5" s="1"/>
  <c r="AZ146" i="5" s="1"/>
  <c r="BB146" i="5" s="1"/>
  <c r="P9" i="5"/>
  <c r="AA9" i="5" s="1"/>
  <c r="S9" i="5"/>
  <c r="AO9" i="5" s="1"/>
  <c r="AP9" i="5" s="1"/>
  <c r="AQ9" i="5" s="1"/>
  <c r="AS9" i="5" s="1"/>
  <c r="V9" i="5"/>
  <c r="AX9" i="5" s="1"/>
  <c r="AY9" i="5" s="1"/>
  <c r="AZ9" i="5" s="1"/>
  <c r="V151" i="5"/>
  <c r="AX151" i="5" s="1"/>
  <c r="AY151" i="5" s="1"/>
  <c r="AZ151" i="5" s="1"/>
  <c r="P151" i="5"/>
  <c r="AA151" i="5" s="1"/>
  <c r="S151" i="5"/>
  <c r="AO151" i="5" s="1"/>
  <c r="AP151" i="5" s="1"/>
  <c r="AQ151" i="5" s="1"/>
  <c r="AS151" i="5" s="1"/>
  <c r="S94" i="5"/>
  <c r="AO94" i="5" s="1"/>
  <c r="AP94" i="5" s="1"/>
  <c r="AQ94" i="5" s="1"/>
  <c r="AS94" i="5" s="1"/>
  <c r="P94" i="5"/>
  <c r="AA94" i="5" s="1"/>
  <c r="V94" i="5"/>
  <c r="AX94" i="5" s="1"/>
  <c r="AY94" i="5" s="1"/>
  <c r="AZ94" i="5" s="1"/>
  <c r="BB94" i="5" s="1"/>
  <c r="S96" i="5"/>
  <c r="AO96" i="5" s="1"/>
  <c r="AP96" i="5" s="1"/>
  <c r="AQ96" i="5" s="1"/>
  <c r="AS96" i="5" s="1"/>
  <c r="V93" i="5"/>
  <c r="AX93" i="5" s="1"/>
  <c r="AY93" i="5" s="1"/>
  <c r="AZ93" i="5" s="1"/>
  <c r="BB93" i="5" s="1"/>
  <c r="P93" i="5"/>
  <c r="AA93" i="5" s="1"/>
  <c r="S93" i="5"/>
  <c r="AO93" i="5" s="1"/>
  <c r="AP93" i="5" s="1"/>
  <c r="AQ93" i="5" s="1"/>
  <c r="AS93" i="5" s="1"/>
  <c r="P89" i="5"/>
  <c r="AA89" i="5" s="1"/>
  <c r="S89" i="5"/>
  <c r="AO89" i="5" s="1"/>
  <c r="AP89" i="5" s="1"/>
  <c r="AQ89" i="5" s="1"/>
  <c r="AS89" i="5" s="1"/>
  <c r="V89" i="5"/>
  <c r="S8" i="5"/>
  <c r="AO8" i="5" s="1"/>
  <c r="AP8" i="5" s="1"/>
  <c r="AQ8" i="5" s="1"/>
  <c r="AS8" i="5" s="1"/>
  <c r="P8" i="5"/>
  <c r="AA8" i="5" s="1"/>
  <c r="V8" i="5"/>
  <c r="AX8" i="5" s="1"/>
  <c r="AY8" i="5" s="1"/>
  <c r="AZ8" i="5" s="1"/>
  <c r="BB8" i="5" s="1"/>
  <c r="P113" i="5"/>
  <c r="AA113" i="5" s="1"/>
  <c r="V113" i="5"/>
  <c r="S113" i="5"/>
  <c r="AO113" i="5" s="1"/>
  <c r="AP113" i="5" s="1"/>
  <c r="AQ113" i="5" s="1"/>
  <c r="AS113" i="5" s="1"/>
  <c r="V95" i="5"/>
  <c r="AX95" i="5" s="1"/>
  <c r="AY95" i="5" s="1"/>
  <c r="AZ95" i="5" s="1"/>
  <c r="S95" i="5"/>
  <c r="AO95" i="5" s="1"/>
  <c r="AP95" i="5" s="1"/>
  <c r="AQ95" i="5" s="1"/>
  <c r="AS95" i="5" s="1"/>
  <c r="P95" i="5"/>
  <c r="AA95" i="5" s="1"/>
  <c r="S179" i="5"/>
  <c r="AO179" i="5" s="1"/>
  <c r="AP179" i="5" s="1"/>
  <c r="AQ179" i="5" s="1"/>
  <c r="AS179" i="5" s="1"/>
  <c r="V179" i="5"/>
  <c r="AX179" i="5" s="1"/>
  <c r="AY179" i="5" s="1"/>
  <c r="AZ179" i="5" s="1"/>
  <c r="BB179" i="5" s="1"/>
  <c r="P179" i="5"/>
  <c r="AA179" i="5" s="1"/>
  <c r="V98" i="5"/>
  <c r="AX98" i="5" s="1"/>
  <c r="AY98" i="5" s="1"/>
  <c r="AZ98" i="5" s="1"/>
  <c r="BB98" i="5" s="1"/>
  <c r="P98" i="5"/>
  <c r="AA98" i="5" s="1"/>
  <c r="S98" i="5"/>
  <c r="AO98" i="5" s="1"/>
  <c r="AP98" i="5" s="1"/>
  <c r="AQ98" i="5" s="1"/>
  <c r="AS98" i="5" s="1"/>
  <c r="P152" i="5"/>
  <c r="AA152" i="5" s="1"/>
  <c r="V152" i="5"/>
  <c r="AX152" i="5" s="1"/>
  <c r="AY152" i="5" s="1"/>
  <c r="AZ152" i="5" s="1"/>
  <c r="S152" i="5"/>
  <c r="AO152" i="5" s="1"/>
  <c r="AP152" i="5" s="1"/>
  <c r="AQ152" i="5" s="1"/>
  <c r="AS152" i="5" s="1"/>
  <c r="S97" i="5"/>
  <c r="AO97" i="5" s="1"/>
  <c r="AP97" i="5" s="1"/>
  <c r="AQ97" i="5" s="1"/>
  <c r="AS97" i="5" s="1"/>
  <c r="P97" i="5"/>
  <c r="AA97" i="5" s="1"/>
  <c r="V97" i="5"/>
  <c r="AX97" i="5" s="1"/>
  <c r="AY97" i="5" s="1"/>
  <c r="AZ97" i="5" s="1"/>
  <c r="V181" i="5"/>
  <c r="AX181" i="5" s="1"/>
  <c r="AY181" i="5" s="1"/>
  <c r="AZ181" i="5" s="1"/>
  <c r="BB181" i="5" s="1"/>
  <c r="P181" i="5"/>
  <c r="AA181" i="5" s="1"/>
  <c r="S181" i="5"/>
  <c r="AO181" i="5" s="1"/>
  <c r="AP181" i="5" s="1"/>
  <c r="AQ181" i="5" s="1"/>
  <c r="AS181" i="5" s="1"/>
  <c r="AB92" i="5"/>
  <c r="AC92" i="5" s="1"/>
  <c r="V121" i="5"/>
  <c r="AX121" i="5" s="1"/>
  <c r="AY121" i="5" s="1"/>
  <c r="AZ121" i="5" s="1"/>
  <c r="BB121" i="5" s="1"/>
  <c r="P121" i="5"/>
  <c r="AA121" i="5" s="1"/>
  <c r="S121" i="5"/>
  <c r="AO121" i="5" s="1"/>
  <c r="AP121" i="5" s="1"/>
  <c r="AQ121" i="5" s="1"/>
  <c r="AS121" i="5" s="1"/>
  <c r="S114" i="5"/>
  <c r="AO114" i="5" s="1"/>
  <c r="AP114" i="5" s="1"/>
  <c r="AQ114" i="5" s="1"/>
  <c r="AS114" i="5" s="1"/>
  <c r="V114" i="5"/>
  <c r="AX114" i="5" s="1"/>
  <c r="AY114" i="5" s="1"/>
  <c r="AZ114" i="5" s="1"/>
  <c r="BB114" i="5" s="1"/>
  <c r="P114" i="5"/>
  <c r="AA114" i="5" s="1"/>
  <c r="P26" i="5"/>
  <c r="AA26" i="5" s="1"/>
  <c r="S26" i="5"/>
  <c r="AO26" i="5" s="1"/>
  <c r="AP26" i="5" s="1"/>
  <c r="AQ26" i="5" s="1"/>
  <c r="AS26" i="5" s="1"/>
  <c r="V26" i="5"/>
  <c r="AX26" i="5" s="1"/>
  <c r="AY26" i="5" s="1"/>
  <c r="AZ26" i="5" s="1"/>
  <c r="BB26" i="5" s="1"/>
  <c r="S180" i="5"/>
  <c r="AO180" i="5" s="1"/>
  <c r="AP180" i="5" s="1"/>
  <c r="AQ180" i="5" s="1"/>
  <c r="AS180" i="5" s="1"/>
  <c r="V180" i="5"/>
  <c r="AX180" i="5" s="1"/>
  <c r="AY180" i="5" s="1"/>
  <c r="AZ180" i="5" s="1"/>
  <c r="BB180" i="5" s="1"/>
  <c r="P180" i="5"/>
  <c r="AA180" i="5" s="1"/>
  <c r="V14" i="5"/>
  <c r="S14" i="5"/>
  <c r="AO14" i="5" s="1"/>
  <c r="AP14" i="5" s="1"/>
  <c r="AQ14" i="5" s="1"/>
  <c r="AS14" i="5" s="1"/>
  <c r="P14" i="5"/>
  <c r="AA14" i="5" s="1"/>
  <c r="S124" i="5"/>
  <c r="AO124" i="5" s="1"/>
  <c r="AP124" i="5" s="1"/>
  <c r="AQ124" i="5" s="1"/>
  <c r="AS124" i="5" s="1"/>
  <c r="P124" i="5"/>
  <c r="AA124" i="5" s="1"/>
  <c r="V124" i="5"/>
  <c r="AX124" i="5" s="1"/>
  <c r="AY124" i="5" s="1"/>
  <c r="AZ124" i="5" s="1"/>
  <c r="BB124" i="5" s="1"/>
  <c r="P22" i="5"/>
  <c r="AA22" i="5" s="1"/>
  <c r="V22" i="5"/>
  <c r="AX22" i="5" s="1"/>
  <c r="AY22" i="5" s="1"/>
  <c r="AZ22" i="5" s="1"/>
  <c r="BB22" i="5" s="1"/>
  <c r="S22" i="5"/>
  <c r="AO22" i="5" s="1"/>
  <c r="AP22" i="5" s="1"/>
  <c r="AQ22" i="5" s="1"/>
  <c r="AS22" i="5" s="1"/>
  <c r="P41" i="5"/>
  <c r="AA41" i="5" s="1"/>
  <c r="V41" i="5"/>
  <c r="AX41" i="5" s="1"/>
  <c r="AY41" i="5" s="1"/>
  <c r="AZ41" i="5" s="1"/>
  <c r="BB41" i="5" s="1"/>
  <c r="S41" i="5"/>
  <c r="AO41" i="5" s="1"/>
  <c r="AP41" i="5" s="1"/>
  <c r="AQ41" i="5" s="1"/>
  <c r="AS41" i="5" s="1"/>
  <c r="V150" i="5"/>
  <c r="P150" i="5"/>
  <c r="AA150" i="5" s="1"/>
  <c r="S150" i="5"/>
  <c r="AO150" i="5" s="1"/>
  <c r="AP150" i="5" s="1"/>
  <c r="AQ150" i="5" s="1"/>
  <c r="AS150" i="5" s="1"/>
  <c r="V110" i="5"/>
  <c r="AX110" i="5" s="1"/>
  <c r="AY110" i="5" s="1"/>
  <c r="AZ110" i="5" s="1"/>
  <c r="BB110" i="5" s="1"/>
  <c r="P110" i="5"/>
  <c r="AA110" i="5" s="1"/>
  <c r="S110" i="5"/>
  <c r="AO110" i="5" s="1"/>
  <c r="S12" i="5"/>
  <c r="AO12" i="5" s="1"/>
  <c r="AP12" i="5" s="1"/>
  <c r="AQ12" i="5" s="1"/>
  <c r="AS12" i="5" s="1"/>
  <c r="V12" i="5"/>
  <c r="AX12" i="5" s="1"/>
  <c r="AY12" i="5" s="1"/>
  <c r="AZ12" i="5" s="1"/>
  <c r="P12" i="5"/>
  <c r="AA12" i="5" s="1"/>
  <c r="P108" i="5"/>
  <c r="AA108" i="5" s="1"/>
  <c r="V108" i="5"/>
  <c r="AX108" i="5" s="1"/>
  <c r="AY108" i="5" s="1"/>
  <c r="AZ108" i="5" s="1"/>
  <c r="BB108" i="5" s="1"/>
  <c r="S108" i="5"/>
  <c r="AO108" i="5" s="1"/>
  <c r="AP108" i="5" s="1"/>
  <c r="AQ108" i="5" s="1"/>
  <c r="AS108" i="5" s="1"/>
  <c r="P11" i="5"/>
  <c r="AA11" i="5" s="1"/>
  <c r="V11" i="5"/>
  <c r="AX11" i="5" s="1"/>
  <c r="AY11" i="5" s="1"/>
  <c r="AZ11" i="5" s="1"/>
  <c r="S11" i="5"/>
  <c r="AO11" i="5" s="1"/>
  <c r="AP11" i="5" s="1"/>
  <c r="AQ11" i="5" s="1"/>
  <c r="AS11" i="5" s="1"/>
  <c r="S43" i="5"/>
  <c r="AO43" i="5" s="1"/>
  <c r="AP43" i="5" s="1"/>
  <c r="AQ43" i="5" s="1"/>
  <c r="AS43" i="5" s="1"/>
  <c r="V43" i="5"/>
  <c r="P43" i="5"/>
  <c r="AA43" i="5" s="1"/>
  <c r="S118" i="5"/>
  <c r="AO118" i="5" s="1"/>
  <c r="AP118" i="5" s="1"/>
  <c r="AQ118" i="5" s="1"/>
  <c r="AS118" i="5" s="1"/>
  <c r="V118" i="5"/>
  <c r="AX118" i="5" s="1"/>
  <c r="AY118" i="5" s="1"/>
  <c r="AZ118" i="5" s="1"/>
  <c r="BB118" i="5" s="1"/>
  <c r="P118" i="5"/>
  <c r="AA118" i="5" s="1"/>
  <c r="P125" i="5"/>
  <c r="AA125" i="5" s="1"/>
  <c r="S125" i="5"/>
  <c r="AO125" i="5" s="1"/>
  <c r="V125" i="5"/>
  <c r="AX125" i="5" s="1"/>
  <c r="AY125" i="5" s="1"/>
  <c r="AZ125" i="5" s="1"/>
  <c r="BB125" i="5" s="1"/>
  <c r="P123" i="5"/>
  <c r="AA123" i="5" s="1"/>
  <c r="V123" i="5"/>
  <c r="AX123" i="5" s="1"/>
  <c r="AY123" i="5" s="1"/>
  <c r="AZ123" i="5" s="1"/>
  <c r="BB123" i="5" s="1"/>
  <c r="S123" i="5"/>
  <c r="AO123" i="5" s="1"/>
  <c r="AP123" i="5" s="1"/>
  <c r="AQ123" i="5" s="1"/>
  <c r="AS123" i="5" s="1"/>
  <c r="V36" i="5"/>
  <c r="AX36" i="5" s="1"/>
  <c r="AY36" i="5" s="1"/>
  <c r="AZ36" i="5" s="1"/>
  <c r="S36" i="5"/>
  <c r="AO36" i="5" s="1"/>
  <c r="AP36" i="5" s="1"/>
  <c r="AQ36" i="5" s="1"/>
  <c r="AS36" i="5" s="1"/>
  <c r="P36" i="5"/>
  <c r="AA36" i="5" s="1"/>
  <c r="AB96" i="5"/>
  <c r="P104" i="5"/>
  <c r="AA104" i="5" s="1"/>
  <c r="V104" i="5"/>
  <c r="AX104" i="5" s="1"/>
  <c r="AY104" i="5" s="1"/>
  <c r="AZ104" i="5" s="1"/>
  <c r="BB104" i="5" s="1"/>
  <c r="S104" i="5"/>
  <c r="AO104" i="5" s="1"/>
  <c r="AP104" i="5" s="1"/>
  <c r="AQ104" i="5" s="1"/>
  <c r="AS104" i="5" s="1"/>
  <c r="V28" i="5"/>
  <c r="S28" i="5"/>
  <c r="AO28" i="5" s="1"/>
  <c r="AP28" i="5" s="1"/>
  <c r="AQ28" i="5" s="1"/>
  <c r="AS28" i="5" s="1"/>
  <c r="P28" i="5"/>
  <c r="AA28" i="5" s="1"/>
  <c r="S18" i="5"/>
  <c r="AO18" i="5" s="1"/>
  <c r="AP18" i="5" s="1"/>
  <c r="AQ18" i="5" s="1"/>
  <c r="AS18" i="5" s="1"/>
  <c r="P18" i="5"/>
  <c r="AA18" i="5" s="1"/>
  <c r="V18" i="5"/>
  <c r="AX18" i="5" s="1"/>
  <c r="AY18" i="5" s="1"/>
  <c r="AZ18" i="5" s="1"/>
  <c r="S107" i="5"/>
  <c r="AO107" i="5" s="1"/>
  <c r="AP107" i="5" s="1"/>
  <c r="AQ107" i="5" s="1"/>
  <c r="AS107" i="5" s="1"/>
  <c r="V107" i="5"/>
  <c r="AX107" i="5" s="1"/>
  <c r="AY107" i="5" s="1"/>
  <c r="AZ107" i="5" s="1"/>
  <c r="BB107" i="5" s="1"/>
  <c r="P107" i="5"/>
  <c r="AA107" i="5" s="1"/>
  <c r="S29" i="5"/>
  <c r="AO29" i="5" s="1"/>
  <c r="AP29" i="5" s="1"/>
  <c r="AQ29" i="5" s="1"/>
  <c r="AS29" i="5" s="1"/>
  <c r="V29" i="5"/>
  <c r="P29" i="5"/>
  <c r="AA29" i="5" s="1"/>
  <c r="S120" i="5"/>
  <c r="AO120" i="5" s="1"/>
  <c r="AP120" i="5" s="1"/>
  <c r="AQ120" i="5" s="1"/>
  <c r="AS120" i="5" s="1"/>
  <c r="P120" i="5"/>
  <c r="AA120" i="5" s="1"/>
  <c r="V120" i="5"/>
  <c r="AX120" i="5" s="1"/>
  <c r="AY120" i="5" s="1"/>
  <c r="AZ120" i="5" s="1"/>
  <c r="BB120" i="5" s="1"/>
  <c r="S10" i="5"/>
  <c r="AO10" i="5" s="1"/>
  <c r="AP10" i="5" s="1"/>
  <c r="AQ10" i="5" s="1"/>
  <c r="AS10" i="5" s="1"/>
  <c r="V10" i="5"/>
  <c r="AX10" i="5" s="1"/>
  <c r="AY10" i="5" s="1"/>
  <c r="AZ10" i="5" s="1"/>
  <c r="P10" i="5"/>
  <c r="AA10" i="5" s="1"/>
  <c r="S111" i="5"/>
  <c r="AO111" i="5" s="1"/>
  <c r="AP111" i="5" s="1"/>
  <c r="AQ111" i="5" s="1"/>
  <c r="AS111" i="5" s="1"/>
  <c r="P111" i="5"/>
  <c r="AA111" i="5" s="1"/>
  <c r="V111" i="5"/>
  <c r="AX111" i="5" s="1"/>
  <c r="AY111" i="5" s="1"/>
  <c r="AZ111" i="5" s="1"/>
  <c r="BB111" i="5" s="1"/>
  <c r="S20" i="5"/>
  <c r="AO20" i="5" s="1"/>
  <c r="AP20" i="5" s="1"/>
  <c r="AQ20" i="5" s="1"/>
  <c r="AS20" i="5" s="1"/>
  <c r="V20" i="5"/>
  <c r="P20" i="5"/>
  <c r="AA20" i="5" s="1"/>
  <c r="V27" i="5"/>
  <c r="S27" i="5"/>
  <c r="AO27" i="5" s="1"/>
  <c r="AP27" i="5" s="1"/>
  <c r="AQ27" i="5" s="1"/>
  <c r="AS27" i="5" s="1"/>
  <c r="P27" i="5"/>
  <c r="AA27" i="5" s="1"/>
  <c r="AB27" i="5" s="1"/>
  <c r="P157" i="5"/>
  <c r="AA157" i="5" s="1"/>
  <c r="AB157" i="5" s="1"/>
  <c r="V157" i="5"/>
  <c r="S157" i="5"/>
  <c r="AO157" i="5" s="1"/>
  <c r="AP157" i="5" s="1"/>
  <c r="AQ157" i="5" s="1"/>
  <c r="AS157" i="5" s="1"/>
  <c r="S49" i="5"/>
  <c r="AO49" i="5" s="1"/>
  <c r="AP49" i="5" s="1"/>
  <c r="AQ49" i="5" s="1"/>
  <c r="AS49" i="5" s="1"/>
  <c r="V49" i="5"/>
  <c r="P49" i="5"/>
  <c r="AA49" i="5" s="1"/>
  <c r="AB49" i="5" s="1"/>
  <c r="S17" i="5"/>
  <c r="AO17" i="5" s="1"/>
  <c r="AP17" i="5" s="1"/>
  <c r="AQ17" i="5" s="1"/>
  <c r="AS17" i="5" s="1"/>
  <c r="V17" i="5"/>
  <c r="P17" i="5"/>
  <c r="AA17" i="5" s="1"/>
  <c r="AB17" i="5" s="1"/>
  <c r="V186" i="5"/>
  <c r="P186" i="5"/>
  <c r="AA186" i="5" s="1"/>
  <c r="AB186" i="5" s="1"/>
  <c r="S186" i="5"/>
  <c r="AO186" i="5" s="1"/>
  <c r="AP186" i="5" s="1"/>
  <c r="AQ186" i="5" s="1"/>
  <c r="AS186" i="5" s="1"/>
  <c r="S46" i="5"/>
  <c r="AO46" i="5" s="1"/>
  <c r="AP46" i="5" s="1"/>
  <c r="AQ46" i="5" s="1"/>
  <c r="AS46" i="5" s="1"/>
  <c r="P46" i="5"/>
  <c r="AA46" i="5" s="1"/>
  <c r="AB46" i="5" s="1"/>
  <c r="V46" i="5"/>
  <c r="V47" i="5"/>
  <c r="P47" i="5"/>
  <c r="AA47" i="5" s="1"/>
  <c r="AB47" i="5" s="1"/>
  <c r="S47" i="5"/>
  <c r="AO47" i="5" s="1"/>
  <c r="AP47" i="5" s="1"/>
  <c r="AQ47" i="5" s="1"/>
  <c r="AS47" i="5" s="1"/>
  <c r="P149" i="5"/>
  <c r="AA149" i="5" s="1"/>
  <c r="V149" i="5"/>
  <c r="AX149" i="5" s="1"/>
  <c r="AY149" i="5" s="1"/>
  <c r="AZ149" i="5" s="1"/>
  <c r="S149" i="5"/>
  <c r="AO149" i="5" s="1"/>
  <c r="AP149" i="5" s="1"/>
  <c r="AQ149" i="5" s="1"/>
  <c r="AS149" i="5" s="1"/>
  <c r="P34" i="5"/>
  <c r="AA34" i="5" s="1"/>
  <c r="AB34" i="5" s="1"/>
  <c r="S34" i="5"/>
  <c r="AO34" i="5" s="1"/>
  <c r="AP34" i="5" s="1"/>
  <c r="AQ34" i="5" s="1"/>
  <c r="AS34" i="5" s="1"/>
  <c r="V34" i="5"/>
  <c r="AX34" i="5" s="1"/>
  <c r="AY34" i="5" s="1"/>
  <c r="AZ34" i="5" s="1"/>
  <c r="V45" i="5"/>
  <c r="S45" i="5"/>
  <c r="AO45" i="5" s="1"/>
  <c r="AP45" i="5" s="1"/>
  <c r="AQ45" i="5" s="1"/>
  <c r="AS45" i="5" s="1"/>
  <c r="P45" i="5"/>
  <c r="AA45" i="5" s="1"/>
  <c r="AB45" i="5" s="1"/>
  <c r="S161" i="5"/>
  <c r="AO161" i="5" s="1"/>
  <c r="AP161" i="5" s="1"/>
  <c r="AQ161" i="5" s="1"/>
  <c r="AS161" i="5" s="1"/>
  <c r="V161" i="5"/>
  <c r="AX161" i="5" s="1"/>
  <c r="AY161" i="5" s="1"/>
  <c r="AZ161" i="5" s="1"/>
  <c r="P161" i="5"/>
  <c r="AA161" i="5" s="1"/>
  <c r="AB161" i="5" s="1"/>
  <c r="P48" i="5"/>
  <c r="AA48" i="5" s="1"/>
  <c r="AB48" i="5" s="1"/>
  <c r="V48" i="5"/>
  <c r="S48" i="5"/>
  <c r="AO48" i="5" s="1"/>
  <c r="AP48" i="5" s="1"/>
  <c r="AQ48" i="5" s="1"/>
  <c r="AS48" i="5" s="1"/>
  <c r="S156" i="5"/>
  <c r="AO156" i="5" s="1"/>
  <c r="AP156" i="5" s="1"/>
  <c r="AQ156" i="5" s="1"/>
  <c r="AS156" i="5" s="1"/>
  <c r="P156" i="5"/>
  <c r="AA156" i="5" s="1"/>
  <c r="AB156" i="5" s="1"/>
  <c r="V156" i="5"/>
  <c r="V19" i="5"/>
  <c r="S19" i="5"/>
  <c r="AO19" i="5" s="1"/>
  <c r="AP19" i="5" s="1"/>
  <c r="AQ19" i="5" s="1"/>
  <c r="AS19" i="5" s="1"/>
  <c r="P19" i="5"/>
  <c r="AA19" i="5" s="1"/>
  <c r="AB19" i="5" s="1"/>
  <c r="P23" i="5"/>
  <c r="AA23" i="5" s="1"/>
  <c r="AB23" i="5" s="1"/>
  <c r="S23" i="5"/>
  <c r="AO23" i="5" s="1"/>
  <c r="AP23" i="5" s="1"/>
  <c r="AQ23" i="5" s="1"/>
  <c r="AS23" i="5" s="1"/>
  <c r="V23" i="5"/>
  <c r="P160" i="5"/>
  <c r="AA160" i="5" s="1"/>
  <c r="AB160" i="5" s="1"/>
  <c r="V160" i="5"/>
  <c r="S160" i="5"/>
  <c r="AO160" i="5" s="1"/>
  <c r="AP160" i="5" s="1"/>
  <c r="AQ160" i="5" s="1"/>
  <c r="AS160" i="5" s="1"/>
  <c r="S7" i="5"/>
  <c r="AO7" i="5" s="1"/>
  <c r="AP7" i="5" s="1"/>
  <c r="AQ7" i="5" s="1"/>
  <c r="AS7" i="5" s="1"/>
  <c r="P7" i="5"/>
  <c r="AA7" i="5" s="1"/>
  <c r="AB7" i="5" s="1"/>
  <c r="V7" i="5"/>
  <c r="AX7" i="5" s="1"/>
  <c r="AY7" i="5" s="1"/>
  <c r="AZ7" i="5" s="1"/>
  <c r="S155" i="5"/>
  <c r="AO155" i="5" s="1"/>
  <c r="AP155" i="5" s="1"/>
  <c r="AQ155" i="5" s="1"/>
  <c r="AS155" i="5" s="1"/>
  <c r="V155" i="5"/>
  <c r="AX155" i="5" s="1"/>
  <c r="P155" i="5"/>
  <c r="AA155" i="5" s="1"/>
  <c r="AB155" i="5" s="1"/>
  <c r="P37" i="5"/>
  <c r="AA37" i="5" s="1"/>
  <c r="AB37" i="5" s="1"/>
  <c r="V37" i="5"/>
  <c r="S37" i="5"/>
  <c r="AO37" i="5" s="1"/>
  <c r="AP37" i="5" s="1"/>
  <c r="AQ37" i="5" s="1"/>
  <c r="AS37" i="5" s="1"/>
  <c r="V33" i="5"/>
  <c r="AX33" i="5" s="1"/>
  <c r="AY33" i="5" s="1"/>
  <c r="AZ33" i="5" s="1"/>
  <c r="S33" i="5"/>
  <c r="AO33" i="5" s="1"/>
  <c r="AP33" i="5" s="1"/>
  <c r="AQ33" i="5" s="1"/>
  <c r="AS33" i="5" s="1"/>
  <c r="P33" i="5"/>
  <c r="AA33" i="5" s="1"/>
  <c r="AB33" i="5" s="1"/>
  <c r="V31" i="5"/>
  <c r="P31" i="5"/>
  <c r="AA31" i="5" s="1"/>
  <c r="AB31" i="5" s="1"/>
  <c r="S31" i="5"/>
  <c r="AO31" i="5" s="1"/>
  <c r="AP31" i="5" s="1"/>
  <c r="AQ31" i="5" s="1"/>
  <c r="AS31" i="5" s="1"/>
  <c r="V15" i="5"/>
  <c r="S15" i="5"/>
  <c r="AO15" i="5" s="1"/>
  <c r="AP15" i="5" s="1"/>
  <c r="AQ15" i="5" s="1"/>
  <c r="AS15" i="5" s="1"/>
  <c r="P15" i="5"/>
  <c r="AA15" i="5" s="1"/>
  <c r="AB15" i="5" s="1"/>
  <c r="V53" i="5"/>
  <c r="P53" i="5"/>
  <c r="AA53" i="5" s="1"/>
  <c r="AB53" i="5" s="1"/>
  <c r="S53" i="5"/>
  <c r="AO53" i="5" s="1"/>
  <c r="AP53" i="5" s="1"/>
  <c r="AQ53" i="5" s="1"/>
  <c r="AS53" i="5" s="1"/>
  <c r="S35" i="5"/>
  <c r="AO35" i="5" s="1"/>
  <c r="AP35" i="5" s="1"/>
  <c r="AQ35" i="5" s="1"/>
  <c r="AS35" i="5" s="1"/>
  <c r="P35" i="5"/>
  <c r="AA35" i="5" s="1"/>
  <c r="AB35" i="5" s="1"/>
  <c r="V35" i="5"/>
  <c r="AX35" i="5" s="1"/>
  <c r="AY35" i="5" s="1"/>
  <c r="AZ35" i="5" s="1"/>
  <c r="P158" i="5"/>
  <c r="AA158" i="5" s="1"/>
  <c r="AB158" i="5" s="1"/>
  <c r="V158" i="5"/>
  <c r="S158" i="5"/>
  <c r="AO158" i="5" s="1"/>
  <c r="AP158" i="5" s="1"/>
  <c r="AQ158" i="5" s="1"/>
  <c r="AS158" i="5" s="1"/>
  <c r="V16" i="5"/>
  <c r="S16" i="5"/>
  <c r="AO16" i="5" s="1"/>
  <c r="AP16" i="5" s="1"/>
  <c r="AQ16" i="5" s="1"/>
  <c r="AS16" i="5" s="1"/>
  <c r="P16" i="5"/>
  <c r="AA16" i="5" s="1"/>
  <c r="AB16" i="5" s="1"/>
  <c r="P32" i="5"/>
  <c r="AA32" i="5" s="1"/>
  <c r="AB32" i="5" s="1"/>
  <c r="V32" i="5"/>
  <c r="AX32" i="5" s="1"/>
  <c r="AY32" i="5" s="1"/>
  <c r="AZ32" i="5" s="1"/>
  <c r="S32" i="5"/>
  <c r="AO32" i="5" s="1"/>
  <c r="AP32" i="5" s="1"/>
  <c r="AQ32" i="5" s="1"/>
  <c r="AS32" i="5" s="1"/>
  <c r="S154" i="5"/>
  <c r="AO154" i="5" s="1"/>
  <c r="AP154" i="5" s="1"/>
  <c r="AQ154" i="5" s="1"/>
  <c r="V154" i="5"/>
  <c r="P154" i="5"/>
  <c r="AA154" i="5" s="1"/>
  <c r="AB154" i="5" s="1"/>
  <c r="P24" i="5"/>
  <c r="AA24" i="5" s="1"/>
  <c r="AB24" i="5" s="1"/>
  <c r="V24" i="5"/>
  <c r="S24" i="5"/>
  <c r="AO24" i="5" s="1"/>
  <c r="AP24" i="5" s="1"/>
  <c r="AQ24" i="5" s="1"/>
  <c r="AS24" i="5" s="1"/>
  <c r="V148" i="5"/>
  <c r="S148" i="5"/>
  <c r="AO148" i="5" s="1"/>
  <c r="AP148" i="5" s="1"/>
  <c r="AQ148" i="5" s="1"/>
  <c r="AS148" i="5" s="1"/>
  <c r="P148" i="5"/>
  <c r="AA148" i="5" s="1"/>
  <c r="AB148" i="5" s="1"/>
  <c r="S30" i="5"/>
  <c r="AO30" i="5" s="1"/>
  <c r="AP30" i="5" s="1"/>
  <c r="AQ30" i="5" s="1"/>
  <c r="AS30" i="5" s="1"/>
  <c r="P30" i="5"/>
  <c r="AA30" i="5" s="1"/>
  <c r="AB30" i="5" s="1"/>
  <c r="V30" i="5"/>
  <c r="V21" i="5"/>
  <c r="S21" i="5"/>
  <c r="AO21" i="5" s="1"/>
  <c r="AP21" i="5" s="1"/>
  <c r="AQ21" i="5" s="1"/>
  <c r="AS21" i="5" s="1"/>
  <c r="P21" i="5"/>
  <c r="AA21" i="5" s="1"/>
  <c r="AB21" i="5" s="1"/>
  <c r="P50" i="5"/>
  <c r="AA50" i="5" s="1"/>
  <c r="AB50" i="5" s="1"/>
  <c r="V50" i="5"/>
  <c r="S50" i="5"/>
  <c r="AO50" i="5" s="1"/>
  <c r="AP50" i="5" s="1"/>
  <c r="AQ50" i="5" s="1"/>
  <c r="AS50" i="5" s="1"/>
  <c r="P25" i="5"/>
  <c r="AA25" i="5" s="1"/>
  <c r="AB25" i="5" s="1"/>
  <c r="S25" i="5"/>
  <c r="AO25" i="5" s="1"/>
  <c r="AP25" i="5" s="1"/>
  <c r="AQ25" i="5" s="1"/>
  <c r="AS25" i="5" s="1"/>
  <c r="V25" i="5"/>
  <c r="AX25" i="5" s="1"/>
  <c r="AY25" i="5" s="1"/>
  <c r="AZ25" i="5" s="1"/>
  <c r="P153" i="5"/>
  <c r="AA153" i="5" s="1"/>
  <c r="AB153" i="5" s="1"/>
  <c r="V153" i="5"/>
  <c r="S153" i="5"/>
  <c r="AO153" i="5" s="1"/>
  <c r="AP153" i="5" s="1"/>
  <c r="AQ153" i="5" s="1"/>
  <c r="AS153" i="5" s="1"/>
  <c r="V168" i="5"/>
  <c r="S168" i="5"/>
  <c r="AO168" i="5" s="1"/>
  <c r="AP168" i="5" s="1"/>
  <c r="AQ168" i="5" s="1"/>
  <c r="P168" i="5"/>
  <c r="AA168" i="5" s="1"/>
  <c r="AB168" i="5" s="1"/>
  <c r="AB112" i="5"/>
  <c r="AY112" i="5"/>
  <c r="AZ112" i="5" s="1"/>
  <c r="BB112" i="5" s="1"/>
  <c r="AB13" i="5" l="1"/>
  <c r="AC13" i="5" s="1"/>
  <c r="AB94" i="5"/>
  <c r="AC94" i="5" s="1"/>
  <c r="AB89" i="5"/>
  <c r="AC89" i="5" s="1"/>
  <c r="AB146" i="5"/>
  <c r="AC146" i="5" s="1"/>
  <c r="AH146" i="5" s="1"/>
  <c r="AJ146" i="5" s="1"/>
  <c r="AB151" i="5"/>
  <c r="AC151" i="5" s="1"/>
  <c r="AB93" i="5"/>
  <c r="AC93" i="5" s="1"/>
  <c r="AY88" i="5"/>
  <c r="AZ88" i="5" s="1"/>
  <c r="BB88" i="5" s="1"/>
  <c r="AB88" i="5"/>
  <c r="AC88" i="5" s="1"/>
  <c r="AB9" i="5"/>
  <c r="AC9" i="5" s="1"/>
  <c r="AB152" i="5"/>
  <c r="AC152" i="5" s="1"/>
  <c r="AB180" i="5"/>
  <c r="AC180" i="5" s="1"/>
  <c r="AH180" i="5" s="1"/>
  <c r="AJ180" i="5" s="1"/>
  <c r="AB98" i="5"/>
  <c r="AC98" i="5" s="1"/>
  <c r="BB97" i="5"/>
  <c r="BB95" i="5"/>
  <c r="AB181" i="5"/>
  <c r="AC181" i="5" s="1"/>
  <c r="AH181" i="5" s="1"/>
  <c r="AJ181" i="5" s="1"/>
  <c r="AB121" i="5"/>
  <c r="AC121" i="5" s="1"/>
  <c r="AB97" i="5"/>
  <c r="AC97" i="5" s="1"/>
  <c r="AB179" i="5"/>
  <c r="AC179" i="5" s="1"/>
  <c r="AB113" i="5"/>
  <c r="AC113" i="5" s="1"/>
  <c r="AH92" i="5"/>
  <c r="AJ92" i="5" s="1"/>
  <c r="AE92" i="5"/>
  <c r="AF92" i="5" s="1"/>
  <c r="AB8" i="5"/>
  <c r="AC8" i="5" s="1"/>
  <c r="AB114" i="5"/>
  <c r="AC114" i="5" s="1"/>
  <c r="AB26" i="5"/>
  <c r="AC26" i="5" s="1"/>
  <c r="AB95" i="5"/>
  <c r="AC95" i="5" s="1"/>
  <c r="AB12" i="5"/>
  <c r="AB18" i="5"/>
  <c r="AC96" i="5"/>
  <c r="AB22" i="5"/>
  <c r="AB28" i="5"/>
  <c r="AB36" i="5"/>
  <c r="AB125" i="5"/>
  <c r="AP110" i="5"/>
  <c r="AQ110" i="5" s="1"/>
  <c r="AS110" i="5" s="1"/>
  <c r="AB124" i="5"/>
  <c r="AB120" i="5"/>
  <c r="AC120" i="5" s="1"/>
  <c r="AB150" i="5"/>
  <c r="AB118" i="5"/>
  <c r="AB11" i="5"/>
  <c r="AB110" i="5"/>
  <c r="AB104" i="5"/>
  <c r="AC104" i="5" s="1"/>
  <c r="AB14" i="5"/>
  <c r="AB111" i="5"/>
  <c r="AB10" i="5"/>
  <c r="AB41" i="5"/>
  <c r="AB123" i="5"/>
  <c r="AC123" i="5" s="1"/>
  <c r="AB107" i="5"/>
  <c r="AP125" i="5"/>
  <c r="AQ125" i="5" s="1"/>
  <c r="AS125" i="5" s="1"/>
  <c r="AB29" i="5"/>
  <c r="AB43" i="5"/>
  <c r="AB108" i="5"/>
  <c r="BB58" i="5"/>
  <c r="BB56" i="5"/>
  <c r="BB4" i="5"/>
  <c r="BB25" i="5"/>
  <c r="BB10" i="5"/>
  <c r="AX30" i="5"/>
  <c r="AY30" i="5" s="1"/>
  <c r="AZ30" i="5" s="1"/>
  <c r="AX6" i="5"/>
  <c r="AY6" i="5" s="1"/>
  <c r="AZ6" i="5" s="1"/>
  <c r="AX31" i="5"/>
  <c r="AY31" i="5" s="1"/>
  <c r="AZ31" i="5" s="1"/>
  <c r="AX79" i="5"/>
  <c r="AY79" i="5" s="1"/>
  <c r="AZ79" i="5" s="1"/>
  <c r="BB79" i="5" s="1"/>
  <c r="AX23" i="5"/>
  <c r="AY23" i="5" s="1"/>
  <c r="AZ23" i="5" s="1"/>
  <c r="BB23" i="5" s="1"/>
  <c r="AX14" i="5"/>
  <c r="AY14" i="5" s="1"/>
  <c r="AZ14" i="5" s="1"/>
  <c r="BB14" i="5" s="1"/>
  <c r="AX186" i="5"/>
  <c r="AY186" i="5" s="1"/>
  <c r="AZ186" i="5" s="1"/>
  <c r="AX117" i="5"/>
  <c r="AX157" i="5"/>
  <c r="AY157" i="5" s="1"/>
  <c r="AZ157" i="5" s="1"/>
  <c r="BB157" i="5" s="1"/>
  <c r="AX71" i="5"/>
  <c r="AY71" i="5" s="1"/>
  <c r="AZ71" i="5" s="1"/>
  <c r="BB71" i="5" s="1"/>
  <c r="AX16" i="5"/>
  <c r="AY16" i="5" s="1"/>
  <c r="AZ16" i="5" s="1"/>
  <c r="BB16" i="5" s="1"/>
  <c r="AX172" i="5"/>
  <c r="AY172" i="5" s="1"/>
  <c r="AZ172" i="5" s="1"/>
  <c r="BB172" i="5" s="1"/>
  <c r="AX45" i="5"/>
  <c r="AY45" i="5" s="1"/>
  <c r="AZ45" i="5" s="1"/>
  <c r="AX85" i="5"/>
  <c r="AY85" i="5" s="1"/>
  <c r="AZ85" i="5" s="1"/>
  <c r="BB85" i="5" s="1"/>
  <c r="AX156" i="5"/>
  <c r="AY156" i="5" s="1"/>
  <c r="AZ156" i="5" s="1"/>
  <c r="BB156" i="5" s="1"/>
  <c r="AX55" i="5"/>
  <c r="AY55" i="5" s="1"/>
  <c r="AZ55" i="5" s="1"/>
  <c r="BB55" i="5" s="1"/>
  <c r="AX24" i="5"/>
  <c r="AY24" i="5" s="1"/>
  <c r="AZ24" i="5" s="1"/>
  <c r="AX147" i="5"/>
  <c r="AY147" i="5" s="1"/>
  <c r="AZ147" i="5" s="1"/>
  <c r="BB147" i="5" s="1"/>
  <c r="AX168" i="5"/>
  <c r="AY168" i="5" s="1"/>
  <c r="AZ168" i="5" s="1"/>
  <c r="AX89" i="5"/>
  <c r="AY89" i="5" s="1"/>
  <c r="AZ89" i="5" s="1"/>
  <c r="BB89" i="5" s="1"/>
  <c r="AX50" i="5"/>
  <c r="AY50" i="5" s="1"/>
  <c r="AZ50" i="5" s="1"/>
  <c r="BB50" i="5" s="1"/>
  <c r="AX43" i="5"/>
  <c r="AY43" i="5" s="1"/>
  <c r="AZ43" i="5" s="1"/>
  <c r="BB43" i="5" s="1"/>
  <c r="AX158" i="5"/>
  <c r="AY158" i="5" s="1"/>
  <c r="AZ158" i="5" s="1"/>
  <c r="AX28" i="5"/>
  <c r="AY28" i="5" s="1"/>
  <c r="AZ28" i="5" s="1"/>
  <c r="AX46" i="5"/>
  <c r="AY46" i="5" s="1"/>
  <c r="AZ46" i="5" s="1"/>
  <c r="AX67" i="5"/>
  <c r="AY67" i="5" s="1"/>
  <c r="AZ67" i="5" s="1"/>
  <c r="BB67" i="5" s="1"/>
  <c r="AX27" i="5"/>
  <c r="AY27" i="5" s="1"/>
  <c r="AZ27" i="5" s="1"/>
  <c r="AX65" i="5"/>
  <c r="AY65" i="5" s="1"/>
  <c r="AZ65" i="5" s="1"/>
  <c r="BB65" i="5" s="1"/>
  <c r="AX160" i="5"/>
  <c r="AY160" i="5" s="1"/>
  <c r="AZ160" i="5" s="1"/>
  <c r="AX113" i="5"/>
  <c r="AX20" i="5"/>
  <c r="AY20" i="5" s="1"/>
  <c r="AZ20" i="5" s="1"/>
  <c r="AX150" i="5"/>
  <c r="AY150" i="5" s="1"/>
  <c r="AZ150" i="5" s="1"/>
  <c r="BB150" i="5" s="1"/>
  <c r="AX21" i="5"/>
  <c r="AY21" i="5" s="1"/>
  <c r="AZ21" i="5" s="1"/>
  <c r="AX128" i="5"/>
  <c r="AY128" i="5" s="1"/>
  <c r="AZ128" i="5" s="1"/>
  <c r="BB128" i="5" s="1"/>
  <c r="AX154" i="5"/>
  <c r="AY154" i="5" s="1"/>
  <c r="AZ154" i="5" s="1"/>
  <c r="AX74" i="5"/>
  <c r="AY74" i="5" s="1"/>
  <c r="AZ74" i="5" s="1"/>
  <c r="BB74" i="5" s="1"/>
  <c r="AX53" i="5"/>
  <c r="AY53" i="5" s="1"/>
  <c r="AZ53" i="5" s="1"/>
  <c r="BB53" i="5" s="1"/>
  <c r="AX42" i="5"/>
  <c r="AY42" i="5" s="1"/>
  <c r="AZ42" i="5" s="1"/>
  <c r="BB42" i="5" s="1"/>
  <c r="AX48" i="5"/>
  <c r="AY48" i="5" s="1"/>
  <c r="AZ48" i="5" s="1"/>
  <c r="BB48" i="5" s="1"/>
  <c r="AX44" i="5"/>
  <c r="AY44" i="5" s="1"/>
  <c r="AZ44" i="5" s="1"/>
  <c r="BB44" i="5" s="1"/>
  <c r="AX47" i="5"/>
  <c r="AY47" i="5" s="1"/>
  <c r="AZ47" i="5" s="1"/>
  <c r="AX54" i="5"/>
  <c r="AY54" i="5" s="1"/>
  <c r="AZ54" i="5" s="1"/>
  <c r="BB54" i="5" s="1"/>
  <c r="AX17" i="5"/>
  <c r="AY17" i="5" s="1"/>
  <c r="AZ17" i="5" s="1"/>
  <c r="BB17" i="5" s="1"/>
  <c r="AX189" i="5"/>
  <c r="AY189" i="5" s="1"/>
  <c r="AZ189" i="5" s="1"/>
  <c r="BB189" i="5" s="1"/>
  <c r="AX153" i="5"/>
  <c r="AY153" i="5" s="1"/>
  <c r="AZ153" i="5" s="1"/>
  <c r="BB153" i="5" s="1"/>
  <c r="AX29" i="5"/>
  <c r="AY29" i="5" s="1"/>
  <c r="AZ29" i="5" s="1"/>
  <c r="BB29" i="5" s="1"/>
  <c r="AX148" i="5"/>
  <c r="AY148" i="5" s="1"/>
  <c r="AZ148" i="5" s="1"/>
  <c r="BB148" i="5" s="1"/>
  <c r="AX191" i="5"/>
  <c r="AY191" i="5" s="1"/>
  <c r="AZ191" i="5" s="1"/>
  <c r="BB191" i="5" s="1"/>
  <c r="AX15" i="5"/>
  <c r="AY15" i="5" s="1"/>
  <c r="AZ15" i="5" s="1"/>
  <c r="AX173" i="5"/>
  <c r="AY173" i="5" s="1"/>
  <c r="AZ173" i="5" s="1"/>
  <c r="BB173" i="5" s="1"/>
  <c r="AX37" i="5"/>
  <c r="AY37" i="5" s="1"/>
  <c r="AZ37" i="5" s="1"/>
  <c r="AX69" i="5"/>
  <c r="AY69" i="5" s="1"/>
  <c r="AZ69" i="5" s="1"/>
  <c r="AX19" i="5"/>
  <c r="AY19" i="5" s="1"/>
  <c r="AZ19" i="5" s="1"/>
  <c r="AX187" i="5"/>
  <c r="AY187" i="5" s="1"/>
  <c r="AZ187" i="5" s="1"/>
  <c r="AX49" i="5"/>
  <c r="AY49" i="5" s="1"/>
  <c r="AZ49" i="5" s="1"/>
  <c r="AX72" i="5"/>
  <c r="AY72" i="5" s="1"/>
  <c r="AZ72" i="5" s="1"/>
  <c r="AB20" i="5"/>
  <c r="AC16" i="5"/>
  <c r="AC31" i="5"/>
  <c r="AC155" i="5"/>
  <c r="AH155" i="5" s="1"/>
  <c r="AJ155" i="5" s="1"/>
  <c r="AC160" i="5"/>
  <c r="AH160" i="5" s="1"/>
  <c r="AJ160" i="5" s="1"/>
  <c r="AC156" i="5"/>
  <c r="AH156" i="5" s="1"/>
  <c r="AJ156" i="5" s="1"/>
  <c r="AC45" i="5"/>
  <c r="AC186" i="5"/>
  <c r="AH186" i="5" s="1"/>
  <c r="AJ186" i="5" s="1"/>
  <c r="AC37" i="5"/>
  <c r="AC24" i="5"/>
  <c r="AC32" i="5"/>
  <c r="AC168" i="5"/>
  <c r="AH168" i="5" s="1"/>
  <c r="AJ168" i="5" s="1"/>
  <c r="AC25" i="5"/>
  <c r="AC30" i="5"/>
  <c r="AC154" i="5"/>
  <c r="AH154" i="5" s="1"/>
  <c r="AJ154" i="5" s="1"/>
  <c r="AC53" i="5"/>
  <c r="AC33" i="5"/>
  <c r="AC47" i="5"/>
  <c r="AC17" i="5"/>
  <c r="AC157" i="5"/>
  <c r="AH157" i="5" s="1"/>
  <c r="AJ157" i="5" s="1"/>
  <c r="AC35" i="5"/>
  <c r="AC23" i="5"/>
  <c r="AC27" i="5"/>
  <c r="AC21" i="5"/>
  <c r="AC153" i="5"/>
  <c r="AC148" i="5"/>
  <c r="AH148" i="5" s="1"/>
  <c r="AJ148" i="5" s="1"/>
  <c r="AC15" i="5"/>
  <c r="AC7" i="5"/>
  <c r="AC19" i="5"/>
  <c r="AC48" i="5"/>
  <c r="AC112" i="5"/>
  <c r="AC50" i="5"/>
  <c r="AE50" i="5" s="1"/>
  <c r="AC158" i="5"/>
  <c r="AH158" i="5" s="1"/>
  <c r="AJ158" i="5" s="1"/>
  <c r="AC161" i="5"/>
  <c r="AH161" i="5" s="1"/>
  <c r="AJ161" i="5" s="1"/>
  <c r="AC34" i="5"/>
  <c r="AC46" i="5"/>
  <c r="AC49" i="5"/>
  <c r="AB149" i="5"/>
  <c r="AY155" i="5"/>
  <c r="AH23" i="5" l="1"/>
  <c r="AJ23" i="5" s="1"/>
  <c r="AE23" i="5"/>
  <c r="AF23" i="5" s="1"/>
  <c r="AH24" i="5"/>
  <c r="AJ24" i="5" s="1"/>
  <c r="AE24" i="5"/>
  <c r="AF24" i="5" s="1"/>
  <c r="AH25" i="5"/>
  <c r="AJ25" i="5" s="1"/>
  <c r="AE25" i="5"/>
  <c r="AF25" i="5" s="1"/>
  <c r="AH153" i="5"/>
  <c r="AJ153" i="5" s="1"/>
  <c r="AE153" i="5"/>
  <c r="AF153" i="5" s="1"/>
  <c r="AH37" i="5"/>
  <c r="AJ37" i="5" s="1"/>
  <c r="AE37" i="5"/>
  <c r="AF37" i="5" s="1"/>
  <c r="AE13" i="5"/>
  <c r="AF13" i="5" s="1"/>
  <c r="AH13" i="5"/>
  <c r="AJ13" i="5" s="1"/>
  <c r="AH93" i="5"/>
  <c r="AJ93" i="5" s="1"/>
  <c r="AE93" i="5"/>
  <c r="AF93" i="5" s="1"/>
  <c r="AE88" i="5"/>
  <c r="AF88" i="5" s="1"/>
  <c r="AH88" i="5"/>
  <c r="AJ88" i="5" s="1"/>
  <c r="AE94" i="5"/>
  <c r="AF94" i="5" s="1"/>
  <c r="AH94" i="5"/>
  <c r="AJ94" i="5" s="1"/>
  <c r="AH151" i="5"/>
  <c r="AJ151" i="5" s="1"/>
  <c r="AE151" i="5"/>
  <c r="AF151" i="5" s="1"/>
  <c r="AE9" i="5"/>
  <c r="AF9" i="5" s="1"/>
  <c r="AH9" i="5"/>
  <c r="AJ9" i="5" s="1"/>
  <c r="AE89" i="5"/>
  <c r="AF89" i="5" s="1"/>
  <c r="AH89" i="5"/>
  <c r="AJ89" i="5" s="1"/>
  <c r="AH8" i="5"/>
  <c r="AJ8" i="5" s="1"/>
  <c r="AE8" i="5"/>
  <c r="AF8" i="5" s="1"/>
  <c r="AE26" i="5"/>
  <c r="AF26" i="5" s="1"/>
  <c r="AH26" i="5"/>
  <c r="AJ26" i="5" s="1"/>
  <c r="AH97" i="5"/>
  <c r="AJ97" i="5" s="1"/>
  <c r="AE97" i="5"/>
  <c r="AF97" i="5" s="1"/>
  <c r="AE113" i="5"/>
  <c r="AF113" i="5" s="1"/>
  <c r="AH113" i="5"/>
  <c r="AJ113" i="5" s="1"/>
  <c r="AH98" i="5"/>
  <c r="AJ98" i="5" s="1"/>
  <c r="AE98" i="5"/>
  <c r="AF98" i="5" s="1"/>
  <c r="AE152" i="5"/>
  <c r="AF152" i="5" s="1"/>
  <c r="AH152" i="5"/>
  <c r="AJ152" i="5" s="1"/>
  <c r="AE121" i="5"/>
  <c r="AF121" i="5" s="1"/>
  <c r="AH121" i="5"/>
  <c r="AJ121" i="5" s="1"/>
  <c r="AH95" i="5"/>
  <c r="AJ95" i="5" s="1"/>
  <c r="AE95" i="5"/>
  <c r="AF95" i="5" s="1"/>
  <c r="AH114" i="5"/>
  <c r="AJ114" i="5" s="1"/>
  <c r="AE114" i="5"/>
  <c r="AF114" i="5" s="1"/>
  <c r="AH179" i="5"/>
  <c r="AJ179" i="5" s="1"/>
  <c r="AE179" i="5"/>
  <c r="AF179" i="5" s="1"/>
  <c r="AH47" i="5"/>
  <c r="AJ47" i="5" s="1"/>
  <c r="AE47" i="5"/>
  <c r="AF47" i="5" s="1"/>
  <c r="AH19" i="5"/>
  <c r="AJ19" i="5" s="1"/>
  <c r="AE19" i="5"/>
  <c r="AF19" i="5" s="1"/>
  <c r="AE35" i="5"/>
  <c r="AF35" i="5" s="1"/>
  <c r="AH35" i="5"/>
  <c r="AJ35" i="5" s="1"/>
  <c r="AH33" i="5"/>
  <c r="AJ33" i="5" s="1"/>
  <c r="AE33" i="5"/>
  <c r="AF33" i="5" s="1"/>
  <c r="AE16" i="5"/>
  <c r="AF16" i="5" s="1"/>
  <c r="AH16" i="5"/>
  <c r="AJ16" i="5" s="1"/>
  <c r="AE49" i="5"/>
  <c r="AF49" i="5" s="1"/>
  <c r="AH49" i="5"/>
  <c r="AJ49" i="5" s="1"/>
  <c r="AH120" i="5"/>
  <c r="AJ120" i="5" s="1"/>
  <c r="AE120" i="5"/>
  <c r="AF120" i="5" s="1"/>
  <c r="AH96" i="5"/>
  <c r="AJ96" i="5" s="1"/>
  <c r="AE96" i="5"/>
  <c r="AF96" i="5" s="1"/>
  <c r="AE48" i="5"/>
  <c r="AF48" i="5" s="1"/>
  <c r="AH48" i="5"/>
  <c r="AJ48" i="5" s="1"/>
  <c r="AH30" i="5"/>
  <c r="AJ30" i="5" s="1"/>
  <c r="AE30" i="5"/>
  <c r="AF30" i="5" s="1"/>
  <c r="AH21" i="5"/>
  <c r="AJ21" i="5" s="1"/>
  <c r="AE21" i="5"/>
  <c r="AF21" i="5" s="1"/>
  <c r="AE53" i="5"/>
  <c r="AF53" i="5" s="1"/>
  <c r="AH53" i="5"/>
  <c r="AJ53" i="5" s="1"/>
  <c r="AH46" i="5"/>
  <c r="AJ46" i="5" s="1"/>
  <c r="AE46" i="5"/>
  <c r="AF46" i="5" s="1"/>
  <c r="AH50" i="5"/>
  <c r="AJ50" i="5" s="1"/>
  <c r="AF50" i="5"/>
  <c r="AH104" i="5"/>
  <c r="AJ104" i="5" s="1"/>
  <c r="AE104" i="5"/>
  <c r="AF104" i="5" s="1"/>
  <c r="AH7" i="5"/>
  <c r="AJ7" i="5" s="1"/>
  <c r="AE7" i="5"/>
  <c r="AF7" i="5" s="1"/>
  <c r="AE15" i="5"/>
  <c r="AF15" i="5" s="1"/>
  <c r="AH15" i="5"/>
  <c r="AJ15" i="5" s="1"/>
  <c r="AE27" i="5"/>
  <c r="AF27" i="5" s="1"/>
  <c r="AH27" i="5"/>
  <c r="AJ27" i="5" s="1"/>
  <c r="AE17" i="5"/>
  <c r="AF17" i="5" s="1"/>
  <c r="AH17" i="5"/>
  <c r="AJ17" i="5" s="1"/>
  <c r="AH32" i="5"/>
  <c r="AJ32" i="5" s="1"/>
  <c r="AE32" i="5"/>
  <c r="AF32" i="5" s="1"/>
  <c r="AH45" i="5"/>
  <c r="AJ45" i="5" s="1"/>
  <c r="AE45" i="5"/>
  <c r="AF45" i="5" s="1"/>
  <c r="AH31" i="5"/>
  <c r="AJ31" i="5" s="1"/>
  <c r="AE31" i="5"/>
  <c r="AF31" i="5" s="1"/>
  <c r="AH34" i="5"/>
  <c r="AJ34" i="5" s="1"/>
  <c r="AE34" i="5"/>
  <c r="AF34" i="5" s="1"/>
  <c r="AH112" i="5"/>
  <c r="AJ112" i="5" s="1"/>
  <c r="AE112" i="5"/>
  <c r="AF112" i="5" s="1"/>
  <c r="AE123" i="5"/>
  <c r="AF123" i="5" s="1"/>
  <c r="AH123" i="5"/>
  <c r="AJ123" i="5" s="1"/>
  <c r="AC28" i="5"/>
  <c r="AC18" i="5"/>
  <c r="AC108" i="5"/>
  <c r="AC10" i="5"/>
  <c r="AC118" i="5"/>
  <c r="AC36" i="5"/>
  <c r="AC43" i="5"/>
  <c r="AC107" i="5"/>
  <c r="AC111" i="5"/>
  <c r="AC124" i="5"/>
  <c r="AC14" i="5"/>
  <c r="AH14" i="5" s="1"/>
  <c r="AJ14" i="5" s="1"/>
  <c r="AC110" i="5"/>
  <c r="AC150" i="5"/>
  <c r="AH150" i="5" s="1"/>
  <c r="AJ150" i="5" s="1"/>
  <c r="AC22" i="5"/>
  <c r="AC12" i="5"/>
  <c r="AC29" i="5"/>
  <c r="AC41" i="5"/>
  <c r="AC11" i="5"/>
  <c r="AC125" i="5"/>
  <c r="BB49" i="5"/>
  <c r="BB36" i="5"/>
  <c r="BB31" i="5"/>
  <c r="BB75" i="5"/>
  <c r="BB6" i="5"/>
  <c r="BB32" i="5"/>
  <c r="BB20" i="5"/>
  <c r="BB151" i="5"/>
  <c r="BB35" i="5"/>
  <c r="BB15" i="5"/>
  <c r="BB64" i="5"/>
  <c r="BB47" i="5"/>
  <c r="BB166" i="5"/>
  <c r="BB21" i="5"/>
  <c r="BB46" i="5"/>
  <c r="BB164" i="5"/>
  <c r="BB24" i="5"/>
  <c r="BB9" i="5"/>
  <c r="BB30" i="5"/>
  <c r="BB175" i="5"/>
  <c r="BB33" i="5"/>
  <c r="BB19" i="5"/>
  <c r="BB152" i="5"/>
  <c r="BB37" i="5"/>
  <c r="BB12" i="5"/>
  <c r="BB27" i="5"/>
  <c r="BB60" i="5"/>
  <c r="BB72" i="5"/>
  <c r="BB28" i="5"/>
  <c r="BB149" i="5"/>
  <c r="BB158" i="5"/>
  <c r="BB2" i="5"/>
  <c r="BB11" i="5"/>
  <c r="BB187" i="5"/>
  <c r="BB34" i="5"/>
  <c r="BB5" i="5"/>
  <c r="BB45" i="5"/>
  <c r="BB169" i="5"/>
  <c r="BB161" i="5"/>
  <c r="BB69" i="5"/>
  <c r="BB7" i="5"/>
  <c r="AY117" i="5"/>
  <c r="AZ117" i="5" s="1"/>
  <c r="BB117" i="5" s="1"/>
  <c r="AY113" i="5"/>
  <c r="AZ113" i="5" s="1"/>
  <c r="BB113" i="5" s="1"/>
  <c r="AC20" i="5"/>
  <c r="AC149" i="5"/>
  <c r="AH149" i="5" s="1"/>
  <c r="AJ149" i="5" s="1"/>
  <c r="AZ155" i="5"/>
  <c r="AH22" i="5" l="1"/>
  <c r="AJ22" i="5" s="1"/>
  <c r="AE22" i="5"/>
  <c r="AF22" i="5" s="1"/>
  <c r="AE43" i="5"/>
  <c r="AF43" i="5" s="1"/>
  <c r="AH43" i="5"/>
  <c r="AJ43" i="5" s="1"/>
  <c r="AH28" i="5"/>
  <c r="AJ28" i="5" s="1"/>
  <c r="AE28" i="5"/>
  <c r="AF28" i="5" s="1"/>
  <c r="AH18" i="5"/>
  <c r="AJ18" i="5" s="1"/>
  <c r="AE18" i="5"/>
  <c r="AF18" i="5" s="1"/>
  <c r="AE36" i="5"/>
  <c r="AF36" i="5" s="1"/>
  <c r="AH36" i="5"/>
  <c r="AJ36" i="5" s="1"/>
  <c r="AE118" i="5"/>
  <c r="AF118" i="5" s="1"/>
  <c r="AH118" i="5"/>
  <c r="AJ118" i="5" s="1"/>
  <c r="AH11" i="5"/>
  <c r="AJ11" i="5" s="1"/>
  <c r="AE11" i="5"/>
  <c r="AF11" i="5" s="1"/>
  <c r="AE124" i="5"/>
  <c r="AF124" i="5" s="1"/>
  <c r="AH124" i="5"/>
  <c r="AJ124" i="5" s="1"/>
  <c r="AH20" i="5"/>
  <c r="AJ20" i="5" s="1"/>
  <c r="AE20" i="5"/>
  <c r="AF20" i="5" s="1"/>
  <c r="AH12" i="5"/>
  <c r="AJ12" i="5" s="1"/>
  <c r="AE12" i="5"/>
  <c r="AF12" i="5" s="1"/>
  <c r="AH110" i="5"/>
  <c r="AJ110" i="5" s="1"/>
  <c r="AE110" i="5"/>
  <c r="AF110" i="5" s="1"/>
  <c r="AH41" i="5"/>
  <c r="AJ41" i="5" s="1"/>
  <c r="AE41" i="5"/>
  <c r="AF41" i="5" s="1"/>
  <c r="AH10" i="5"/>
  <c r="AJ10" i="5" s="1"/>
  <c r="AE10" i="5"/>
  <c r="AF10" i="5" s="1"/>
  <c r="AH29" i="5"/>
  <c r="AJ29" i="5" s="1"/>
  <c r="AE29" i="5"/>
  <c r="AF29" i="5" s="1"/>
  <c r="AH111" i="5"/>
  <c r="AJ111" i="5" s="1"/>
  <c r="AE111" i="5"/>
  <c r="AF111" i="5" s="1"/>
  <c r="AE125" i="5"/>
  <c r="AF125" i="5" s="1"/>
  <c r="AH125" i="5"/>
  <c r="AJ125" i="5" s="1"/>
  <c r="AE108" i="5"/>
  <c r="AF108" i="5" s="1"/>
  <c r="AH108" i="5"/>
  <c r="AJ108" i="5" s="1"/>
  <c r="AE107" i="5"/>
  <c r="AF107" i="5" s="1"/>
  <c r="AH107" i="5"/>
  <c r="AJ107" i="5" s="1"/>
  <c r="BB160" i="5"/>
  <c r="BB155" i="5"/>
  <c r="BB18" i="5"/>
  <c r="BB186" i="5"/>
</calcChain>
</file>

<file path=xl/sharedStrings.xml><?xml version="1.0" encoding="utf-8"?>
<sst xmlns="http://schemas.openxmlformats.org/spreadsheetml/2006/main" count="6763" uniqueCount="249">
  <si>
    <t>Site_code</t>
  </si>
  <si>
    <t>Sampling_event</t>
  </si>
  <si>
    <t>SIA/District</t>
  </si>
  <si>
    <t>Sample_code</t>
  </si>
  <si>
    <t>Collected</t>
  </si>
  <si>
    <t>Dried</t>
  </si>
  <si>
    <t xml:space="preserve">S2 </t>
  </si>
  <si>
    <t>Submitted_District</t>
  </si>
  <si>
    <t>Powder</t>
  </si>
  <si>
    <t>Decarb</t>
  </si>
  <si>
    <t>Wrap</t>
  </si>
  <si>
    <t>Submitted_SIA</t>
  </si>
  <si>
    <t>Returned</t>
  </si>
  <si>
    <t>Archived</t>
  </si>
  <si>
    <t>P37</t>
  </si>
  <si>
    <t>9-23</t>
  </si>
  <si>
    <t>SIA</t>
  </si>
  <si>
    <t>Y</t>
  </si>
  <si>
    <t>C,N,S</t>
  </si>
  <si>
    <t>NCL</t>
  </si>
  <si>
    <t>CP</t>
  </si>
  <si>
    <t>EP146</t>
  </si>
  <si>
    <t>OL</t>
  </si>
  <si>
    <t>R127</t>
  </si>
  <si>
    <t>ACS1</t>
  </si>
  <si>
    <t>ACS2</t>
  </si>
  <si>
    <t>ACS3</t>
  </si>
  <si>
    <t>ACS4</t>
  </si>
  <si>
    <t>ACS5</t>
  </si>
  <si>
    <t>GBHM</t>
  </si>
  <si>
    <t>DC1</t>
  </si>
  <si>
    <t>DCM1</t>
  </si>
  <si>
    <t>DC2</t>
  </si>
  <si>
    <t>DCM2</t>
  </si>
  <si>
    <t>GB1</t>
  </si>
  <si>
    <t>MCS1</t>
  </si>
  <si>
    <t>MCS2</t>
  </si>
  <si>
    <t>MCS3</t>
  </si>
  <si>
    <t>MCS4</t>
  </si>
  <si>
    <t>TBHM</t>
  </si>
  <si>
    <t>TBCM</t>
  </si>
  <si>
    <t>TB1</t>
  </si>
  <si>
    <t>TB2</t>
  </si>
  <si>
    <t>GB2</t>
  </si>
  <si>
    <t>RB</t>
  </si>
  <si>
    <t>TSM1</t>
  </si>
  <si>
    <t>TSM3</t>
  </si>
  <si>
    <t>TSM4</t>
  </si>
  <si>
    <t>SBT1</t>
  </si>
  <si>
    <t>SBT2</t>
  </si>
  <si>
    <t>D</t>
  </si>
  <si>
    <t>TBC</t>
  </si>
  <si>
    <t>WB1</t>
  </si>
  <si>
    <t>WB2</t>
  </si>
  <si>
    <t>TKB</t>
  </si>
  <si>
    <t>JB</t>
  </si>
  <si>
    <t>CC</t>
  </si>
  <si>
    <t>11_23</t>
  </si>
  <si>
    <t>TSH</t>
  </si>
  <si>
    <t>7-24</t>
  </si>
  <si>
    <t>N</t>
  </si>
  <si>
    <t>1-24</t>
  </si>
  <si>
    <t>3-24</t>
  </si>
  <si>
    <t>4-24</t>
  </si>
  <si>
    <t>8-24</t>
  </si>
  <si>
    <t>Accounted For</t>
  </si>
  <si>
    <t xml:space="preserve"> Filtered</t>
  </si>
  <si>
    <t>Wrapped</t>
  </si>
  <si>
    <t>Clean Filter Weight</t>
  </si>
  <si>
    <t>Average Clean Filter Weight</t>
  </si>
  <si>
    <t>Dried Filter Weight</t>
  </si>
  <si>
    <t>Sample Weight</t>
  </si>
  <si>
    <t>Total Weight after Trim</t>
  </si>
  <si>
    <t>C Total weight %</t>
  </si>
  <si>
    <t>C Sample Amount</t>
  </si>
  <si>
    <t>N Total weight %</t>
  </si>
  <si>
    <t>N Sample Amount</t>
  </si>
  <si>
    <t>S Total weight %</t>
  </si>
  <si>
    <t>S Sample Amount</t>
  </si>
  <si>
    <t>C Section Weight</t>
  </si>
  <si>
    <t>C Cut Filter Weight</t>
  </si>
  <si>
    <t>C Filter Trim Piece</t>
  </si>
  <si>
    <t>C Sample Weight</t>
  </si>
  <si>
    <t>C Filter Weight</t>
  </si>
  <si>
    <t>C Sample to Filter Ratio</t>
  </si>
  <si>
    <t>C Vial Piece</t>
  </si>
  <si>
    <t>C Sample Amount in Vial Piece</t>
  </si>
  <si>
    <t>C Vial Filter Amount</t>
  </si>
  <si>
    <t>C Weight After Decarb</t>
  </si>
  <si>
    <t>C Weight Ratio After Decarb (same)</t>
  </si>
  <si>
    <t>C Total Weight to Tin</t>
  </si>
  <si>
    <t>C approx Sample in Tin</t>
  </si>
  <si>
    <t>N Section Weight</t>
  </si>
  <si>
    <t>N Cut Weight</t>
  </si>
  <si>
    <t>N Filter Trim Piece</t>
  </si>
  <si>
    <t>N Sample Weight</t>
  </si>
  <si>
    <t>N Filter Weight</t>
  </si>
  <si>
    <t>N Sample to Filter Ratio</t>
  </si>
  <si>
    <t>N Total Weight to Tin</t>
  </si>
  <si>
    <t>N apprx Sample in Tin</t>
  </si>
  <si>
    <t>S Section Weight</t>
  </si>
  <si>
    <t>S Cut Weight</t>
  </si>
  <si>
    <t>S Trim Piece</t>
  </si>
  <si>
    <t>S Sample Weight</t>
  </si>
  <si>
    <t>S Filter Weight</t>
  </si>
  <si>
    <t>S Sample to Filter Ratio</t>
  </si>
  <si>
    <t>S Total Weight to Tin</t>
  </si>
  <si>
    <t>S apprx Sample in Tin</t>
  </si>
  <si>
    <t>Archive</t>
  </si>
  <si>
    <t>y</t>
  </si>
  <si>
    <t>1123E</t>
  </si>
  <si>
    <t>11-24</t>
  </si>
  <si>
    <t>n</t>
  </si>
  <si>
    <t>ACS3_4-24_G2</t>
  </si>
  <si>
    <t>ACS3_4-24_G3</t>
  </si>
  <si>
    <t>Filtered/Unfiltered</t>
  </si>
  <si>
    <t>Rep</t>
  </si>
  <si>
    <t>Submitted</t>
  </si>
  <si>
    <t>9_23</t>
  </si>
  <si>
    <t>UF</t>
  </si>
  <si>
    <t>F</t>
  </si>
  <si>
    <t>USE 2</t>
  </si>
  <si>
    <t>Time_Collected</t>
  </si>
  <si>
    <t>Temp</t>
  </si>
  <si>
    <t>DO%</t>
  </si>
  <si>
    <t>DO</t>
  </si>
  <si>
    <t>Salinity</t>
  </si>
  <si>
    <t>pH</t>
  </si>
  <si>
    <t>NTU</t>
  </si>
  <si>
    <t>FDOM_RFU</t>
  </si>
  <si>
    <t>FDOM_QSU</t>
  </si>
  <si>
    <t>Water_amount</t>
  </si>
  <si>
    <t>Processed</t>
  </si>
  <si>
    <t>Chl</t>
  </si>
  <si>
    <t>1</t>
  </si>
  <si>
    <t>NA</t>
  </si>
  <si>
    <t>2</t>
  </si>
  <si>
    <t>7_24</t>
  </si>
  <si>
    <t>8_24</t>
  </si>
  <si>
    <t>TSM3_8_24_1</t>
  </si>
  <si>
    <t>TSM4_8_24_1</t>
  </si>
  <si>
    <t>TSM3_8_24_2</t>
  </si>
  <si>
    <t>TSM4_8_24_2</t>
  </si>
  <si>
    <t>Majority</t>
  </si>
  <si>
    <t>Site_Name</t>
  </si>
  <si>
    <t>Latitude</t>
  </si>
  <si>
    <t>Longitude</t>
  </si>
  <si>
    <t>UTM_Easting</t>
  </si>
  <si>
    <t>UTM_Northing</t>
  </si>
  <si>
    <t>Site_type</t>
  </si>
  <si>
    <t>Algal_subset</t>
  </si>
  <si>
    <t>Notes</t>
  </si>
  <si>
    <t>Marsh 1</t>
  </si>
  <si>
    <t>Marsh</t>
  </si>
  <si>
    <t>Taylor slough near entrance to park</t>
  </si>
  <si>
    <t>Marsh 3</t>
  </si>
  <si>
    <t>Marsh across from Paurotis Pond entrance</t>
  </si>
  <si>
    <t>Marsh 4</t>
  </si>
  <si>
    <t>Marsh just south of Nine Mile Pond</t>
  </si>
  <si>
    <t>Snake Bight Trail 1</t>
  </si>
  <si>
    <t>Mangrove</t>
  </si>
  <si>
    <t>Mangroves along Snake Bight Trail</t>
  </si>
  <si>
    <t>Snake Bight Trail 2</t>
  </si>
  <si>
    <t>POI</t>
  </si>
  <si>
    <t>Creek at end of Snake Bight Trail</t>
  </si>
  <si>
    <t>West Lake</t>
  </si>
  <si>
    <t>Coastal Lakes</t>
  </si>
  <si>
    <t>Long Lake</t>
  </si>
  <si>
    <t>Cuthbert Lake</t>
  </si>
  <si>
    <t>Coastal lakes</t>
  </si>
  <si>
    <t>Cuthbert lake. Sediment collection required at entrance to lake</t>
  </si>
  <si>
    <t>The Lungs</t>
  </si>
  <si>
    <t>Alligator Creek</t>
  </si>
  <si>
    <t>Entrance to Alligator Creek from Garfield</t>
  </si>
  <si>
    <t>Garfield Healthy Mangroves</t>
  </si>
  <si>
    <t>Healthy mangroves near Alligator Creek</t>
  </si>
  <si>
    <t>Dead Creek 1</t>
  </si>
  <si>
    <t>Southern Dead Creek</t>
  </si>
  <si>
    <t>Dead Creek Mangrove 1</t>
  </si>
  <si>
    <t>Dead mangroves off of southern dead creek</t>
  </si>
  <si>
    <t>Dead Creek 2</t>
  </si>
  <si>
    <t>northern Dead Creek</t>
  </si>
  <si>
    <t>Dead Creek Mangrove 2</t>
  </si>
  <si>
    <t>Dead mangroves off of northern dead creek</t>
  </si>
  <si>
    <t>Seven Palm Lake</t>
  </si>
  <si>
    <t>Seven Palm Lake (sediment near entrance?)</t>
  </si>
  <si>
    <t>Middle Lake</t>
  </si>
  <si>
    <t>Monroe Lake</t>
  </si>
  <si>
    <t>McCormick Creek</t>
  </si>
  <si>
    <t>Entrance to McCormick Creek from Terrapin</t>
  </si>
  <si>
    <t>Terrapin Healthy Mangrove</t>
  </si>
  <si>
    <t>Healthy mangroves near McCormick Creek</t>
  </si>
  <si>
    <t>East Terrapin Creek</t>
  </si>
  <si>
    <t>Dead creek on eastern side of Terrapin Bay</t>
  </si>
  <si>
    <t>East Terrapin Creek Mangrove</t>
  </si>
  <si>
    <t>Dead mangroves off of east Terrapin Creek</t>
  </si>
  <si>
    <t>Terrapin Bay</t>
  </si>
  <si>
    <t>Florida Bay</t>
  </si>
  <si>
    <t>Terrapin Bay by the hydro station</t>
  </si>
  <si>
    <t>Southern Terrapin Bay</t>
  </si>
  <si>
    <t>Florida Bay site just south of Terrapin</t>
  </si>
  <si>
    <t>Garfield Bight</t>
  </si>
  <si>
    <t>Garfield Bight by the hydro station</t>
  </si>
  <si>
    <t>Southern Garfield Bight</t>
  </si>
  <si>
    <t>Florida  Bay</t>
  </si>
  <si>
    <t>Florida Bay site just south of Garfield</t>
  </si>
  <si>
    <t>Rankin Basin</t>
  </si>
  <si>
    <t>Whipray Basin</t>
  </si>
  <si>
    <t>Southern Whipray Basin</t>
  </si>
  <si>
    <t xml:space="preserve">Florida Bay </t>
  </si>
  <si>
    <t>Twin Keys Basin</t>
  </si>
  <si>
    <t>Johnson Basin</t>
  </si>
  <si>
    <t>Conche Channel</t>
  </si>
  <si>
    <t>Western Conche Channel</t>
  </si>
  <si>
    <t>ENP Marsh</t>
  </si>
  <si>
    <t>E146</t>
  </si>
  <si>
    <t>Column</t>
  </si>
  <si>
    <t>Description</t>
  </si>
  <si>
    <t>Site code of site (see Site_Metadata tab)</t>
  </si>
  <si>
    <t>Code for sampling event. Underscore between month and year is quarterly sampling, no underscore is EOI sampling</t>
  </si>
  <si>
    <t>Column used in water nutrients. Denotes whether sample was for filtered (F) or unfiltered (UF) nutrients</t>
  </si>
  <si>
    <t>Column used in sediment. Denotes whether sample is for stable isotope analysis (SIA) or to be sent to SFWMD (D)</t>
  </si>
  <si>
    <t>Replicate number if 2 replicates were taken</t>
  </si>
  <si>
    <t>Unique sample code for sample collection. Auto-generated using Site-code, Sampling_event, and other columns to the left of this column</t>
  </si>
  <si>
    <t>Date the sample was collected</t>
  </si>
  <si>
    <t>Time sample was collected. Data for time collected housed in the water quality tab</t>
  </si>
  <si>
    <t>Filtered</t>
  </si>
  <si>
    <t>Column used in water SIA. Date when sample was filtered for POM</t>
  </si>
  <si>
    <t>Column used in water SIA. Denotes whether enough water was left over to archive</t>
  </si>
  <si>
    <t>Column used in sediment and water SIA. Date when sample was put in drying oven</t>
  </si>
  <si>
    <t>Column used in sediment. Date when sample is submitted to SFWMD if sample is denoted as a D</t>
  </si>
  <si>
    <t>Column in sediment and water SIA. Date when sample is ground for stable isotope analysis</t>
  </si>
  <si>
    <t>Column used in sediment and water SIA. Date when sample started to be decarbonated for stable isotope analysis</t>
  </si>
  <si>
    <t>Column used in sediment and water SIA. Date when sample was wrapped for stable isotope analysis</t>
  </si>
  <si>
    <t>Column used in sediment and water SIA. Date when sample is submitted to lab for stable isotope analysis (if sample is denoted as a SIA in sediment)</t>
  </si>
  <si>
    <t>Column used in chlorophyll. Amount of water filtered for chlorophyll sample</t>
  </si>
  <si>
    <t>Column used in chlorophyll. Date when processing is started on a sample</t>
  </si>
  <si>
    <t>Column used in chlorophyll. Chlorophyll reading</t>
  </si>
  <si>
    <t>Column in water nutrients, sediment, and water SIA. Date processed sample data is returned</t>
  </si>
  <si>
    <t>Column in algal ID. Species of Cyano that forms the majority of the cyano makeup in the sample</t>
  </si>
  <si>
    <t>Sample Quality</t>
  </si>
  <si>
    <t>Site</t>
  </si>
  <si>
    <t>Total Weight (mg)</t>
  </si>
  <si>
    <t>Weight -avg filter Weight (mg)</t>
  </si>
  <si>
    <t>Sites That look Light</t>
  </si>
  <si>
    <t>Poor</t>
  </si>
  <si>
    <t>Strong</t>
  </si>
  <si>
    <t>Clean Filter Weights</t>
  </si>
  <si>
    <t>Avg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</si>
</sst>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 tint="0.34998626667073579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8" xfId="0" applyBorder="1" applyAlignment="1">
      <alignment horizontal="right"/>
    </xf>
    <xf numFmtId="14" fontId="0" fillId="0" borderId="0" xfId="0" applyNumberFormat="1" applyAlignment="1">
      <alignment horizontal="left" vertical="center"/>
    </xf>
    <xf numFmtId="14" fontId="2" fillId="0" borderId="0" xfId="0" applyNumberFormat="1" applyFont="1" applyAlignment="1">
      <alignment horizontal="left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/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164" fontId="5" fillId="0" borderId="11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horizontal="center" vertical="center"/>
    </xf>
    <xf numFmtId="14" fontId="9" fillId="8" borderId="0" xfId="0" applyNumberFormat="1" applyFont="1" applyFill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2" fontId="5" fillId="9" borderId="11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14" fontId="9" fillId="6" borderId="0" xfId="0" applyNumberFormat="1" applyFont="1" applyFill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14" fontId="0" fillId="10" borderId="0" xfId="0" applyNumberFormat="1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4" fontId="6" fillId="10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11" xfId="0" applyFont="1" applyBorder="1"/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21">
    <dxf>
      <fill>
        <patternFill>
          <bgColor rgb="FFFF53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53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171"/>
        </patternFill>
      </fill>
    </dxf>
    <dxf>
      <fill>
        <patternFill>
          <bgColor theme="9" tint="0.39994506668294322"/>
        </patternFill>
      </fill>
    </dxf>
    <dxf>
      <fill>
        <patternFill>
          <bgColor rgb="FFFF7171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5353"/>
          <bgColor rgb="FF000000"/>
        </patternFill>
      </fill>
    </dxf>
  </dxfs>
  <tableStyles count="0" defaultTableStyle="TableStyleMedium2" defaultPivotStyle="PivotStyleLight16"/>
  <colors>
    <mruColors>
      <color rgb="FFCC0000"/>
      <color rgb="FFFF5353"/>
      <color rgb="FFFF7171"/>
      <color rgb="FFFF8781"/>
      <color rgb="FFFC45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136F5EA-3740-4ABD-9F05-3323862A5CA6}">
    <nsvFilter filterId="{27BD15E3-4BDC-454A-A05D-20BB71F17961}" ref="A1:H351" tableId="0">
      <columnFilter colId="5">
        <filter colId="5">
          <x:filters blank="1">
            <x:filter val="11"/>
            <x:filter val="17"/>
            <x:filter val="20"/>
            <x:filter val="22"/>
            <x:filter val="24"/>
            <x:filter val="25"/>
            <x:filter val="28"/>
            <x:filter val="30"/>
            <x:filter val="48"/>
            <x:filter val="5"/>
            <x:filter val="50"/>
            <x:filter val="51"/>
            <x:filter val="52"/>
            <x:filter val="53"/>
            <x:filter val="54"/>
            <x:filter val="55"/>
            <x:filter val="56"/>
            <x:filter val="57"/>
            <x:filter val="58"/>
          </x:filters>
        </filter>
      </columnFilter>
      <columnFilter colId="6">
        <filter colId="6">
          <x:filters blank="1"/>
        </filter>
      </columnFilter>
      <sortRules>
        <sortRule colId="4">
          <sortCondition ref="E1:E351"/>
        </sortRule>
      </sortRules>
    </nsvFilter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4553-578E-4364-BFA7-0BDCDC3FCDBA}">
  <sheetPr filterMode="1"/>
  <dimension ref="A1:N282"/>
  <sheetViews>
    <sheetView zoomScale="73" workbookViewId="0">
      <pane xSplit="1" topLeftCell="B1" activePane="topRight" state="frozen"/>
      <selection pane="topRight" activeCell="D12" sqref="D12"/>
    </sheetView>
  </sheetViews>
  <sheetFormatPr defaultRowHeight="15" customHeight="1" x14ac:dyDescent="0.35"/>
  <cols>
    <col min="1" max="1" width="15" style="1" customWidth="1"/>
    <col min="2" max="2" width="16" style="2" customWidth="1"/>
    <col min="3" max="3" width="16" style="1" customWidth="1"/>
    <col min="4" max="4" width="17.7265625" style="1" customWidth="1"/>
    <col min="5" max="5" width="17.81640625" style="1" customWidth="1"/>
    <col min="6" max="6" width="16.81640625" style="32" customWidth="1"/>
    <col min="7" max="7" width="16.81640625" style="1" customWidth="1"/>
    <col min="8" max="9" width="19.453125" style="1" customWidth="1"/>
    <col min="10" max="10" width="17.54296875" style="1" customWidth="1"/>
    <col min="11" max="11" width="15.54296875" style="1" customWidth="1"/>
    <col min="12" max="12" width="16.453125" style="1" customWidth="1"/>
    <col min="13" max="13" width="16.54296875" style="1" customWidth="1"/>
    <col min="14" max="14" width="17.81640625" customWidth="1"/>
  </cols>
  <sheetData>
    <row r="1" spans="1:14" s="7" customFormat="1" ht="14.5" x14ac:dyDescent="0.3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3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7" t="s">
        <v>13</v>
      </c>
    </row>
    <row r="2" spans="1:14" ht="14.5" x14ac:dyDescent="0.35">
      <c r="A2" s="1" t="s">
        <v>14</v>
      </c>
      <c r="B2" s="2" t="s">
        <v>15</v>
      </c>
      <c r="C2" s="1" t="s">
        <v>16</v>
      </c>
      <c r="D2" s="1" t="str">
        <f t="shared" ref="D2:D65" si="0">A2&amp;"_"&amp;B2&amp;"_"&amp;C2</f>
        <v>P37_9-23_SIA</v>
      </c>
      <c r="E2" s="10">
        <v>45184</v>
      </c>
      <c r="F2" s="24">
        <v>45503</v>
      </c>
      <c r="G2" s="10" t="s">
        <v>17</v>
      </c>
      <c r="I2" s="1" t="s">
        <v>17</v>
      </c>
      <c r="J2" s="1" t="s">
        <v>17</v>
      </c>
      <c r="K2" s="1" t="s">
        <v>18</v>
      </c>
    </row>
    <row r="3" spans="1:14" ht="14.5" x14ac:dyDescent="0.35">
      <c r="A3" s="1" t="s">
        <v>19</v>
      </c>
      <c r="B3" s="2" t="s">
        <v>15</v>
      </c>
      <c r="C3" s="1" t="s">
        <v>16</v>
      </c>
      <c r="D3" s="1" t="str">
        <f t="shared" si="0"/>
        <v>NCL_9-23_SIA</v>
      </c>
      <c r="E3" s="10">
        <v>45184</v>
      </c>
      <c r="F3" s="24">
        <v>45498</v>
      </c>
      <c r="G3" s="10" t="s">
        <v>17</v>
      </c>
      <c r="I3" s="1" t="s">
        <v>17</v>
      </c>
      <c r="J3" s="1" t="s">
        <v>17</v>
      </c>
      <c r="K3" s="1" t="s">
        <v>18</v>
      </c>
    </row>
    <row r="4" spans="1:14" ht="14.5" x14ac:dyDescent="0.35">
      <c r="A4" s="1" t="s">
        <v>20</v>
      </c>
      <c r="B4" s="2" t="s">
        <v>15</v>
      </c>
      <c r="C4" s="1" t="s">
        <v>16</v>
      </c>
      <c r="D4" s="1" t="str">
        <f t="shared" si="0"/>
        <v>CP_9-23_SIA</v>
      </c>
      <c r="E4" s="10">
        <v>45184</v>
      </c>
      <c r="F4" s="24">
        <v>45503</v>
      </c>
      <c r="G4" s="10" t="s">
        <v>17</v>
      </c>
      <c r="I4" s="1" t="s">
        <v>17</v>
      </c>
      <c r="J4" s="1" t="s">
        <v>17</v>
      </c>
      <c r="K4" s="1" t="s">
        <v>18</v>
      </c>
    </row>
    <row r="5" spans="1:14" ht="14.5" x14ac:dyDescent="0.35">
      <c r="A5" s="1" t="s">
        <v>21</v>
      </c>
      <c r="B5" s="2" t="s">
        <v>15</v>
      </c>
      <c r="C5" s="1" t="s">
        <v>16</v>
      </c>
      <c r="D5" s="1" t="str">
        <f t="shared" si="0"/>
        <v>EP146_9-23_SIA</v>
      </c>
      <c r="E5" s="10">
        <v>45184</v>
      </c>
      <c r="F5" s="24">
        <v>45503</v>
      </c>
      <c r="G5" s="10" t="s">
        <v>17</v>
      </c>
      <c r="I5" s="1" t="s">
        <v>17</v>
      </c>
      <c r="J5" s="1" t="s">
        <v>17</v>
      </c>
      <c r="K5" s="1" t="s">
        <v>18</v>
      </c>
    </row>
    <row r="6" spans="1:14" ht="14.5" x14ac:dyDescent="0.35">
      <c r="A6" s="1" t="s">
        <v>22</v>
      </c>
      <c r="B6" s="2" t="s">
        <v>15</v>
      </c>
      <c r="C6" s="1" t="s">
        <v>16</v>
      </c>
      <c r="D6" s="1" t="str">
        <f t="shared" si="0"/>
        <v>OL_9-23_SIA</v>
      </c>
      <c r="E6" s="10">
        <v>45184</v>
      </c>
      <c r="F6" s="24">
        <v>45503</v>
      </c>
      <c r="G6" s="10" t="s">
        <v>17</v>
      </c>
      <c r="I6" s="1" t="s">
        <v>17</v>
      </c>
      <c r="J6" s="1" t="s">
        <v>17</v>
      </c>
      <c r="K6" s="1" t="s">
        <v>18</v>
      </c>
    </row>
    <row r="7" spans="1:14" ht="14.5" x14ac:dyDescent="0.35">
      <c r="A7" s="1" t="s">
        <v>23</v>
      </c>
      <c r="B7" s="2" t="s">
        <v>15</v>
      </c>
      <c r="C7" s="1" t="s">
        <v>16</v>
      </c>
      <c r="D7" s="1" t="str">
        <f t="shared" si="0"/>
        <v>R127_9-23_SIA</v>
      </c>
      <c r="E7" s="10">
        <v>45184</v>
      </c>
      <c r="F7" s="24">
        <v>45503</v>
      </c>
      <c r="G7" s="10" t="s">
        <v>17</v>
      </c>
      <c r="I7" s="1" t="s">
        <v>17</v>
      </c>
      <c r="J7" s="1" t="s">
        <v>17</v>
      </c>
      <c r="K7" s="1" t="s">
        <v>18</v>
      </c>
    </row>
    <row r="8" spans="1:14" ht="14.5" x14ac:dyDescent="0.35">
      <c r="A8" s="1" t="s">
        <v>24</v>
      </c>
      <c r="B8" s="2" t="s">
        <v>15</v>
      </c>
      <c r="C8" s="1" t="s">
        <v>16</v>
      </c>
      <c r="D8" s="1" t="str">
        <f t="shared" si="0"/>
        <v>ACS1_9-23_SIA</v>
      </c>
      <c r="E8" s="10">
        <v>45195</v>
      </c>
      <c r="F8" s="24">
        <v>45505</v>
      </c>
      <c r="G8" s="10" t="s">
        <v>17</v>
      </c>
      <c r="I8" s="1" t="s">
        <v>17</v>
      </c>
      <c r="J8" s="1" t="s">
        <v>17</v>
      </c>
      <c r="K8" s="1" t="s">
        <v>18</v>
      </c>
    </row>
    <row r="9" spans="1:14" ht="14.5" x14ac:dyDescent="0.35">
      <c r="A9" s="1" t="s">
        <v>25</v>
      </c>
      <c r="B9" s="2" t="s">
        <v>15</v>
      </c>
      <c r="C9" s="1" t="s">
        <v>16</v>
      </c>
      <c r="D9" s="1" t="str">
        <f t="shared" si="0"/>
        <v>ACS2_9-23_SIA</v>
      </c>
      <c r="E9" s="10">
        <v>45195</v>
      </c>
      <c r="F9" s="24">
        <v>45503</v>
      </c>
      <c r="G9" s="10" t="s">
        <v>17</v>
      </c>
      <c r="I9" s="1" t="s">
        <v>17</v>
      </c>
      <c r="J9" s="1" t="s">
        <v>17</v>
      </c>
      <c r="K9" s="1" t="s">
        <v>18</v>
      </c>
    </row>
    <row r="10" spans="1:14" ht="14.5" x14ac:dyDescent="0.35">
      <c r="A10" s="1" t="s">
        <v>26</v>
      </c>
      <c r="B10" s="2" t="s">
        <v>15</v>
      </c>
      <c r="C10" s="1" t="s">
        <v>16</v>
      </c>
      <c r="D10" s="1" t="str">
        <f t="shared" si="0"/>
        <v>ACS3_9-23_SIA</v>
      </c>
      <c r="E10" s="10">
        <v>45195</v>
      </c>
      <c r="F10" s="25">
        <v>45503</v>
      </c>
      <c r="G10" s="10" t="s">
        <v>17</v>
      </c>
      <c r="I10" s="1" t="s">
        <v>17</v>
      </c>
      <c r="J10" s="1" t="s">
        <v>17</v>
      </c>
      <c r="K10" s="1" t="s">
        <v>18</v>
      </c>
    </row>
    <row r="11" spans="1:14" ht="14.5" x14ac:dyDescent="0.35">
      <c r="A11" s="1" t="s">
        <v>27</v>
      </c>
      <c r="B11" s="2" t="s">
        <v>15</v>
      </c>
      <c r="C11" s="1" t="s">
        <v>16</v>
      </c>
      <c r="D11" s="1" t="str">
        <f>A11&amp;"_"&amp;B11&amp;"_"&amp;C11</f>
        <v>ACS4_9-23_SIA</v>
      </c>
      <c r="E11" s="10">
        <v>45195</v>
      </c>
      <c r="F11" s="25">
        <v>45503</v>
      </c>
      <c r="G11" s="10" t="s">
        <v>17</v>
      </c>
      <c r="I11" s="1" t="s">
        <v>17</v>
      </c>
      <c r="J11" s="1" t="s">
        <v>17</v>
      </c>
      <c r="K11" s="1" t="s">
        <v>18</v>
      </c>
    </row>
    <row r="12" spans="1:14" ht="14.5" x14ac:dyDescent="0.35">
      <c r="A12" s="1" t="s">
        <v>28</v>
      </c>
      <c r="B12" s="2" t="s">
        <v>15</v>
      </c>
      <c r="C12" s="1" t="s">
        <v>16</v>
      </c>
      <c r="D12" s="1" t="str">
        <f t="shared" si="0"/>
        <v>ACS5_9-23_SIA</v>
      </c>
      <c r="E12" s="10">
        <v>45195</v>
      </c>
      <c r="F12" s="24">
        <v>45505</v>
      </c>
      <c r="G12" s="10" t="s">
        <v>17</v>
      </c>
      <c r="I12" s="1" t="s">
        <v>17</v>
      </c>
      <c r="J12" s="1" t="s">
        <v>17</v>
      </c>
      <c r="K12" s="1" t="s">
        <v>18</v>
      </c>
    </row>
    <row r="13" spans="1:14" ht="14.5" x14ac:dyDescent="0.35">
      <c r="A13" s="1" t="s">
        <v>29</v>
      </c>
      <c r="B13" s="2" t="s">
        <v>15</v>
      </c>
      <c r="C13" s="1" t="s">
        <v>16</v>
      </c>
      <c r="D13" s="1" t="str">
        <f t="shared" si="0"/>
        <v>GBHM_9-23_SIA</v>
      </c>
      <c r="E13" s="10">
        <v>45195</v>
      </c>
      <c r="F13" s="24">
        <v>45505</v>
      </c>
      <c r="G13" s="10" t="s">
        <v>17</v>
      </c>
      <c r="I13" s="1" t="s">
        <v>17</v>
      </c>
      <c r="J13" s="1" t="s">
        <v>17</v>
      </c>
      <c r="K13" s="1" t="s">
        <v>18</v>
      </c>
    </row>
    <row r="14" spans="1:14" ht="14.5" x14ac:dyDescent="0.35">
      <c r="A14" s="1" t="s">
        <v>30</v>
      </c>
      <c r="B14" s="2" t="s">
        <v>15</v>
      </c>
      <c r="C14" s="1" t="s">
        <v>16</v>
      </c>
      <c r="D14" s="1" t="str">
        <f t="shared" si="0"/>
        <v>DC1_9-23_SIA</v>
      </c>
      <c r="E14" s="10">
        <v>45195</v>
      </c>
      <c r="F14" s="25">
        <v>45503</v>
      </c>
      <c r="G14" s="10" t="s">
        <v>17</v>
      </c>
      <c r="I14" s="1" t="s">
        <v>17</v>
      </c>
      <c r="J14" s="1" t="s">
        <v>17</v>
      </c>
      <c r="K14" s="1" t="s">
        <v>18</v>
      </c>
    </row>
    <row r="15" spans="1:14" ht="14.5" x14ac:dyDescent="0.35">
      <c r="A15" s="1" t="s">
        <v>31</v>
      </c>
      <c r="B15" s="2" t="s">
        <v>15</v>
      </c>
      <c r="C15" s="1" t="s">
        <v>16</v>
      </c>
      <c r="D15" s="1" t="str">
        <f t="shared" si="0"/>
        <v>DCM1_9-23_SIA</v>
      </c>
      <c r="E15" s="10">
        <v>45195</v>
      </c>
      <c r="F15" s="24">
        <v>45505</v>
      </c>
      <c r="G15" s="10" t="s">
        <v>17</v>
      </c>
      <c r="I15" s="1" t="s">
        <v>17</v>
      </c>
      <c r="J15" s="1" t="s">
        <v>17</v>
      </c>
      <c r="K15" s="1" t="s">
        <v>18</v>
      </c>
    </row>
    <row r="16" spans="1:14" ht="14.5" x14ac:dyDescent="0.35">
      <c r="A16" s="1" t="s">
        <v>32</v>
      </c>
      <c r="B16" s="2" t="s">
        <v>15</v>
      </c>
      <c r="C16" s="1" t="s">
        <v>16</v>
      </c>
      <c r="D16" s="1" t="str">
        <f t="shared" si="0"/>
        <v>DC2_9-23_SIA</v>
      </c>
      <c r="E16" s="10">
        <v>45195</v>
      </c>
      <c r="F16" s="25">
        <v>45503</v>
      </c>
      <c r="G16" s="10" t="s">
        <v>17</v>
      </c>
      <c r="I16" s="1" t="s">
        <v>17</v>
      </c>
      <c r="J16" s="1" t="s">
        <v>17</v>
      </c>
      <c r="K16" s="1" t="s">
        <v>18</v>
      </c>
    </row>
    <row r="17" spans="1:14" ht="14.5" x14ac:dyDescent="0.35">
      <c r="A17" s="1" t="s">
        <v>33</v>
      </c>
      <c r="B17" s="2" t="s">
        <v>15</v>
      </c>
      <c r="C17" s="1" t="s">
        <v>16</v>
      </c>
      <c r="D17" s="1" t="str">
        <f t="shared" si="0"/>
        <v>DCM2_9-23_SIA</v>
      </c>
      <c r="E17" s="10">
        <v>45195</v>
      </c>
      <c r="F17" s="24">
        <v>45505</v>
      </c>
      <c r="G17" s="10" t="s">
        <v>17</v>
      </c>
      <c r="I17" s="1" t="s">
        <v>17</v>
      </c>
      <c r="J17" s="1" t="s">
        <v>17</v>
      </c>
      <c r="K17" s="1" t="s">
        <v>18</v>
      </c>
    </row>
    <row r="18" spans="1:14" ht="14.5" x14ac:dyDescent="0.35">
      <c r="A18" s="1" t="s">
        <v>34</v>
      </c>
      <c r="B18" s="2" t="s">
        <v>15</v>
      </c>
      <c r="C18" s="1" t="s">
        <v>16</v>
      </c>
      <c r="D18" s="1" t="str">
        <f t="shared" si="0"/>
        <v>GB1_9-23_SIA</v>
      </c>
      <c r="E18" s="10">
        <v>45195</v>
      </c>
      <c r="F18" s="25">
        <v>45503</v>
      </c>
      <c r="G18" s="10" t="s">
        <v>17</v>
      </c>
      <c r="I18" s="1" t="s">
        <v>17</v>
      </c>
      <c r="J18" s="1" t="s">
        <v>17</v>
      </c>
      <c r="K18" s="1" t="s">
        <v>18</v>
      </c>
    </row>
    <row r="19" spans="1:14" ht="14.5" x14ac:dyDescent="0.35">
      <c r="A19" s="1" t="s">
        <v>35</v>
      </c>
      <c r="B19" s="2" t="s">
        <v>15</v>
      </c>
      <c r="C19" s="1" t="s">
        <v>16</v>
      </c>
      <c r="D19" s="1" t="str">
        <f t="shared" si="0"/>
        <v>MCS1_9-23_SIA</v>
      </c>
      <c r="E19" s="10">
        <v>45196</v>
      </c>
      <c r="F19" s="24">
        <v>45502</v>
      </c>
      <c r="G19" s="10" t="s">
        <v>17</v>
      </c>
      <c r="I19" s="1" t="s">
        <v>17</v>
      </c>
      <c r="J19" s="1" t="s">
        <v>17</v>
      </c>
      <c r="K19" s="1" t="s">
        <v>18</v>
      </c>
    </row>
    <row r="20" spans="1:14" ht="14.5" x14ac:dyDescent="0.35">
      <c r="A20" s="1" t="s">
        <v>36</v>
      </c>
      <c r="B20" s="2" t="s">
        <v>15</v>
      </c>
      <c r="C20" s="1" t="s">
        <v>16</v>
      </c>
      <c r="D20" s="1" t="str">
        <f t="shared" si="0"/>
        <v>MCS2_9-23_SIA</v>
      </c>
      <c r="E20" s="10">
        <v>45196</v>
      </c>
      <c r="F20" s="24">
        <v>45502</v>
      </c>
      <c r="G20" s="10" t="s">
        <v>17</v>
      </c>
      <c r="I20" s="1" t="s">
        <v>17</v>
      </c>
      <c r="J20" s="1" t="s">
        <v>17</v>
      </c>
      <c r="K20" s="1" t="s">
        <v>18</v>
      </c>
    </row>
    <row r="21" spans="1:14" ht="14.5" x14ac:dyDescent="0.35">
      <c r="A21" s="1" t="s">
        <v>37</v>
      </c>
      <c r="B21" s="2" t="s">
        <v>15</v>
      </c>
      <c r="C21" s="1" t="s">
        <v>16</v>
      </c>
      <c r="D21" s="1" t="str">
        <f t="shared" si="0"/>
        <v>MCS3_9-23_SIA</v>
      </c>
      <c r="E21" s="10">
        <v>45196</v>
      </c>
      <c r="F21" s="24">
        <v>45502</v>
      </c>
      <c r="G21" s="10" t="s">
        <v>17</v>
      </c>
      <c r="I21" s="1" t="s">
        <v>17</v>
      </c>
      <c r="J21" s="1" t="s">
        <v>17</v>
      </c>
      <c r="K21" s="1" t="s">
        <v>18</v>
      </c>
    </row>
    <row r="22" spans="1:14" s="30" customFormat="1" ht="14.5" x14ac:dyDescent="0.35">
      <c r="A22" s="1" t="s">
        <v>38</v>
      </c>
      <c r="B22" s="2" t="s">
        <v>15</v>
      </c>
      <c r="C22" s="1" t="s">
        <v>16</v>
      </c>
      <c r="D22" s="1" t="str">
        <f t="shared" si="0"/>
        <v>MCS4_9-23_SIA</v>
      </c>
      <c r="E22" s="10">
        <v>45196</v>
      </c>
      <c r="F22" s="24">
        <v>45502</v>
      </c>
      <c r="G22" s="10" t="s">
        <v>17</v>
      </c>
      <c r="H22" s="1"/>
      <c r="I22" s="1" t="s">
        <v>17</v>
      </c>
      <c r="J22" s="1" t="s">
        <v>17</v>
      </c>
      <c r="K22" s="1" t="s">
        <v>18</v>
      </c>
      <c r="L22" s="1"/>
      <c r="M22" s="1"/>
      <c r="N22"/>
    </row>
    <row r="23" spans="1:14" ht="14.5" x14ac:dyDescent="0.35">
      <c r="A23" s="1" t="s">
        <v>39</v>
      </c>
      <c r="B23" s="2" t="s">
        <v>15</v>
      </c>
      <c r="C23" s="1" t="s">
        <v>16</v>
      </c>
      <c r="D23" s="1" t="str">
        <f t="shared" si="0"/>
        <v>TBHM_9-23_SIA</v>
      </c>
      <c r="E23" s="10">
        <v>45196</v>
      </c>
      <c r="F23" s="24">
        <v>45502</v>
      </c>
      <c r="G23" s="10" t="s">
        <v>17</v>
      </c>
      <c r="I23" s="1" t="s">
        <v>17</v>
      </c>
      <c r="J23" s="1" t="s">
        <v>17</v>
      </c>
      <c r="K23" s="1" t="s">
        <v>18</v>
      </c>
    </row>
    <row r="24" spans="1:14" ht="14.5" x14ac:dyDescent="0.35">
      <c r="A24" s="1" t="s">
        <v>40</v>
      </c>
      <c r="B24" s="2" t="s">
        <v>15</v>
      </c>
      <c r="C24" s="1" t="s">
        <v>16</v>
      </c>
      <c r="D24" s="1" t="str">
        <f t="shared" si="0"/>
        <v>TBCM_9-23_SIA</v>
      </c>
      <c r="E24" s="10">
        <v>45196</v>
      </c>
      <c r="F24" s="24">
        <v>45502</v>
      </c>
      <c r="G24" s="10" t="s">
        <v>17</v>
      </c>
      <c r="I24" s="1" t="s">
        <v>17</v>
      </c>
      <c r="J24" s="1" t="s">
        <v>17</v>
      </c>
      <c r="K24" s="1" t="s">
        <v>18</v>
      </c>
    </row>
    <row r="25" spans="1:14" ht="14.5" x14ac:dyDescent="0.35">
      <c r="A25" s="1" t="s">
        <v>41</v>
      </c>
      <c r="B25" s="2" t="s">
        <v>15</v>
      </c>
      <c r="C25" s="1" t="s">
        <v>16</v>
      </c>
      <c r="D25" s="1" t="str">
        <f t="shared" si="0"/>
        <v>TB1_9-23_SIA</v>
      </c>
      <c r="E25" s="10">
        <v>45196</v>
      </c>
      <c r="F25" s="24">
        <v>45502</v>
      </c>
      <c r="G25" s="10" t="s">
        <v>17</v>
      </c>
      <c r="I25" s="1" t="s">
        <v>17</v>
      </c>
      <c r="J25" s="1" t="s">
        <v>17</v>
      </c>
      <c r="K25" s="1" t="s">
        <v>18</v>
      </c>
    </row>
    <row r="26" spans="1:14" ht="14.5" x14ac:dyDescent="0.35">
      <c r="A26" s="1" t="s">
        <v>42</v>
      </c>
      <c r="B26" s="2" t="s">
        <v>15</v>
      </c>
      <c r="C26" s="1" t="s">
        <v>16</v>
      </c>
      <c r="D26" s="1" t="str">
        <f t="shared" si="0"/>
        <v>TB2_9-23_SIA</v>
      </c>
      <c r="E26" s="10">
        <v>45196</v>
      </c>
      <c r="F26" s="25">
        <v>45503</v>
      </c>
      <c r="G26" s="10" t="s">
        <v>17</v>
      </c>
      <c r="I26" s="1" t="s">
        <v>17</v>
      </c>
      <c r="J26" s="1" t="s">
        <v>17</v>
      </c>
      <c r="K26" s="1" t="s">
        <v>18</v>
      </c>
    </row>
    <row r="27" spans="1:14" ht="14.5" x14ac:dyDescent="0.35">
      <c r="A27" s="1" t="s">
        <v>43</v>
      </c>
      <c r="B27" s="2" t="s">
        <v>15</v>
      </c>
      <c r="C27" s="1" t="s">
        <v>16</v>
      </c>
      <c r="D27" s="1" t="str">
        <f t="shared" si="0"/>
        <v>GB2_9-23_SIA</v>
      </c>
      <c r="E27" s="10">
        <v>45196</v>
      </c>
      <c r="F27" s="24">
        <v>45502</v>
      </c>
      <c r="G27" s="10" t="s">
        <v>17</v>
      </c>
      <c r="I27" s="1" t="s">
        <v>17</v>
      </c>
      <c r="J27" s="1" t="s">
        <v>17</v>
      </c>
      <c r="K27" s="1" t="s">
        <v>18</v>
      </c>
    </row>
    <row r="28" spans="1:14" ht="14.5" x14ac:dyDescent="0.35">
      <c r="A28" s="1" t="s">
        <v>44</v>
      </c>
      <c r="B28" s="2" t="s">
        <v>15</v>
      </c>
      <c r="C28" s="1" t="s">
        <v>16</v>
      </c>
      <c r="D28" s="1" t="str">
        <f t="shared" si="0"/>
        <v>RB_9-23_SIA</v>
      </c>
      <c r="E28" s="10">
        <v>45196</v>
      </c>
      <c r="F28" s="24">
        <v>45502</v>
      </c>
      <c r="G28" s="10" t="s">
        <v>17</v>
      </c>
      <c r="I28" s="1" t="s">
        <v>17</v>
      </c>
      <c r="J28" s="1" t="s">
        <v>17</v>
      </c>
      <c r="K28" s="1" t="s">
        <v>18</v>
      </c>
    </row>
    <row r="29" spans="1:14" ht="14.5" x14ac:dyDescent="0.35">
      <c r="A29" s="1" t="s">
        <v>45</v>
      </c>
      <c r="B29" s="2" t="s">
        <v>15</v>
      </c>
      <c r="C29" s="1" t="s">
        <v>16</v>
      </c>
      <c r="D29" s="1" t="str">
        <f t="shared" si="0"/>
        <v>TSM1_9-23_SIA</v>
      </c>
      <c r="E29" s="10">
        <v>45199</v>
      </c>
      <c r="F29" s="24">
        <v>45498</v>
      </c>
      <c r="G29" s="10" t="s">
        <v>17</v>
      </c>
      <c r="I29" s="1" t="s">
        <v>17</v>
      </c>
      <c r="J29" s="1" t="s">
        <v>17</v>
      </c>
      <c r="K29" s="1" t="s">
        <v>18</v>
      </c>
    </row>
    <row r="30" spans="1:14" ht="14.5" x14ac:dyDescent="0.35">
      <c r="A30" s="1" t="s">
        <v>46</v>
      </c>
      <c r="B30" s="2" t="s">
        <v>15</v>
      </c>
      <c r="C30" s="1" t="s">
        <v>16</v>
      </c>
      <c r="D30" s="1" t="str">
        <f t="shared" si="0"/>
        <v>TSM3_9-23_SIA</v>
      </c>
      <c r="E30" s="10">
        <v>45199</v>
      </c>
      <c r="F30" s="24">
        <v>45498</v>
      </c>
      <c r="G30" s="10" t="s">
        <v>17</v>
      </c>
      <c r="I30" s="1" t="s">
        <v>17</v>
      </c>
      <c r="J30" s="1" t="s">
        <v>17</v>
      </c>
      <c r="K30" s="1" t="s">
        <v>18</v>
      </c>
    </row>
    <row r="31" spans="1:14" ht="14.5" x14ac:dyDescent="0.35">
      <c r="A31" s="1" t="s">
        <v>47</v>
      </c>
      <c r="B31" s="2" t="s">
        <v>15</v>
      </c>
      <c r="C31" s="1" t="s">
        <v>16</v>
      </c>
      <c r="D31" s="1" t="str">
        <f t="shared" si="0"/>
        <v>TSM4_9-23_SIA</v>
      </c>
      <c r="E31" s="10">
        <v>45199</v>
      </c>
      <c r="F31" s="24">
        <v>45503</v>
      </c>
      <c r="G31" s="10" t="s">
        <v>17</v>
      </c>
      <c r="I31" s="1" t="s">
        <v>17</v>
      </c>
      <c r="J31" s="1" t="s">
        <v>17</v>
      </c>
      <c r="K31" s="1" t="s">
        <v>18</v>
      </c>
    </row>
    <row r="32" spans="1:14" ht="14.5" x14ac:dyDescent="0.35">
      <c r="A32" s="1" t="s">
        <v>48</v>
      </c>
      <c r="B32" s="2" t="s">
        <v>15</v>
      </c>
      <c r="C32" s="1" t="s">
        <v>16</v>
      </c>
      <c r="D32" s="1" t="str">
        <f t="shared" si="0"/>
        <v>SBT1_9-23_SIA</v>
      </c>
      <c r="E32" s="10">
        <v>45199</v>
      </c>
      <c r="F32" s="24">
        <v>45498</v>
      </c>
      <c r="G32" s="10" t="s">
        <v>17</v>
      </c>
      <c r="I32" s="1" t="s">
        <v>17</v>
      </c>
      <c r="J32" s="1" t="s">
        <v>17</v>
      </c>
      <c r="K32" s="1" t="s">
        <v>18</v>
      </c>
    </row>
    <row r="33" spans="1:11" ht="14.5" x14ac:dyDescent="0.35">
      <c r="A33" s="1" t="s">
        <v>49</v>
      </c>
      <c r="B33" s="2" t="s">
        <v>15</v>
      </c>
      <c r="C33" s="1" t="s">
        <v>16</v>
      </c>
      <c r="D33" s="1" t="str">
        <f t="shared" si="0"/>
        <v>SBT2_9-23_SIA</v>
      </c>
      <c r="E33" s="10">
        <v>45204</v>
      </c>
      <c r="F33" s="24">
        <v>45505</v>
      </c>
      <c r="G33" s="10" t="s">
        <v>17</v>
      </c>
      <c r="I33" s="1" t="s">
        <v>17</v>
      </c>
      <c r="J33" s="1" t="s">
        <v>17</v>
      </c>
      <c r="K33" s="1" t="s">
        <v>18</v>
      </c>
    </row>
    <row r="34" spans="1:11" ht="14.5" hidden="1" x14ac:dyDescent="0.35">
      <c r="A34" s="1" t="s">
        <v>45</v>
      </c>
      <c r="B34" s="2" t="s">
        <v>15</v>
      </c>
      <c r="C34" s="1" t="s">
        <v>50</v>
      </c>
      <c r="D34" s="1" t="str">
        <f t="shared" si="0"/>
        <v>TSM1_9-23_D</v>
      </c>
      <c r="E34" s="10">
        <v>45199</v>
      </c>
      <c r="F34" s="1"/>
    </row>
    <row r="35" spans="1:11" ht="14.5" hidden="1" x14ac:dyDescent="0.35">
      <c r="A35" s="1" t="s">
        <v>46</v>
      </c>
      <c r="B35" s="2" t="s">
        <v>15</v>
      </c>
      <c r="C35" s="1" t="s">
        <v>50</v>
      </c>
      <c r="D35" s="1" t="str">
        <f t="shared" si="0"/>
        <v>TSM3_9-23_D</v>
      </c>
      <c r="E35" s="10">
        <v>45199</v>
      </c>
      <c r="F35" s="1"/>
    </row>
    <row r="36" spans="1:11" ht="14.5" hidden="1" x14ac:dyDescent="0.35">
      <c r="A36" s="1" t="s">
        <v>47</v>
      </c>
      <c r="B36" s="2" t="s">
        <v>15</v>
      </c>
      <c r="C36" s="1" t="s">
        <v>50</v>
      </c>
      <c r="D36" s="1" t="str">
        <f t="shared" si="0"/>
        <v>TSM4_9-23_D</v>
      </c>
      <c r="E36" s="10">
        <v>45199</v>
      </c>
      <c r="F36" s="1"/>
    </row>
    <row r="37" spans="1:11" ht="14.5" hidden="1" x14ac:dyDescent="0.35">
      <c r="A37" s="1" t="s">
        <v>48</v>
      </c>
      <c r="B37" s="2" t="s">
        <v>15</v>
      </c>
      <c r="C37" s="1" t="s">
        <v>50</v>
      </c>
      <c r="D37" s="1" t="str">
        <f t="shared" si="0"/>
        <v>SBT1_9-23_D</v>
      </c>
      <c r="E37" s="10">
        <v>45199</v>
      </c>
      <c r="F37" s="1"/>
    </row>
    <row r="38" spans="1:11" ht="14.5" hidden="1" x14ac:dyDescent="0.35">
      <c r="A38" s="1" t="s">
        <v>49</v>
      </c>
      <c r="B38" s="2" t="s">
        <v>15</v>
      </c>
      <c r="C38" s="1" t="s">
        <v>50</v>
      </c>
      <c r="D38" s="1" t="str">
        <f t="shared" si="0"/>
        <v>SBT2_9-23_D</v>
      </c>
      <c r="E38" s="10">
        <v>45204</v>
      </c>
      <c r="F38" s="1"/>
    </row>
    <row r="39" spans="1:11" ht="14.5" hidden="1" x14ac:dyDescent="0.35">
      <c r="A39" s="1" t="s">
        <v>24</v>
      </c>
      <c r="B39" s="2" t="s">
        <v>15</v>
      </c>
      <c r="C39" s="1" t="s">
        <v>50</v>
      </c>
      <c r="D39" s="1" t="str">
        <f t="shared" si="0"/>
        <v>ACS1_9-23_D</v>
      </c>
      <c r="E39" s="10">
        <v>45195</v>
      </c>
      <c r="F39" s="1"/>
    </row>
    <row r="40" spans="1:11" ht="14.5" hidden="1" x14ac:dyDescent="0.35">
      <c r="A40" s="1" t="s">
        <v>25</v>
      </c>
      <c r="B40" s="2" t="s">
        <v>15</v>
      </c>
      <c r="C40" s="1" t="s">
        <v>50</v>
      </c>
      <c r="D40" s="1" t="str">
        <f t="shared" si="0"/>
        <v>ACS2_9-23_D</v>
      </c>
      <c r="E40" s="10">
        <v>45195</v>
      </c>
      <c r="F40" s="1"/>
    </row>
    <row r="41" spans="1:11" ht="14.5" hidden="1" x14ac:dyDescent="0.35">
      <c r="A41" s="1" t="s">
        <v>26</v>
      </c>
      <c r="B41" s="2" t="s">
        <v>15</v>
      </c>
      <c r="C41" s="1" t="s">
        <v>50</v>
      </c>
      <c r="D41" s="1" t="str">
        <f t="shared" si="0"/>
        <v>ACS3_9-23_D</v>
      </c>
      <c r="E41" s="10">
        <v>45195</v>
      </c>
      <c r="F41" s="1"/>
    </row>
    <row r="42" spans="1:11" ht="14.5" hidden="1" x14ac:dyDescent="0.35">
      <c r="A42" s="1" t="s">
        <v>27</v>
      </c>
      <c r="B42" s="2" t="s">
        <v>15</v>
      </c>
      <c r="C42" s="1" t="s">
        <v>50</v>
      </c>
      <c r="D42" s="1" t="str">
        <f t="shared" si="0"/>
        <v>ACS4_9-23_D</v>
      </c>
      <c r="E42" s="10">
        <v>45195</v>
      </c>
      <c r="F42" s="1"/>
    </row>
    <row r="43" spans="1:11" ht="14.5" hidden="1" x14ac:dyDescent="0.35">
      <c r="A43" s="1" t="s">
        <v>28</v>
      </c>
      <c r="B43" s="2" t="s">
        <v>15</v>
      </c>
      <c r="C43" s="1" t="s">
        <v>50</v>
      </c>
      <c r="D43" s="1" t="str">
        <f t="shared" si="0"/>
        <v>ACS5_9-23_D</v>
      </c>
      <c r="E43" s="10">
        <v>45195</v>
      </c>
      <c r="F43" s="1"/>
    </row>
    <row r="44" spans="1:11" ht="14.5" hidden="1" x14ac:dyDescent="0.35">
      <c r="A44" s="1" t="s">
        <v>29</v>
      </c>
      <c r="B44" s="2" t="s">
        <v>15</v>
      </c>
      <c r="C44" s="1" t="s">
        <v>50</v>
      </c>
      <c r="D44" s="1" t="str">
        <f t="shared" si="0"/>
        <v>GBHM_9-23_D</v>
      </c>
      <c r="E44" s="10">
        <v>45195</v>
      </c>
      <c r="F44" s="1"/>
    </row>
    <row r="45" spans="1:11" ht="14.5" hidden="1" x14ac:dyDescent="0.35">
      <c r="A45" s="1" t="s">
        <v>30</v>
      </c>
      <c r="B45" s="2" t="s">
        <v>15</v>
      </c>
      <c r="C45" s="1" t="s">
        <v>50</v>
      </c>
      <c r="D45" s="1" t="str">
        <f t="shared" si="0"/>
        <v>DC1_9-23_D</v>
      </c>
      <c r="E45" s="10">
        <v>45195</v>
      </c>
      <c r="F45" s="1"/>
    </row>
    <row r="46" spans="1:11" ht="14.5" hidden="1" x14ac:dyDescent="0.35">
      <c r="A46" s="1" t="s">
        <v>31</v>
      </c>
      <c r="B46" s="2" t="s">
        <v>15</v>
      </c>
      <c r="C46" s="1" t="s">
        <v>50</v>
      </c>
      <c r="D46" s="1" t="str">
        <f t="shared" si="0"/>
        <v>DCM1_9-23_D</v>
      </c>
      <c r="E46" s="10">
        <v>45195</v>
      </c>
      <c r="F46" s="1"/>
    </row>
    <row r="47" spans="1:11" ht="14.5" hidden="1" x14ac:dyDescent="0.35">
      <c r="A47" s="1" t="s">
        <v>32</v>
      </c>
      <c r="B47" s="2" t="s">
        <v>15</v>
      </c>
      <c r="C47" s="1" t="s">
        <v>50</v>
      </c>
      <c r="D47" s="1" t="str">
        <f t="shared" si="0"/>
        <v>DC2_9-23_D</v>
      </c>
      <c r="E47" s="10">
        <v>45195</v>
      </c>
      <c r="F47" s="1"/>
    </row>
    <row r="48" spans="1:11" ht="14.5" hidden="1" x14ac:dyDescent="0.35">
      <c r="A48" s="1" t="s">
        <v>33</v>
      </c>
      <c r="B48" s="2" t="s">
        <v>15</v>
      </c>
      <c r="C48" s="1" t="s">
        <v>50</v>
      </c>
      <c r="D48" s="1" t="str">
        <f t="shared" si="0"/>
        <v>DCM2_9-23_D</v>
      </c>
      <c r="E48" s="10">
        <v>45195</v>
      </c>
      <c r="F48" s="1"/>
    </row>
    <row r="49" spans="1:7" ht="14.5" hidden="1" x14ac:dyDescent="0.35">
      <c r="A49" s="1" t="s">
        <v>35</v>
      </c>
      <c r="B49" s="2" t="s">
        <v>15</v>
      </c>
      <c r="C49" s="1" t="s">
        <v>50</v>
      </c>
      <c r="D49" s="1" t="str">
        <f t="shared" si="0"/>
        <v>MCS1_9-23_D</v>
      </c>
      <c r="E49" s="10">
        <v>45196</v>
      </c>
      <c r="F49" s="10"/>
      <c r="G49" s="10"/>
    </row>
    <row r="50" spans="1:7" ht="14.5" hidden="1" x14ac:dyDescent="0.35">
      <c r="A50" s="1" t="s">
        <v>36</v>
      </c>
      <c r="B50" s="2" t="s">
        <v>15</v>
      </c>
      <c r="C50" s="1" t="s">
        <v>50</v>
      </c>
      <c r="D50" s="1" t="str">
        <f t="shared" si="0"/>
        <v>MCS2_9-23_D</v>
      </c>
      <c r="E50" s="10">
        <v>45196</v>
      </c>
      <c r="F50" s="10"/>
      <c r="G50" s="10"/>
    </row>
    <row r="51" spans="1:7" ht="14.5" hidden="1" x14ac:dyDescent="0.35">
      <c r="A51" s="1" t="s">
        <v>37</v>
      </c>
      <c r="B51" s="2" t="s">
        <v>15</v>
      </c>
      <c r="C51" s="1" t="s">
        <v>50</v>
      </c>
      <c r="D51" s="1" t="str">
        <f t="shared" si="0"/>
        <v>MCS3_9-23_D</v>
      </c>
      <c r="E51" s="10">
        <v>45196</v>
      </c>
      <c r="F51" s="10"/>
      <c r="G51" s="10"/>
    </row>
    <row r="52" spans="1:7" ht="14.5" hidden="1" x14ac:dyDescent="0.35">
      <c r="A52" s="1" t="s">
        <v>38</v>
      </c>
      <c r="B52" s="2" t="s">
        <v>15</v>
      </c>
      <c r="C52" s="1" t="s">
        <v>50</v>
      </c>
      <c r="D52" s="1" t="str">
        <f t="shared" si="0"/>
        <v>MCS4_9-23_D</v>
      </c>
      <c r="E52" s="10">
        <v>45196</v>
      </c>
      <c r="F52" s="10"/>
      <c r="G52" s="10"/>
    </row>
    <row r="53" spans="1:7" ht="14.5" hidden="1" x14ac:dyDescent="0.35">
      <c r="A53" s="1" t="s">
        <v>39</v>
      </c>
      <c r="B53" s="2" t="s">
        <v>15</v>
      </c>
      <c r="C53" s="1" t="s">
        <v>50</v>
      </c>
      <c r="D53" s="1" t="str">
        <f t="shared" si="0"/>
        <v>TBHM_9-23_D</v>
      </c>
      <c r="E53" s="10">
        <v>45196</v>
      </c>
      <c r="F53" s="10"/>
      <c r="G53" s="10"/>
    </row>
    <row r="54" spans="1:7" ht="14.5" hidden="1" x14ac:dyDescent="0.35">
      <c r="A54" s="1" t="s">
        <v>51</v>
      </c>
      <c r="B54" s="2" t="s">
        <v>15</v>
      </c>
      <c r="C54" s="1" t="s">
        <v>50</v>
      </c>
      <c r="D54" s="1" t="str">
        <f t="shared" si="0"/>
        <v>TBC_9-23_D</v>
      </c>
      <c r="E54" s="10">
        <v>45196</v>
      </c>
      <c r="F54" s="1"/>
    </row>
    <row r="55" spans="1:7" ht="14.5" hidden="1" x14ac:dyDescent="0.35">
      <c r="A55" s="1" t="s">
        <v>40</v>
      </c>
      <c r="B55" s="2" t="s">
        <v>15</v>
      </c>
      <c r="C55" s="1" t="s">
        <v>50</v>
      </c>
      <c r="D55" s="1" t="str">
        <f t="shared" si="0"/>
        <v>TBCM_9-23_D</v>
      </c>
      <c r="E55" s="10">
        <v>45196</v>
      </c>
      <c r="F55" s="10"/>
      <c r="G55" s="10"/>
    </row>
    <row r="56" spans="1:7" ht="14.5" hidden="1" x14ac:dyDescent="0.35">
      <c r="A56" s="1" t="s">
        <v>41</v>
      </c>
      <c r="B56" s="2" t="s">
        <v>15</v>
      </c>
      <c r="C56" s="1" t="s">
        <v>50</v>
      </c>
      <c r="D56" s="1" t="str">
        <f t="shared" si="0"/>
        <v>TB1_9-23_D</v>
      </c>
      <c r="E56" s="10">
        <v>45196</v>
      </c>
      <c r="F56" s="1"/>
    </row>
    <row r="57" spans="1:7" ht="14.5" hidden="1" x14ac:dyDescent="0.35">
      <c r="A57" s="1" t="s">
        <v>42</v>
      </c>
      <c r="B57" s="2" t="s">
        <v>15</v>
      </c>
      <c r="C57" s="1" t="s">
        <v>50</v>
      </c>
      <c r="D57" s="1" t="str">
        <f t="shared" si="0"/>
        <v>TB2_9-23_D</v>
      </c>
      <c r="E57" s="10">
        <v>45196</v>
      </c>
      <c r="F57" s="1"/>
    </row>
    <row r="58" spans="1:7" ht="14.5" hidden="1" x14ac:dyDescent="0.35">
      <c r="A58" s="1" t="s">
        <v>34</v>
      </c>
      <c r="B58" s="2" t="s">
        <v>15</v>
      </c>
      <c r="C58" s="1" t="s">
        <v>50</v>
      </c>
      <c r="D58" s="1" t="str">
        <f t="shared" si="0"/>
        <v>GB1_9-23_D</v>
      </c>
      <c r="E58" s="10">
        <v>45195</v>
      </c>
      <c r="F58" s="1"/>
    </row>
    <row r="59" spans="1:7" ht="14.5" hidden="1" x14ac:dyDescent="0.35">
      <c r="A59" s="1" t="s">
        <v>43</v>
      </c>
      <c r="B59" s="2" t="s">
        <v>15</v>
      </c>
      <c r="C59" s="1" t="s">
        <v>50</v>
      </c>
      <c r="D59" s="1" t="str">
        <f t="shared" si="0"/>
        <v>GB2_9-23_D</v>
      </c>
      <c r="E59" s="10">
        <v>45196</v>
      </c>
      <c r="F59" s="1"/>
    </row>
    <row r="60" spans="1:7" ht="14.5" hidden="1" x14ac:dyDescent="0.35">
      <c r="A60" s="1" t="s">
        <v>44</v>
      </c>
      <c r="B60" s="2" t="s">
        <v>15</v>
      </c>
      <c r="C60" s="1" t="s">
        <v>50</v>
      </c>
      <c r="D60" s="1" t="str">
        <f t="shared" si="0"/>
        <v>RB_9-23_D</v>
      </c>
      <c r="E60" s="10">
        <v>45196</v>
      </c>
      <c r="F60" s="1"/>
    </row>
    <row r="61" spans="1:7" ht="14.5" hidden="1" x14ac:dyDescent="0.35">
      <c r="A61" s="1" t="s">
        <v>52</v>
      </c>
      <c r="B61" s="2" t="s">
        <v>15</v>
      </c>
      <c r="C61" s="1" t="s">
        <v>50</v>
      </c>
      <c r="D61" s="1" t="str">
        <f t="shared" si="0"/>
        <v>WB1_9-23_D</v>
      </c>
      <c r="E61" s="10">
        <v>45204</v>
      </c>
      <c r="F61" s="1"/>
    </row>
    <row r="62" spans="1:7" ht="14.5" hidden="1" x14ac:dyDescent="0.35">
      <c r="A62" s="1" t="s">
        <v>53</v>
      </c>
      <c r="B62" s="2" t="s">
        <v>15</v>
      </c>
      <c r="C62" s="1" t="s">
        <v>50</v>
      </c>
      <c r="D62" s="1" t="str">
        <f t="shared" si="0"/>
        <v>WB2_9-23_D</v>
      </c>
      <c r="E62" s="10">
        <v>45204</v>
      </c>
      <c r="F62" s="1"/>
    </row>
    <row r="63" spans="1:7" ht="14.5" hidden="1" x14ac:dyDescent="0.35">
      <c r="A63" s="1" t="s">
        <v>54</v>
      </c>
      <c r="B63" s="2" t="s">
        <v>15</v>
      </c>
      <c r="C63" s="1" t="s">
        <v>50</v>
      </c>
      <c r="D63" s="1" t="str">
        <f t="shared" si="0"/>
        <v>TKB_9-23_D</v>
      </c>
      <c r="E63" s="10">
        <v>45204</v>
      </c>
      <c r="F63" s="1"/>
    </row>
    <row r="64" spans="1:7" ht="14.5" hidden="1" x14ac:dyDescent="0.35">
      <c r="A64" s="1" t="s">
        <v>55</v>
      </c>
      <c r="B64" s="2" t="s">
        <v>15</v>
      </c>
      <c r="C64" s="1" t="s">
        <v>50</v>
      </c>
      <c r="D64" s="1" t="str">
        <f t="shared" si="0"/>
        <v>JB_9-23_D</v>
      </c>
      <c r="E64" s="10">
        <v>45204</v>
      </c>
      <c r="F64" s="1"/>
    </row>
    <row r="65" spans="1:11" ht="14.5" hidden="1" x14ac:dyDescent="0.35">
      <c r="A65" s="1" t="s">
        <v>56</v>
      </c>
      <c r="B65" s="2" t="s">
        <v>15</v>
      </c>
      <c r="C65" s="1" t="s">
        <v>50</v>
      </c>
      <c r="D65" s="1" t="str">
        <f t="shared" si="0"/>
        <v>CC_9-23_D</v>
      </c>
      <c r="E65" s="10">
        <v>45204</v>
      </c>
      <c r="F65" s="1"/>
    </row>
    <row r="66" spans="1:11" ht="14.5" x14ac:dyDescent="0.35">
      <c r="A66" s="1" t="s">
        <v>52</v>
      </c>
      <c r="B66" s="2" t="s">
        <v>15</v>
      </c>
      <c r="C66" s="1" t="s">
        <v>16</v>
      </c>
      <c r="D66" s="1" t="str">
        <f t="shared" ref="D66:D129" si="1">A66&amp;"_"&amp;B66&amp;"_"&amp;C66</f>
        <v>WB1_9-23_SIA</v>
      </c>
      <c r="E66" s="10">
        <v>45204</v>
      </c>
      <c r="F66" s="24">
        <v>45523</v>
      </c>
      <c r="G66" s="10" t="s">
        <v>17</v>
      </c>
      <c r="I66" s="1" t="s">
        <v>17</v>
      </c>
      <c r="J66" s="1" t="s">
        <v>17</v>
      </c>
      <c r="K66" s="1" t="s">
        <v>18</v>
      </c>
    </row>
    <row r="67" spans="1:11" ht="14.5" hidden="1" x14ac:dyDescent="0.35">
      <c r="A67" s="1" t="s">
        <v>14</v>
      </c>
      <c r="B67" s="2" t="s">
        <v>15</v>
      </c>
      <c r="C67" s="1" t="s">
        <v>50</v>
      </c>
      <c r="D67" s="1" t="str">
        <f t="shared" si="1"/>
        <v>P37_9-23_D</v>
      </c>
      <c r="E67" s="10">
        <v>45184</v>
      </c>
      <c r="F67" s="1"/>
    </row>
    <row r="68" spans="1:11" ht="14.5" x14ac:dyDescent="0.35">
      <c r="A68" s="1" t="s">
        <v>53</v>
      </c>
      <c r="B68" s="2" t="s">
        <v>15</v>
      </c>
      <c r="C68" s="1" t="s">
        <v>16</v>
      </c>
      <c r="D68" s="1" t="str">
        <f t="shared" si="1"/>
        <v>WB2_9-23_SIA</v>
      </c>
      <c r="E68" s="10">
        <v>45204</v>
      </c>
      <c r="F68" s="24">
        <v>45509</v>
      </c>
      <c r="G68" s="10" t="s">
        <v>17</v>
      </c>
      <c r="I68" s="1" t="s">
        <v>17</v>
      </c>
      <c r="J68" s="1" t="s">
        <v>17</v>
      </c>
      <c r="K68" s="1" t="s">
        <v>18</v>
      </c>
    </row>
    <row r="69" spans="1:11" ht="14.5" hidden="1" x14ac:dyDescent="0.35">
      <c r="A69" s="1" t="s">
        <v>19</v>
      </c>
      <c r="B69" s="2" t="s">
        <v>15</v>
      </c>
      <c r="C69" s="1" t="s">
        <v>50</v>
      </c>
      <c r="D69" s="1" t="str">
        <f t="shared" si="1"/>
        <v>NCL_9-23_D</v>
      </c>
      <c r="E69" s="10">
        <v>45184</v>
      </c>
      <c r="F69" s="1"/>
    </row>
    <row r="70" spans="1:11" ht="14.5" x14ac:dyDescent="0.35">
      <c r="A70" s="1" t="s">
        <v>54</v>
      </c>
      <c r="B70" s="2" t="s">
        <v>15</v>
      </c>
      <c r="C70" s="1" t="s">
        <v>16</v>
      </c>
      <c r="D70" s="1" t="str">
        <f t="shared" si="1"/>
        <v>TKB_9-23_SIA</v>
      </c>
      <c r="E70" s="10">
        <v>45204</v>
      </c>
      <c r="F70" s="24">
        <v>45509</v>
      </c>
      <c r="G70" s="10" t="s">
        <v>17</v>
      </c>
      <c r="I70" s="1" t="s">
        <v>17</v>
      </c>
      <c r="J70" s="1" t="s">
        <v>17</v>
      </c>
      <c r="K70" s="1" t="s">
        <v>18</v>
      </c>
    </row>
    <row r="71" spans="1:11" ht="14.5" hidden="1" x14ac:dyDescent="0.35">
      <c r="A71" s="1" t="s">
        <v>20</v>
      </c>
      <c r="B71" s="2" t="s">
        <v>15</v>
      </c>
      <c r="C71" s="1" t="s">
        <v>50</v>
      </c>
      <c r="D71" s="1" t="str">
        <f t="shared" si="1"/>
        <v>CP_9-23_D</v>
      </c>
      <c r="E71" s="10">
        <v>45184</v>
      </c>
      <c r="F71" s="1"/>
    </row>
    <row r="72" spans="1:11" ht="14.5" x14ac:dyDescent="0.35">
      <c r="A72" s="1" t="s">
        <v>55</v>
      </c>
      <c r="B72" s="2" t="s">
        <v>15</v>
      </c>
      <c r="C72" s="1" t="s">
        <v>16</v>
      </c>
      <c r="D72" s="1" t="str">
        <f t="shared" si="1"/>
        <v>JB_9-23_SIA</v>
      </c>
      <c r="E72" s="10">
        <v>45204</v>
      </c>
      <c r="F72" s="24">
        <v>45509</v>
      </c>
      <c r="G72" s="10" t="s">
        <v>17</v>
      </c>
      <c r="I72" s="1" t="s">
        <v>17</v>
      </c>
      <c r="J72" s="1" t="s">
        <v>17</v>
      </c>
      <c r="K72" s="1" t="s">
        <v>18</v>
      </c>
    </row>
    <row r="73" spans="1:11" ht="14.5" hidden="1" x14ac:dyDescent="0.35">
      <c r="A73" s="1" t="s">
        <v>21</v>
      </c>
      <c r="B73" s="2" t="s">
        <v>15</v>
      </c>
      <c r="C73" s="1" t="s">
        <v>50</v>
      </c>
      <c r="D73" s="1" t="str">
        <f t="shared" si="1"/>
        <v>EP146_9-23_D</v>
      </c>
      <c r="E73" s="10">
        <v>45184</v>
      </c>
      <c r="F73" s="1"/>
    </row>
    <row r="74" spans="1:11" ht="14.5" x14ac:dyDescent="0.35">
      <c r="A74" s="1" t="s">
        <v>56</v>
      </c>
      <c r="B74" s="2" t="s">
        <v>15</v>
      </c>
      <c r="C74" s="1" t="s">
        <v>16</v>
      </c>
      <c r="D74" s="1" t="str">
        <f t="shared" si="1"/>
        <v>CC_9-23_SIA</v>
      </c>
      <c r="E74" s="10">
        <v>45204</v>
      </c>
      <c r="F74" s="24">
        <v>45509</v>
      </c>
      <c r="G74" s="10" t="s">
        <v>17</v>
      </c>
      <c r="I74" s="1" t="s">
        <v>17</v>
      </c>
      <c r="J74" s="1" t="s">
        <v>17</v>
      </c>
      <c r="K74" s="1" t="s">
        <v>18</v>
      </c>
    </row>
    <row r="75" spans="1:11" ht="14.5" hidden="1" x14ac:dyDescent="0.35">
      <c r="A75" s="1" t="s">
        <v>22</v>
      </c>
      <c r="B75" s="2" t="s">
        <v>15</v>
      </c>
      <c r="C75" s="1" t="s">
        <v>50</v>
      </c>
      <c r="D75" s="1" t="str">
        <f t="shared" si="1"/>
        <v>OL_9-23_D</v>
      </c>
      <c r="E75" s="10">
        <v>45184</v>
      </c>
      <c r="F75" s="1"/>
    </row>
    <row r="76" spans="1:11" ht="14.5" x14ac:dyDescent="0.35">
      <c r="A76" s="1" t="s">
        <v>14</v>
      </c>
      <c r="B76" s="2" t="s">
        <v>57</v>
      </c>
      <c r="C76" s="1" t="s">
        <v>16</v>
      </c>
      <c r="D76" s="1" t="str">
        <f t="shared" si="1"/>
        <v>P37_11_23_SIA</v>
      </c>
      <c r="E76" s="10">
        <v>45259</v>
      </c>
      <c r="F76" s="1"/>
      <c r="G76" s="10" t="s">
        <v>17</v>
      </c>
    </row>
    <row r="77" spans="1:11" ht="14.5" hidden="1" x14ac:dyDescent="0.35">
      <c r="A77" s="1" t="s">
        <v>58</v>
      </c>
      <c r="B77" s="2" t="s">
        <v>15</v>
      </c>
      <c r="C77" s="1" t="s">
        <v>50</v>
      </c>
      <c r="D77" s="1" t="str">
        <f t="shared" si="1"/>
        <v>TSH_9-23_D</v>
      </c>
      <c r="E77" s="10">
        <v>45184</v>
      </c>
      <c r="F77" s="1"/>
    </row>
    <row r="78" spans="1:11" ht="14.5" x14ac:dyDescent="0.35">
      <c r="A78" s="1" t="s">
        <v>19</v>
      </c>
      <c r="B78" s="2" t="s">
        <v>57</v>
      </c>
      <c r="C78" s="1" t="s">
        <v>16</v>
      </c>
      <c r="D78" s="1" t="str">
        <f t="shared" si="1"/>
        <v>NCL_11_23_SIA</v>
      </c>
      <c r="E78" s="10">
        <v>45259</v>
      </c>
      <c r="F78" s="1"/>
      <c r="G78" s="10" t="s">
        <v>17</v>
      </c>
    </row>
    <row r="79" spans="1:11" ht="14.5" hidden="1" x14ac:dyDescent="0.35">
      <c r="A79" s="1" t="s">
        <v>23</v>
      </c>
      <c r="B79" s="2" t="s">
        <v>15</v>
      </c>
      <c r="C79" s="1" t="s">
        <v>50</v>
      </c>
      <c r="D79" s="1" t="str">
        <f t="shared" si="1"/>
        <v>R127_9-23_D</v>
      </c>
      <c r="E79" s="10">
        <v>45184</v>
      </c>
      <c r="F79" s="1"/>
    </row>
    <row r="80" spans="1:11" ht="14.5" x14ac:dyDescent="0.35">
      <c r="A80" s="1" t="s">
        <v>20</v>
      </c>
      <c r="B80" s="2" t="s">
        <v>57</v>
      </c>
      <c r="C80" s="1" t="s">
        <v>16</v>
      </c>
      <c r="D80" s="1" t="str">
        <f t="shared" si="1"/>
        <v>CP_11_23_SIA</v>
      </c>
      <c r="E80" s="10">
        <v>45259</v>
      </c>
      <c r="F80" s="1"/>
      <c r="G80" s="10" t="s">
        <v>17</v>
      </c>
    </row>
    <row r="81" spans="1:7" ht="14.5" x14ac:dyDescent="0.35">
      <c r="A81" s="1" t="s">
        <v>21</v>
      </c>
      <c r="B81" s="2" t="s">
        <v>57</v>
      </c>
      <c r="C81" s="1" t="s">
        <v>16</v>
      </c>
      <c r="D81" s="1" t="str">
        <f t="shared" si="1"/>
        <v>EP146_11_23_SIA</v>
      </c>
      <c r="E81" s="10">
        <v>45259</v>
      </c>
      <c r="F81" s="1"/>
      <c r="G81" s="10" t="s">
        <v>17</v>
      </c>
    </row>
    <row r="82" spans="1:7" ht="14.5" hidden="1" x14ac:dyDescent="0.35">
      <c r="A82" s="1" t="s">
        <v>14</v>
      </c>
      <c r="B82" s="2" t="s">
        <v>59</v>
      </c>
      <c r="C82" s="1" t="s">
        <v>50</v>
      </c>
      <c r="D82" s="1" t="str">
        <f t="shared" si="1"/>
        <v>P37_7-24_D</v>
      </c>
      <c r="E82" s="10">
        <v>45476</v>
      </c>
      <c r="F82" s="1"/>
    </row>
    <row r="83" spans="1:7" ht="14.5" x14ac:dyDescent="0.35">
      <c r="A83" s="1" t="s">
        <v>22</v>
      </c>
      <c r="B83" s="2" t="s">
        <v>57</v>
      </c>
      <c r="C83" s="1" t="s">
        <v>16</v>
      </c>
      <c r="D83" s="1" t="str">
        <f t="shared" si="1"/>
        <v>OL_11_23_SIA</v>
      </c>
      <c r="E83" s="10">
        <v>45259</v>
      </c>
      <c r="F83" s="1"/>
      <c r="G83" s="10" t="s">
        <v>17</v>
      </c>
    </row>
    <row r="84" spans="1:7" ht="14.5" hidden="1" x14ac:dyDescent="0.35">
      <c r="A84" s="1" t="s">
        <v>19</v>
      </c>
      <c r="B84" s="2" t="s">
        <v>59</v>
      </c>
      <c r="C84" s="1" t="s">
        <v>50</v>
      </c>
      <c r="D84" s="1" t="str">
        <f t="shared" si="1"/>
        <v>NCL_7-24_D</v>
      </c>
      <c r="E84" s="10">
        <v>45476</v>
      </c>
      <c r="F84" s="1"/>
    </row>
    <row r="85" spans="1:7" ht="14.5" x14ac:dyDescent="0.35">
      <c r="A85" s="1" t="s">
        <v>58</v>
      </c>
      <c r="B85" s="2" t="s">
        <v>57</v>
      </c>
      <c r="C85" s="1" t="s">
        <v>16</v>
      </c>
      <c r="D85" s="1" t="str">
        <f t="shared" si="1"/>
        <v>TSH_11_23_SIA</v>
      </c>
      <c r="E85" s="10">
        <v>45259</v>
      </c>
      <c r="F85" s="1"/>
      <c r="G85" s="1" t="s">
        <v>60</v>
      </c>
    </row>
    <row r="86" spans="1:7" ht="14.5" hidden="1" x14ac:dyDescent="0.35">
      <c r="A86" s="1" t="s">
        <v>20</v>
      </c>
      <c r="B86" s="2" t="s">
        <v>59</v>
      </c>
      <c r="C86" s="1" t="s">
        <v>50</v>
      </c>
      <c r="D86" s="1" t="str">
        <f t="shared" si="1"/>
        <v>CP_7-24_D</v>
      </c>
      <c r="E86" s="10">
        <v>45476</v>
      </c>
      <c r="F86" s="1"/>
    </row>
    <row r="87" spans="1:7" ht="14.5" x14ac:dyDescent="0.35">
      <c r="A87" s="1" t="s">
        <v>23</v>
      </c>
      <c r="B87" s="2" t="s">
        <v>57</v>
      </c>
      <c r="C87" s="1" t="s">
        <v>16</v>
      </c>
      <c r="D87" s="1" t="str">
        <f t="shared" si="1"/>
        <v>R127_11_23_SIA</v>
      </c>
      <c r="E87" s="10">
        <v>45259</v>
      </c>
      <c r="F87" s="1"/>
      <c r="G87" s="10" t="s">
        <v>17</v>
      </c>
    </row>
    <row r="88" spans="1:7" ht="14.5" hidden="1" x14ac:dyDescent="0.35">
      <c r="A88" s="1" t="s">
        <v>21</v>
      </c>
      <c r="B88" s="2" t="s">
        <v>59</v>
      </c>
      <c r="C88" s="1" t="s">
        <v>50</v>
      </c>
      <c r="D88" s="1" t="str">
        <f t="shared" si="1"/>
        <v>EP146_7-24_D</v>
      </c>
      <c r="E88" s="10">
        <v>45476</v>
      </c>
      <c r="F88" s="1"/>
    </row>
    <row r="89" spans="1:7" ht="14.5" x14ac:dyDescent="0.35">
      <c r="A89" s="1" t="s">
        <v>49</v>
      </c>
      <c r="B89" s="2" t="s">
        <v>61</v>
      </c>
      <c r="C89" s="1" t="s">
        <v>16</v>
      </c>
      <c r="D89" s="1" t="str">
        <f t="shared" si="1"/>
        <v>SBT2_1-24_SIA</v>
      </c>
      <c r="E89" s="10">
        <v>45297</v>
      </c>
      <c r="F89" s="1"/>
      <c r="G89" s="10" t="s">
        <v>17</v>
      </c>
    </row>
    <row r="90" spans="1:7" ht="14.5" hidden="1" x14ac:dyDescent="0.35">
      <c r="A90" s="1" t="s">
        <v>22</v>
      </c>
      <c r="B90" s="2" t="s">
        <v>59</v>
      </c>
      <c r="C90" s="1" t="s">
        <v>50</v>
      </c>
      <c r="D90" s="1" t="str">
        <f t="shared" si="1"/>
        <v>OL_7-24_D</v>
      </c>
      <c r="E90" s="10">
        <v>45476</v>
      </c>
      <c r="F90" s="1"/>
    </row>
    <row r="91" spans="1:7" ht="14.5" x14ac:dyDescent="0.35">
      <c r="A91" s="1" t="s">
        <v>43</v>
      </c>
      <c r="B91" s="2" t="s">
        <v>61</v>
      </c>
      <c r="C91" s="1" t="s">
        <v>16</v>
      </c>
      <c r="D91" s="1" t="str">
        <f t="shared" si="1"/>
        <v>GB2_1-24_SIA</v>
      </c>
      <c r="E91" s="10">
        <v>45297</v>
      </c>
      <c r="F91" s="1"/>
      <c r="G91" s="10" t="s">
        <v>17</v>
      </c>
    </row>
    <row r="92" spans="1:7" ht="14.5" hidden="1" x14ac:dyDescent="0.35">
      <c r="A92" s="1" t="s">
        <v>58</v>
      </c>
      <c r="B92" s="2" t="s">
        <v>59</v>
      </c>
      <c r="C92" s="1" t="s">
        <v>50</v>
      </c>
      <c r="D92" s="1" t="str">
        <f t="shared" si="1"/>
        <v>TSH_7-24_D</v>
      </c>
      <c r="E92" s="10">
        <v>45476</v>
      </c>
      <c r="F92" s="1"/>
    </row>
    <row r="93" spans="1:7" ht="14.5" x14ac:dyDescent="0.35">
      <c r="A93" s="1" t="s">
        <v>44</v>
      </c>
      <c r="B93" s="2" t="s">
        <v>61</v>
      </c>
      <c r="C93" s="1" t="s">
        <v>16</v>
      </c>
      <c r="D93" s="1" t="str">
        <f t="shared" si="1"/>
        <v>RB_1-24_SIA</v>
      </c>
      <c r="E93" s="10">
        <v>45297</v>
      </c>
      <c r="F93" s="1"/>
      <c r="G93" s="10" t="s">
        <v>17</v>
      </c>
    </row>
    <row r="94" spans="1:7" ht="14.5" hidden="1" x14ac:dyDescent="0.35">
      <c r="A94" s="1" t="s">
        <v>23</v>
      </c>
      <c r="B94" s="2" t="s">
        <v>59</v>
      </c>
      <c r="C94" s="1" t="s">
        <v>50</v>
      </c>
      <c r="D94" s="1" t="str">
        <f t="shared" si="1"/>
        <v>R127_7-24_D</v>
      </c>
      <c r="E94" s="10">
        <v>45476</v>
      </c>
      <c r="F94" s="1"/>
    </row>
    <row r="95" spans="1:7" ht="14.5" x14ac:dyDescent="0.35">
      <c r="A95" s="1" t="s">
        <v>54</v>
      </c>
      <c r="B95" s="2" t="s">
        <v>61</v>
      </c>
      <c r="C95" s="1" t="s">
        <v>16</v>
      </c>
      <c r="D95" s="1" t="str">
        <f t="shared" si="1"/>
        <v>TKB_1-24_SIA</v>
      </c>
      <c r="E95" s="10">
        <v>45297</v>
      </c>
      <c r="F95" s="1"/>
      <c r="G95" s="10" t="s">
        <v>17</v>
      </c>
    </row>
    <row r="96" spans="1:7" ht="14.5" x14ac:dyDescent="0.35">
      <c r="A96" s="1" t="s">
        <v>55</v>
      </c>
      <c r="B96" s="2" t="s">
        <v>61</v>
      </c>
      <c r="C96" s="1" t="s">
        <v>16</v>
      </c>
      <c r="D96" s="1" t="str">
        <f t="shared" si="1"/>
        <v>JB_1-24_SIA</v>
      </c>
      <c r="E96" s="10">
        <v>45297</v>
      </c>
      <c r="F96" s="1"/>
      <c r="G96" s="10" t="s">
        <v>17</v>
      </c>
    </row>
    <row r="97" spans="1:7" ht="14.5" x14ac:dyDescent="0.35">
      <c r="A97" s="1" t="s">
        <v>56</v>
      </c>
      <c r="B97" s="2" t="s">
        <v>61</v>
      </c>
      <c r="C97" s="1" t="s">
        <v>16</v>
      </c>
      <c r="D97" s="1" t="str">
        <f t="shared" si="1"/>
        <v>CC_1-24_SIA</v>
      </c>
      <c r="E97" s="10">
        <v>45297</v>
      </c>
      <c r="F97" s="10"/>
      <c r="G97" s="10" t="s">
        <v>17</v>
      </c>
    </row>
    <row r="98" spans="1:7" ht="14.5" x14ac:dyDescent="0.35">
      <c r="A98" s="1" t="s">
        <v>35</v>
      </c>
      <c r="B98" s="2" t="s">
        <v>61</v>
      </c>
      <c r="C98" s="1" t="s">
        <v>16</v>
      </c>
      <c r="D98" s="1" t="str">
        <f t="shared" si="1"/>
        <v>MCS1_1-24_SIA</v>
      </c>
      <c r="E98" s="10">
        <v>45298</v>
      </c>
      <c r="F98" s="1"/>
      <c r="G98" s="10" t="s">
        <v>17</v>
      </c>
    </row>
    <row r="99" spans="1:7" ht="14.5" x14ac:dyDescent="0.35">
      <c r="A99" s="1" t="s">
        <v>36</v>
      </c>
      <c r="B99" s="2" t="s">
        <v>61</v>
      </c>
      <c r="C99" s="1" t="s">
        <v>16</v>
      </c>
      <c r="D99" s="1" t="str">
        <f t="shared" si="1"/>
        <v>MCS2_1-24_SIA</v>
      </c>
      <c r="E99" s="10">
        <v>45298</v>
      </c>
      <c r="F99" s="1"/>
      <c r="G99" s="10" t="s">
        <v>17</v>
      </c>
    </row>
    <row r="100" spans="1:7" ht="14.5" x14ac:dyDescent="0.35">
      <c r="A100" s="1" t="s">
        <v>37</v>
      </c>
      <c r="B100" s="2" t="s">
        <v>61</v>
      </c>
      <c r="C100" s="1" t="s">
        <v>16</v>
      </c>
      <c r="D100" s="1" t="str">
        <f t="shared" si="1"/>
        <v>MCS3_1-24_SIA</v>
      </c>
      <c r="E100" s="10">
        <v>45298</v>
      </c>
      <c r="F100" s="1"/>
      <c r="G100" s="10" t="s">
        <v>17</v>
      </c>
    </row>
    <row r="101" spans="1:7" ht="14.5" x14ac:dyDescent="0.35">
      <c r="A101" s="1" t="s">
        <v>38</v>
      </c>
      <c r="B101" s="2" t="s">
        <v>61</v>
      </c>
      <c r="C101" s="1" t="s">
        <v>16</v>
      </c>
      <c r="D101" s="1" t="str">
        <f t="shared" si="1"/>
        <v>MCS4_1-24_SIA</v>
      </c>
      <c r="E101" s="10">
        <v>45298</v>
      </c>
      <c r="F101" s="1"/>
      <c r="G101" s="10" t="s">
        <v>17</v>
      </c>
    </row>
    <row r="102" spans="1:7" ht="14.5" x14ac:dyDescent="0.35">
      <c r="A102" s="1" t="s">
        <v>39</v>
      </c>
      <c r="B102" s="2" t="s">
        <v>61</v>
      </c>
      <c r="C102" s="1" t="s">
        <v>16</v>
      </c>
      <c r="D102" s="1" t="str">
        <f t="shared" si="1"/>
        <v>TBHM_1-24_SIA</v>
      </c>
      <c r="E102" s="10">
        <v>45298</v>
      </c>
      <c r="F102" s="1"/>
      <c r="G102" s="10" t="s">
        <v>17</v>
      </c>
    </row>
    <row r="103" spans="1:7" ht="14.5" x14ac:dyDescent="0.35">
      <c r="A103" s="1" t="s">
        <v>51</v>
      </c>
      <c r="B103" s="2" t="s">
        <v>61</v>
      </c>
      <c r="C103" s="1" t="s">
        <v>16</v>
      </c>
      <c r="D103" s="1" t="str">
        <f t="shared" si="1"/>
        <v>TBC_1-24_SIA</v>
      </c>
      <c r="E103" s="10">
        <v>45298</v>
      </c>
      <c r="F103" s="1"/>
      <c r="G103" s="10" t="s">
        <v>17</v>
      </c>
    </row>
    <row r="104" spans="1:7" ht="14.5" x14ac:dyDescent="0.35">
      <c r="A104" s="1" t="s">
        <v>40</v>
      </c>
      <c r="B104" s="2" t="s">
        <v>61</v>
      </c>
      <c r="C104" s="1" t="s">
        <v>16</v>
      </c>
      <c r="D104" s="1" t="str">
        <f t="shared" si="1"/>
        <v>TBCM_1-24_SIA</v>
      </c>
      <c r="E104" s="10">
        <v>45298</v>
      </c>
      <c r="F104" s="1"/>
      <c r="G104" s="10" t="s">
        <v>17</v>
      </c>
    </row>
    <row r="105" spans="1:7" ht="14.5" x14ac:dyDescent="0.35">
      <c r="A105" s="1" t="s">
        <v>41</v>
      </c>
      <c r="B105" s="2" t="s">
        <v>61</v>
      </c>
      <c r="C105" s="1" t="s">
        <v>16</v>
      </c>
      <c r="D105" s="1" t="str">
        <f t="shared" si="1"/>
        <v>TB1_1-24_SIA</v>
      </c>
      <c r="E105" s="10">
        <v>45298</v>
      </c>
      <c r="F105" s="1"/>
      <c r="G105" s="10" t="s">
        <v>17</v>
      </c>
    </row>
    <row r="106" spans="1:7" ht="14.5" x14ac:dyDescent="0.35">
      <c r="A106" s="1" t="s">
        <v>42</v>
      </c>
      <c r="B106" s="2" t="s">
        <v>61</v>
      </c>
      <c r="C106" s="1" t="s">
        <v>16</v>
      </c>
      <c r="D106" s="1" t="str">
        <f t="shared" si="1"/>
        <v>TB2_1-24_SIA</v>
      </c>
      <c r="E106" s="10">
        <v>45298</v>
      </c>
      <c r="F106" s="1"/>
      <c r="G106" s="10" t="s">
        <v>17</v>
      </c>
    </row>
    <row r="107" spans="1:7" ht="14.5" x14ac:dyDescent="0.35">
      <c r="A107" s="1" t="s">
        <v>52</v>
      </c>
      <c r="B107" s="2" t="s">
        <v>61</v>
      </c>
      <c r="C107" s="1" t="s">
        <v>16</v>
      </c>
      <c r="D107" s="1" t="str">
        <f t="shared" si="1"/>
        <v>WB1_1-24_SIA</v>
      </c>
      <c r="E107" s="10">
        <v>45298</v>
      </c>
      <c r="F107" s="1"/>
      <c r="G107" s="10" t="s">
        <v>17</v>
      </c>
    </row>
    <row r="108" spans="1:7" ht="14.5" x14ac:dyDescent="0.35">
      <c r="A108" s="1" t="s">
        <v>53</v>
      </c>
      <c r="B108" s="2" t="s">
        <v>61</v>
      </c>
      <c r="C108" s="1" t="s">
        <v>16</v>
      </c>
      <c r="D108" s="1" t="str">
        <f t="shared" si="1"/>
        <v>WB2_1-24_SIA</v>
      </c>
      <c r="E108" s="10">
        <v>45298</v>
      </c>
      <c r="F108" s="1"/>
      <c r="G108" s="10" t="s">
        <v>17</v>
      </c>
    </row>
    <row r="109" spans="1:7" ht="14.5" x14ac:dyDescent="0.35">
      <c r="A109" s="1" t="s">
        <v>24</v>
      </c>
      <c r="B109" s="2" t="s">
        <v>61</v>
      </c>
      <c r="C109" s="1" t="s">
        <v>16</v>
      </c>
      <c r="D109" s="1" t="str">
        <f t="shared" si="1"/>
        <v>ACS1_1-24_SIA</v>
      </c>
      <c r="E109" s="10">
        <v>45302</v>
      </c>
      <c r="F109" s="1"/>
      <c r="G109" s="10" t="s">
        <v>17</v>
      </c>
    </row>
    <row r="110" spans="1:7" ht="14.5" x14ac:dyDescent="0.35">
      <c r="A110" s="1" t="s">
        <v>25</v>
      </c>
      <c r="B110" s="2" t="s">
        <v>61</v>
      </c>
      <c r="C110" s="1" t="s">
        <v>16</v>
      </c>
      <c r="D110" s="1" t="str">
        <f t="shared" si="1"/>
        <v>ACS2_1-24_SIA</v>
      </c>
      <c r="E110" s="10">
        <v>45302</v>
      </c>
      <c r="F110" s="1"/>
      <c r="G110" s="10" t="s">
        <v>17</v>
      </c>
    </row>
    <row r="111" spans="1:7" ht="14.5" x14ac:dyDescent="0.35">
      <c r="A111" s="1" t="s">
        <v>26</v>
      </c>
      <c r="B111" s="2" t="s">
        <v>61</v>
      </c>
      <c r="C111" s="1" t="s">
        <v>16</v>
      </c>
      <c r="D111" s="1" t="str">
        <f t="shared" si="1"/>
        <v>ACS3_1-24_SIA</v>
      </c>
      <c r="E111" s="10">
        <v>45302</v>
      </c>
      <c r="F111" s="1"/>
      <c r="G111" s="10" t="s">
        <v>17</v>
      </c>
    </row>
    <row r="112" spans="1:7" ht="14.5" x14ac:dyDescent="0.35">
      <c r="A112" s="1" t="s">
        <v>27</v>
      </c>
      <c r="B112" s="2" t="s">
        <v>61</v>
      </c>
      <c r="C112" s="1" t="s">
        <v>16</v>
      </c>
      <c r="D112" s="1" t="str">
        <f t="shared" si="1"/>
        <v>ACS4_1-24_SIA</v>
      </c>
      <c r="E112" s="10">
        <v>45302</v>
      </c>
      <c r="F112" s="1"/>
      <c r="G112" s="10" t="s">
        <v>17</v>
      </c>
    </row>
    <row r="113" spans="1:11" ht="14.5" x14ac:dyDescent="0.35">
      <c r="A113" s="1" t="s">
        <v>28</v>
      </c>
      <c r="B113" s="2" t="s">
        <v>61</v>
      </c>
      <c r="C113" s="1" t="s">
        <v>16</v>
      </c>
      <c r="D113" s="1" t="str">
        <f t="shared" si="1"/>
        <v>ACS5_1-24_SIA</v>
      </c>
      <c r="E113" s="10">
        <v>45302</v>
      </c>
      <c r="F113" s="1"/>
      <c r="G113" s="10" t="s">
        <v>17</v>
      </c>
    </row>
    <row r="114" spans="1:11" ht="14.5" x14ac:dyDescent="0.35">
      <c r="A114" s="1" t="s">
        <v>29</v>
      </c>
      <c r="B114" s="2" t="s">
        <v>61</v>
      </c>
      <c r="C114" s="1" t="s">
        <v>16</v>
      </c>
      <c r="D114" s="1" t="str">
        <f t="shared" si="1"/>
        <v>GBHM_1-24_SIA</v>
      </c>
      <c r="E114" s="10">
        <v>45302</v>
      </c>
      <c r="F114" s="1"/>
      <c r="G114" s="10" t="s">
        <v>17</v>
      </c>
    </row>
    <row r="115" spans="1:11" ht="14.5" x14ac:dyDescent="0.35">
      <c r="A115" s="1" t="s">
        <v>30</v>
      </c>
      <c r="B115" s="2" t="s">
        <v>61</v>
      </c>
      <c r="C115" s="1" t="s">
        <v>16</v>
      </c>
      <c r="D115" s="1" t="str">
        <f t="shared" si="1"/>
        <v>DC1_1-24_SIA</v>
      </c>
      <c r="E115" s="10">
        <v>45302</v>
      </c>
      <c r="F115" s="1"/>
      <c r="G115" s="10" t="s">
        <v>17</v>
      </c>
    </row>
    <row r="116" spans="1:11" ht="14.5" x14ac:dyDescent="0.35">
      <c r="A116" s="1" t="s">
        <v>31</v>
      </c>
      <c r="B116" s="2" t="s">
        <v>61</v>
      </c>
      <c r="C116" s="1" t="s">
        <v>16</v>
      </c>
      <c r="D116" s="1" t="str">
        <f t="shared" si="1"/>
        <v>DCM1_1-24_SIA</v>
      </c>
      <c r="E116" s="10">
        <v>45302</v>
      </c>
      <c r="F116" s="1"/>
      <c r="G116" s="10" t="s">
        <v>17</v>
      </c>
    </row>
    <row r="117" spans="1:11" ht="14.5" x14ac:dyDescent="0.35">
      <c r="A117" s="1" t="s">
        <v>32</v>
      </c>
      <c r="B117" s="2" t="s">
        <v>61</v>
      </c>
      <c r="C117" s="1" t="s">
        <v>16</v>
      </c>
      <c r="D117" s="1" t="str">
        <f t="shared" si="1"/>
        <v>DC2_1-24_SIA</v>
      </c>
      <c r="E117" s="10">
        <v>45302</v>
      </c>
      <c r="F117" s="1"/>
      <c r="G117" s="10" t="s">
        <v>17</v>
      </c>
    </row>
    <row r="118" spans="1:11" ht="14.5" x14ac:dyDescent="0.35">
      <c r="A118" s="1" t="s">
        <v>33</v>
      </c>
      <c r="B118" s="2" t="s">
        <v>61</v>
      </c>
      <c r="C118" s="1" t="s">
        <v>16</v>
      </c>
      <c r="D118" s="1" t="str">
        <f t="shared" si="1"/>
        <v>DCM2_1-24_SIA</v>
      </c>
      <c r="E118" s="10">
        <v>45302</v>
      </c>
      <c r="F118" s="1"/>
      <c r="G118" s="10" t="s">
        <v>17</v>
      </c>
    </row>
    <row r="119" spans="1:11" ht="14.5" x14ac:dyDescent="0.35">
      <c r="A119" s="1" t="s">
        <v>34</v>
      </c>
      <c r="B119" s="2" t="s">
        <v>61</v>
      </c>
      <c r="C119" s="1" t="s">
        <v>16</v>
      </c>
      <c r="D119" s="1" t="str">
        <f t="shared" si="1"/>
        <v>GB1_1-24_SIA</v>
      </c>
      <c r="E119" s="10">
        <v>45302</v>
      </c>
      <c r="F119" s="1"/>
      <c r="G119" s="10" t="s">
        <v>17</v>
      </c>
    </row>
    <row r="120" spans="1:11" ht="14.5" x14ac:dyDescent="0.35">
      <c r="A120" s="1" t="s">
        <v>45</v>
      </c>
      <c r="B120" s="2" t="s">
        <v>61</v>
      </c>
      <c r="C120" s="1" t="s">
        <v>16</v>
      </c>
      <c r="D120" s="1" t="str">
        <f t="shared" si="1"/>
        <v>TSM1_1-24_SIA</v>
      </c>
      <c r="E120" s="10">
        <v>45324</v>
      </c>
      <c r="F120" s="1"/>
      <c r="G120" s="10" t="s">
        <v>17</v>
      </c>
    </row>
    <row r="121" spans="1:11" ht="14.5" x14ac:dyDescent="0.35">
      <c r="A121" s="1" t="s">
        <v>46</v>
      </c>
      <c r="B121" s="2" t="s">
        <v>61</v>
      </c>
      <c r="C121" s="1" t="s">
        <v>16</v>
      </c>
      <c r="D121" s="1" t="str">
        <f t="shared" si="1"/>
        <v>TSM3_1-24_SIA</v>
      </c>
      <c r="E121" s="10">
        <v>45324</v>
      </c>
      <c r="F121" s="1"/>
      <c r="G121" s="10" t="s">
        <v>17</v>
      </c>
    </row>
    <row r="122" spans="1:11" ht="14.5" x14ac:dyDescent="0.35">
      <c r="A122" s="1" t="s">
        <v>47</v>
      </c>
      <c r="B122" s="2" t="s">
        <v>61</v>
      </c>
      <c r="C122" s="1" t="s">
        <v>16</v>
      </c>
      <c r="D122" s="1" t="str">
        <f t="shared" si="1"/>
        <v>TSM4_1-24_SIA</v>
      </c>
      <c r="E122" s="10">
        <v>45324</v>
      </c>
      <c r="F122" s="1"/>
      <c r="G122" s="1" t="s">
        <v>60</v>
      </c>
    </row>
    <row r="123" spans="1:11" ht="14.5" x14ac:dyDescent="0.35">
      <c r="A123" s="1" t="s">
        <v>48</v>
      </c>
      <c r="B123" s="2" t="s">
        <v>61</v>
      </c>
      <c r="C123" s="1" t="s">
        <v>16</v>
      </c>
      <c r="D123" s="1" t="str">
        <f t="shared" si="1"/>
        <v>SBT1_1-24_SIA</v>
      </c>
      <c r="E123" s="10">
        <v>45324</v>
      </c>
      <c r="F123" s="1"/>
      <c r="G123" s="10" t="s">
        <v>17</v>
      </c>
    </row>
    <row r="124" spans="1:11" ht="14.5" x14ac:dyDescent="0.35">
      <c r="A124" s="1" t="s">
        <v>14</v>
      </c>
      <c r="B124" s="2" t="s">
        <v>62</v>
      </c>
      <c r="C124" s="1" t="s">
        <v>16</v>
      </c>
      <c r="D124" s="1" t="str">
        <f t="shared" si="1"/>
        <v>P37_3-24_SIA</v>
      </c>
      <c r="E124" s="10">
        <v>45358</v>
      </c>
      <c r="F124" s="24">
        <v>45530</v>
      </c>
      <c r="G124" s="10" t="s">
        <v>17</v>
      </c>
      <c r="I124" s="1" t="s">
        <v>17</v>
      </c>
      <c r="J124" s="1" t="s">
        <v>17</v>
      </c>
      <c r="K124" s="1" t="s">
        <v>18</v>
      </c>
    </row>
    <row r="125" spans="1:11" ht="14.5" x14ac:dyDescent="0.35">
      <c r="A125" s="1" t="s">
        <v>19</v>
      </c>
      <c r="B125" s="2" t="s">
        <v>62</v>
      </c>
      <c r="C125" s="1" t="s">
        <v>16</v>
      </c>
      <c r="D125" s="1" t="str">
        <f t="shared" si="1"/>
        <v>NCL_3-24_SIA</v>
      </c>
      <c r="E125" s="10">
        <v>45358</v>
      </c>
      <c r="F125" s="24">
        <v>45530</v>
      </c>
      <c r="G125" s="10" t="s">
        <v>17</v>
      </c>
      <c r="I125" s="1" t="s">
        <v>17</v>
      </c>
      <c r="J125" s="1" t="s">
        <v>17</v>
      </c>
      <c r="K125" s="1" t="s">
        <v>18</v>
      </c>
    </row>
    <row r="126" spans="1:11" ht="14.5" x14ac:dyDescent="0.35">
      <c r="A126" s="1" t="s">
        <v>20</v>
      </c>
      <c r="B126" s="2" t="s">
        <v>62</v>
      </c>
      <c r="C126" s="1" t="s">
        <v>16</v>
      </c>
      <c r="D126" s="1" t="str">
        <f t="shared" si="1"/>
        <v>CP_3-24_SIA</v>
      </c>
      <c r="E126" s="10">
        <v>45358</v>
      </c>
      <c r="F126" s="24">
        <v>45530</v>
      </c>
      <c r="G126" s="10" t="s">
        <v>17</v>
      </c>
      <c r="I126" s="1" t="s">
        <v>17</v>
      </c>
      <c r="J126" s="1" t="s">
        <v>17</v>
      </c>
      <c r="K126" s="1" t="s">
        <v>18</v>
      </c>
    </row>
    <row r="127" spans="1:11" ht="14.5" hidden="1" x14ac:dyDescent="0.35">
      <c r="A127" s="1" t="s">
        <v>45</v>
      </c>
      <c r="B127" s="2" t="s">
        <v>63</v>
      </c>
      <c r="C127" s="1" t="s">
        <v>50</v>
      </c>
      <c r="D127" s="1" t="str">
        <f t="shared" si="1"/>
        <v>TSM1_4-24_D</v>
      </c>
      <c r="E127" s="10">
        <v>45391</v>
      </c>
      <c r="F127" s="1"/>
    </row>
    <row r="128" spans="1:11" ht="14.5" hidden="1" x14ac:dyDescent="0.35">
      <c r="A128" s="1" t="s">
        <v>46</v>
      </c>
      <c r="B128" s="2" t="s">
        <v>63</v>
      </c>
      <c r="C128" s="1" t="s">
        <v>50</v>
      </c>
      <c r="D128" s="1" t="str">
        <f t="shared" si="1"/>
        <v>TSM3_4-24_D</v>
      </c>
      <c r="E128" s="10">
        <v>45391</v>
      </c>
      <c r="F128" s="24">
        <v>45511</v>
      </c>
      <c r="G128" s="10"/>
      <c r="I128" s="1" t="s">
        <v>17</v>
      </c>
    </row>
    <row r="129" spans="1:14" ht="14.5" hidden="1" x14ac:dyDescent="0.35">
      <c r="A129" s="1" t="s">
        <v>47</v>
      </c>
      <c r="B129" s="2" t="s">
        <v>63</v>
      </c>
      <c r="C129" s="1" t="s">
        <v>50</v>
      </c>
      <c r="D129" s="1" t="str">
        <f t="shared" si="1"/>
        <v>TSM4_4-24_D</v>
      </c>
      <c r="E129" s="10">
        <v>45391</v>
      </c>
      <c r="F129" s="10"/>
      <c r="G129" s="10"/>
    </row>
    <row r="130" spans="1:14" ht="15" hidden="1" customHeight="1" x14ac:dyDescent="0.35">
      <c r="A130" s="1" t="s">
        <v>48</v>
      </c>
      <c r="B130" s="2" t="s">
        <v>63</v>
      </c>
      <c r="C130" s="1" t="s">
        <v>50</v>
      </c>
      <c r="D130" s="1" t="str">
        <f t="shared" ref="D130:D193" si="2">A130&amp;"_"&amp;B130&amp;"_"&amp;C130</f>
        <v>SBT1_4-24_D</v>
      </c>
      <c r="E130" s="10">
        <v>45391</v>
      </c>
      <c r="F130" s="1"/>
    </row>
    <row r="131" spans="1:14" ht="15" hidden="1" customHeight="1" x14ac:dyDescent="0.35">
      <c r="A131" s="1" t="s">
        <v>49</v>
      </c>
      <c r="B131" s="2" t="s">
        <v>63</v>
      </c>
      <c r="C131" s="1" t="s">
        <v>50</v>
      </c>
      <c r="D131" s="1" t="str">
        <f t="shared" si="2"/>
        <v>SBT2_4-24_D</v>
      </c>
      <c r="E131" s="10">
        <v>45393</v>
      </c>
      <c r="F131" s="1"/>
    </row>
    <row r="132" spans="1:14" ht="15" hidden="1" customHeight="1" x14ac:dyDescent="0.35">
      <c r="A132" s="1" t="s">
        <v>24</v>
      </c>
      <c r="B132" s="2" t="s">
        <v>63</v>
      </c>
      <c r="C132" s="1" t="s">
        <v>50</v>
      </c>
      <c r="D132" s="1" t="str">
        <f t="shared" si="2"/>
        <v>ACS1_4-24_D</v>
      </c>
      <c r="E132" s="10">
        <v>45392</v>
      </c>
      <c r="F132" s="1"/>
    </row>
    <row r="133" spans="1:14" ht="15" hidden="1" customHeight="1" x14ac:dyDescent="0.35">
      <c r="A133" s="1" t="s">
        <v>25</v>
      </c>
      <c r="B133" s="2" t="s">
        <v>63</v>
      </c>
      <c r="C133" s="1" t="s">
        <v>50</v>
      </c>
      <c r="D133" s="1" t="str">
        <f t="shared" si="2"/>
        <v>ACS2_4-24_D</v>
      </c>
      <c r="E133" s="10">
        <v>45392</v>
      </c>
      <c r="F133" s="1"/>
    </row>
    <row r="134" spans="1:14" ht="15" hidden="1" customHeight="1" x14ac:dyDescent="0.35">
      <c r="A134" s="1" t="s">
        <v>26</v>
      </c>
      <c r="B134" s="2" t="s">
        <v>63</v>
      </c>
      <c r="C134" s="1" t="s">
        <v>50</v>
      </c>
      <c r="D134" s="1" t="str">
        <f t="shared" si="2"/>
        <v>ACS3_4-24_D</v>
      </c>
      <c r="E134" s="10">
        <v>45392</v>
      </c>
      <c r="F134" s="1"/>
    </row>
    <row r="135" spans="1:14" ht="15" hidden="1" customHeight="1" x14ac:dyDescent="0.35">
      <c r="A135" s="1" t="s">
        <v>27</v>
      </c>
      <c r="B135" s="2" t="s">
        <v>63</v>
      </c>
      <c r="C135" s="1" t="s">
        <v>50</v>
      </c>
      <c r="D135" s="1" t="str">
        <f t="shared" si="2"/>
        <v>ACS4_4-24_D</v>
      </c>
      <c r="E135" s="10">
        <v>45392</v>
      </c>
      <c r="F135" s="33"/>
      <c r="G135" s="33"/>
    </row>
    <row r="136" spans="1:14" ht="15" hidden="1" customHeight="1" x14ac:dyDescent="0.35">
      <c r="A136" s="1" t="s">
        <v>28</v>
      </c>
      <c r="B136" s="2" t="s">
        <v>63</v>
      </c>
      <c r="C136" s="1" t="s">
        <v>50</v>
      </c>
      <c r="D136" s="1" t="str">
        <f t="shared" si="2"/>
        <v>ACS5_4-24_D</v>
      </c>
      <c r="E136" s="10">
        <v>45392</v>
      </c>
      <c r="F136" s="1"/>
    </row>
    <row r="137" spans="1:14" ht="15" hidden="1" customHeight="1" x14ac:dyDescent="0.35">
      <c r="A137" s="1" t="s">
        <v>29</v>
      </c>
      <c r="B137" s="2" t="s">
        <v>63</v>
      </c>
      <c r="C137" s="1" t="s">
        <v>50</v>
      </c>
      <c r="D137" s="1" t="str">
        <f t="shared" si="2"/>
        <v>GBHM_4-24_D</v>
      </c>
      <c r="E137" s="10">
        <v>45392</v>
      </c>
      <c r="F137" s="1"/>
    </row>
    <row r="138" spans="1:14" ht="15" hidden="1" customHeight="1" x14ac:dyDescent="0.35">
      <c r="A138" s="1" t="s">
        <v>30</v>
      </c>
      <c r="B138" s="2" t="s">
        <v>63</v>
      </c>
      <c r="C138" s="1" t="s">
        <v>50</v>
      </c>
      <c r="D138" s="1" t="str">
        <f t="shared" si="2"/>
        <v>DC1_4-24_D</v>
      </c>
      <c r="E138" s="10">
        <v>45392</v>
      </c>
      <c r="F138" s="1"/>
    </row>
    <row r="139" spans="1:14" ht="15" hidden="1" customHeight="1" x14ac:dyDescent="0.35">
      <c r="A139" s="1" t="s">
        <v>31</v>
      </c>
      <c r="B139" s="2" t="s">
        <v>63</v>
      </c>
      <c r="C139" s="1" t="s">
        <v>50</v>
      </c>
      <c r="D139" s="1" t="str">
        <f t="shared" si="2"/>
        <v>DCM1_4-24_D</v>
      </c>
      <c r="E139" s="10">
        <v>45392</v>
      </c>
      <c r="F139" s="1"/>
    </row>
    <row r="140" spans="1:14" s="30" customFormat="1" ht="15" hidden="1" customHeight="1" x14ac:dyDescent="0.35">
      <c r="A140" s="1" t="s">
        <v>32</v>
      </c>
      <c r="B140" s="2" t="s">
        <v>63</v>
      </c>
      <c r="C140" s="1" t="s">
        <v>50</v>
      </c>
      <c r="D140" s="1" t="str">
        <f t="shared" si="2"/>
        <v>DC2_4-24_D</v>
      </c>
      <c r="E140" s="10">
        <v>45392</v>
      </c>
      <c r="F140" s="1"/>
      <c r="G140" s="1"/>
      <c r="H140" s="1"/>
      <c r="I140" s="1"/>
      <c r="J140" s="1"/>
      <c r="K140" s="1"/>
      <c r="L140" s="1"/>
      <c r="M140" s="1"/>
      <c r="N140"/>
    </row>
    <row r="141" spans="1:14" ht="15" hidden="1" customHeight="1" x14ac:dyDescent="0.35">
      <c r="A141" s="1" t="s">
        <v>33</v>
      </c>
      <c r="B141" s="2" t="s">
        <v>63</v>
      </c>
      <c r="C141" s="1" t="s">
        <v>50</v>
      </c>
      <c r="D141" s="1" t="str">
        <f t="shared" si="2"/>
        <v>DCM2_4-24_D</v>
      </c>
      <c r="E141" s="10">
        <v>45392</v>
      </c>
      <c r="F141" s="1"/>
    </row>
    <row r="142" spans="1:14" s="44" customFormat="1" ht="15" hidden="1" customHeight="1" thickBot="1" x14ac:dyDescent="0.4">
      <c r="A142" s="41" t="s">
        <v>35</v>
      </c>
      <c r="B142" s="42" t="s">
        <v>63</v>
      </c>
      <c r="C142" s="41" t="s">
        <v>50</v>
      </c>
      <c r="D142" s="41" t="str">
        <f t="shared" si="2"/>
        <v>MCS1_4-24_D</v>
      </c>
      <c r="E142" s="43">
        <v>45390</v>
      </c>
      <c r="F142" s="41"/>
      <c r="G142" s="41"/>
      <c r="H142" s="41"/>
      <c r="I142" s="41"/>
      <c r="J142" s="41"/>
      <c r="K142" s="1"/>
      <c r="L142" s="41"/>
      <c r="M142" s="41"/>
    </row>
    <row r="143" spans="1:14" ht="15" hidden="1" customHeight="1" x14ac:dyDescent="0.35">
      <c r="A143" s="1" t="s">
        <v>36</v>
      </c>
      <c r="B143" s="2" t="s">
        <v>63</v>
      </c>
      <c r="C143" s="1" t="s">
        <v>50</v>
      </c>
      <c r="D143" s="1" t="str">
        <f t="shared" si="2"/>
        <v>MCS2_4-24_D</v>
      </c>
      <c r="E143" s="10">
        <v>45390</v>
      </c>
      <c r="F143" s="1"/>
    </row>
    <row r="144" spans="1:14" ht="15" hidden="1" customHeight="1" x14ac:dyDescent="0.35">
      <c r="A144" s="1" t="s">
        <v>37</v>
      </c>
      <c r="B144" s="2" t="s">
        <v>63</v>
      </c>
      <c r="C144" s="1" t="s">
        <v>50</v>
      </c>
      <c r="D144" s="1" t="str">
        <f t="shared" si="2"/>
        <v>MCS3_4-24_D</v>
      </c>
      <c r="E144" s="10">
        <v>45390</v>
      </c>
      <c r="F144" s="1"/>
    </row>
    <row r="145" spans="1:11" ht="15" hidden="1" customHeight="1" x14ac:dyDescent="0.35">
      <c r="A145" s="1" t="s">
        <v>38</v>
      </c>
      <c r="B145" s="2" t="s">
        <v>63</v>
      </c>
      <c r="C145" s="1" t="s">
        <v>50</v>
      </c>
      <c r="D145" s="1" t="str">
        <f t="shared" si="2"/>
        <v>MCS4_4-24_D</v>
      </c>
      <c r="E145" s="10">
        <v>45390</v>
      </c>
      <c r="F145" s="1"/>
    </row>
    <row r="146" spans="1:11" ht="15" hidden="1" customHeight="1" x14ac:dyDescent="0.35">
      <c r="A146" s="1" t="s">
        <v>39</v>
      </c>
      <c r="B146" s="2" t="s">
        <v>63</v>
      </c>
      <c r="C146" s="1" t="s">
        <v>50</v>
      </c>
      <c r="D146" s="1" t="str">
        <f t="shared" si="2"/>
        <v>TBHM_4-24_D</v>
      </c>
      <c r="E146" s="10">
        <v>45390</v>
      </c>
      <c r="F146" s="1"/>
    </row>
    <row r="147" spans="1:11" ht="15" hidden="1" customHeight="1" x14ac:dyDescent="0.35">
      <c r="A147" s="1" t="s">
        <v>51</v>
      </c>
      <c r="B147" s="2" t="s">
        <v>63</v>
      </c>
      <c r="C147" s="1" t="s">
        <v>50</v>
      </c>
      <c r="D147" s="1" t="str">
        <f t="shared" si="2"/>
        <v>TBC_4-24_D</v>
      </c>
      <c r="E147" s="10">
        <v>45390</v>
      </c>
      <c r="F147" s="1"/>
      <c r="G147" s="1" t="s">
        <v>17</v>
      </c>
    </row>
    <row r="148" spans="1:11" ht="15" hidden="1" customHeight="1" x14ac:dyDescent="0.35">
      <c r="A148" s="1" t="s">
        <v>40</v>
      </c>
      <c r="B148" s="2" t="s">
        <v>63</v>
      </c>
      <c r="C148" s="1" t="s">
        <v>50</v>
      </c>
      <c r="D148" s="1" t="str">
        <f t="shared" si="2"/>
        <v>TBCM_4-24_D</v>
      </c>
      <c r="E148" s="10">
        <v>45390</v>
      </c>
      <c r="F148" s="1"/>
    </row>
    <row r="149" spans="1:11" ht="15" hidden="1" customHeight="1" x14ac:dyDescent="0.35">
      <c r="A149" s="1" t="s">
        <v>41</v>
      </c>
      <c r="B149" s="2" t="s">
        <v>63</v>
      </c>
      <c r="C149" s="1" t="s">
        <v>50</v>
      </c>
      <c r="D149" s="1" t="str">
        <f t="shared" si="2"/>
        <v>TB1_4-24_D</v>
      </c>
      <c r="E149" s="10">
        <v>45390</v>
      </c>
      <c r="F149" s="1"/>
    </row>
    <row r="150" spans="1:11" ht="15" hidden="1" customHeight="1" x14ac:dyDescent="0.35">
      <c r="A150" s="1" t="s">
        <v>42</v>
      </c>
      <c r="B150" s="2" t="s">
        <v>63</v>
      </c>
      <c r="C150" s="1" t="s">
        <v>50</v>
      </c>
      <c r="D150" s="1" t="str">
        <f t="shared" si="2"/>
        <v>TB2_4-24_D</v>
      </c>
      <c r="E150" s="10">
        <v>45390</v>
      </c>
      <c r="F150" s="10"/>
      <c r="G150" s="10"/>
    </row>
    <row r="151" spans="1:11" ht="15" hidden="1" customHeight="1" x14ac:dyDescent="0.35">
      <c r="A151" s="1" t="s">
        <v>34</v>
      </c>
      <c r="B151" s="2" t="s">
        <v>63</v>
      </c>
      <c r="C151" s="1" t="s">
        <v>50</v>
      </c>
      <c r="D151" s="1" t="str">
        <f t="shared" si="2"/>
        <v>GB1_4-24_D</v>
      </c>
      <c r="E151" s="10">
        <v>45392</v>
      </c>
      <c r="F151" s="1"/>
    </row>
    <row r="152" spans="1:11" ht="15" hidden="1" customHeight="1" x14ac:dyDescent="0.35">
      <c r="A152" s="1" t="s">
        <v>43</v>
      </c>
      <c r="B152" s="2" t="s">
        <v>63</v>
      </c>
      <c r="C152" s="1" t="s">
        <v>50</v>
      </c>
      <c r="D152" s="1" t="str">
        <f t="shared" si="2"/>
        <v>GB2_4-24_D</v>
      </c>
      <c r="E152" s="10">
        <v>45393</v>
      </c>
      <c r="F152" s="1"/>
    </row>
    <row r="153" spans="1:11" ht="15" hidden="1" customHeight="1" x14ac:dyDescent="0.35">
      <c r="A153" s="1" t="s">
        <v>44</v>
      </c>
      <c r="B153" s="2" t="s">
        <v>63</v>
      </c>
      <c r="C153" s="1" t="s">
        <v>50</v>
      </c>
      <c r="D153" s="1" t="str">
        <f t="shared" si="2"/>
        <v>RB_4-24_D</v>
      </c>
      <c r="E153" s="10">
        <v>45393</v>
      </c>
      <c r="F153" s="10"/>
      <c r="G153" s="10"/>
    </row>
    <row r="154" spans="1:11" ht="15" hidden="1" customHeight="1" x14ac:dyDescent="0.35">
      <c r="A154" s="1" t="s">
        <v>52</v>
      </c>
      <c r="B154" s="2" t="s">
        <v>63</v>
      </c>
      <c r="C154" s="1" t="s">
        <v>50</v>
      </c>
      <c r="D154" s="1" t="str">
        <f t="shared" si="2"/>
        <v>WB1_4-24_D</v>
      </c>
      <c r="E154" s="10">
        <v>45393</v>
      </c>
      <c r="F154" s="1"/>
    </row>
    <row r="155" spans="1:11" ht="15" hidden="1" customHeight="1" x14ac:dyDescent="0.35">
      <c r="A155" s="1" t="s">
        <v>53</v>
      </c>
      <c r="B155" s="2" t="s">
        <v>63</v>
      </c>
      <c r="C155" s="1" t="s">
        <v>50</v>
      </c>
      <c r="D155" s="1" t="str">
        <f t="shared" si="2"/>
        <v>WB2_4-24_D</v>
      </c>
      <c r="E155" s="10">
        <v>45393</v>
      </c>
      <c r="F155" s="1"/>
    </row>
    <row r="156" spans="1:11" ht="15" hidden="1" customHeight="1" x14ac:dyDescent="0.35">
      <c r="A156" s="1" t="s">
        <v>54</v>
      </c>
      <c r="B156" s="2" t="s">
        <v>63</v>
      </c>
      <c r="C156" s="1" t="s">
        <v>50</v>
      </c>
      <c r="D156" s="1" t="str">
        <f t="shared" si="2"/>
        <v>TKB_4-24_D</v>
      </c>
      <c r="E156" s="10">
        <v>45393</v>
      </c>
      <c r="F156" s="10"/>
      <c r="G156" s="10"/>
    </row>
    <row r="157" spans="1:11" ht="15" hidden="1" customHeight="1" x14ac:dyDescent="0.35">
      <c r="A157" s="1" t="s">
        <v>55</v>
      </c>
      <c r="B157" s="2" t="s">
        <v>63</v>
      </c>
      <c r="C157" s="1" t="s">
        <v>50</v>
      </c>
      <c r="D157" s="1" t="str">
        <f t="shared" si="2"/>
        <v>JB_4-24_D</v>
      </c>
      <c r="E157" s="10">
        <v>45393</v>
      </c>
      <c r="F157" s="1"/>
    </row>
    <row r="158" spans="1:11" ht="15" hidden="1" customHeight="1" x14ac:dyDescent="0.35">
      <c r="A158" s="1" t="s">
        <v>56</v>
      </c>
      <c r="B158" s="2" t="s">
        <v>63</v>
      </c>
      <c r="C158" s="1" t="s">
        <v>50</v>
      </c>
      <c r="D158" s="1" t="str">
        <f t="shared" si="2"/>
        <v>CC_4-24_D</v>
      </c>
      <c r="E158" s="10">
        <v>45393</v>
      </c>
      <c r="F158" s="1"/>
    </row>
    <row r="159" spans="1:11" ht="15" customHeight="1" x14ac:dyDescent="0.35">
      <c r="A159" s="1" t="s">
        <v>21</v>
      </c>
      <c r="B159" s="2" t="s">
        <v>62</v>
      </c>
      <c r="C159" s="1" t="s">
        <v>16</v>
      </c>
      <c r="D159" s="1" t="str">
        <f t="shared" si="2"/>
        <v>EP146_3-24_SIA</v>
      </c>
      <c r="E159" s="10">
        <v>45358</v>
      </c>
      <c r="F159" s="24">
        <v>45530</v>
      </c>
      <c r="G159" s="10" t="s">
        <v>17</v>
      </c>
      <c r="I159" s="1" t="s">
        <v>17</v>
      </c>
      <c r="J159" s="1" t="s">
        <v>17</v>
      </c>
      <c r="K159" s="1" t="s">
        <v>18</v>
      </c>
    </row>
    <row r="160" spans="1:11" ht="15" hidden="1" customHeight="1" x14ac:dyDescent="0.35">
      <c r="A160" s="1" t="s">
        <v>14</v>
      </c>
      <c r="B160" s="2" t="s">
        <v>62</v>
      </c>
      <c r="C160" s="1" t="s">
        <v>50</v>
      </c>
      <c r="D160" s="1" t="str">
        <f t="shared" si="2"/>
        <v>P37_3-24_D</v>
      </c>
      <c r="E160" s="10">
        <v>45358</v>
      </c>
      <c r="F160" s="1"/>
    </row>
    <row r="161" spans="1:14" ht="15" customHeight="1" x14ac:dyDescent="0.35">
      <c r="A161" s="1" t="s">
        <v>22</v>
      </c>
      <c r="B161" s="2" t="s">
        <v>62</v>
      </c>
      <c r="C161" s="1" t="s">
        <v>16</v>
      </c>
      <c r="D161" s="1" t="str">
        <f t="shared" si="2"/>
        <v>OL_3-24_SIA</v>
      </c>
      <c r="E161" s="10">
        <v>45358</v>
      </c>
      <c r="F161" s="24">
        <v>45530</v>
      </c>
      <c r="G161" s="10" t="s">
        <v>17</v>
      </c>
      <c r="I161" s="1" t="s">
        <v>17</v>
      </c>
      <c r="J161" s="1" t="s">
        <v>17</v>
      </c>
      <c r="K161" s="1" t="s">
        <v>18</v>
      </c>
    </row>
    <row r="162" spans="1:14" ht="15" hidden="1" customHeight="1" x14ac:dyDescent="0.35">
      <c r="A162" s="1" t="s">
        <v>19</v>
      </c>
      <c r="B162" s="2" t="s">
        <v>62</v>
      </c>
      <c r="C162" s="1" t="s">
        <v>50</v>
      </c>
      <c r="D162" s="1" t="str">
        <f t="shared" si="2"/>
        <v>NCL_3-24_D</v>
      </c>
      <c r="E162" s="10">
        <v>45358</v>
      </c>
      <c r="F162" s="1"/>
    </row>
    <row r="163" spans="1:14" ht="15" customHeight="1" x14ac:dyDescent="0.35">
      <c r="A163" s="1" t="s">
        <v>23</v>
      </c>
      <c r="B163" s="2" t="s">
        <v>62</v>
      </c>
      <c r="C163" s="1" t="s">
        <v>16</v>
      </c>
      <c r="D163" s="1" t="str">
        <f t="shared" si="2"/>
        <v>R127_3-24_SIA</v>
      </c>
      <c r="E163" s="10">
        <v>45358</v>
      </c>
      <c r="F163" s="24">
        <v>45530</v>
      </c>
      <c r="G163" s="10" t="s">
        <v>17</v>
      </c>
      <c r="I163" s="1" t="s">
        <v>17</v>
      </c>
      <c r="J163" s="1" t="s">
        <v>17</v>
      </c>
      <c r="K163" s="1" t="s">
        <v>18</v>
      </c>
    </row>
    <row r="164" spans="1:14" ht="15" hidden="1" customHeight="1" x14ac:dyDescent="0.35">
      <c r="A164" s="1" t="s">
        <v>20</v>
      </c>
      <c r="B164" s="2" t="s">
        <v>62</v>
      </c>
      <c r="C164" s="1" t="s">
        <v>50</v>
      </c>
      <c r="D164" s="1" t="str">
        <f t="shared" si="2"/>
        <v>CP_3-24_D</v>
      </c>
      <c r="E164" s="10">
        <v>45358</v>
      </c>
      <c r="F164" s="1"/>
    </row>
    <row r="165" spans="1:14" ht="15" customHeight="1" x14ac:dyDescent="0.35">
      <c r="A165" s="1" t="s">
        <v>35</v>
      </c>
      <c r="B165" s="2" t="s">
        <v>63</v>
      </c>
      <c r="C165" s="1" t="s">
        <v>16</v>
      </c>
      <c r="D165" s="1" t="str">
        <f t="shared" si="2"/>
        <v>MCS1_4-24_SIA</v>
      </c>
      <c r="E165" s="10">
        <v>45390</v>
      </c>
      <c r="F165" s="24">
        <v>45517</v>
      </c>
      <c r="G165" s="10" t="s">
        <v>17</v>
      </c>
      <c r="I165" s="1" t="s">
        <v>17</v>
      </c>
      <c r="J165" s="1" t="s">
        <v>17</v>
      </c>
      <c r="K165" s="1" t="s">
        <v>18</v>
      </c>
    </row>
    <row r="166" spans="1:14" ht="15" hidden="1" customHeight="1" x14ac:dyDescent="0.35">
      <c r="A166" s="1" t="s">
        <v>21</v>
      </c>
      <c r="B166" s="2" t="s">
        <v>62</v>
      </c>
      <c r="C166" s="1" t="s">
        <v>50</v>
      </c>
      <c r="D166" s="1" t="str">
        <f t="shared" si="2"/>
        <v>EP146_3-24_D</v>
      </c>
      <c r="E166" s="10">
        <v>45358</v>
      </c>
      <c r="F166" s="1"/>
    </row>
    <row r="167" spans="1:14" ht="15" customHeight="1" x14ac:dyDescent="0.35">
      <c r="A167" s="1" t="s">
        <v>36</v>
      </c>
      <c r="B167" s="2" t="s">
        <v>63</v>
      </c>
      <c r="C167" s="1" t="s">
        <v>16</v>
      </c>
      <c r="D167" s="1" t="str">
        <f t="shared" si="2"/>
        <v>MCS2_4-24_SIA</v>
      </c>
      <c r="E167" s="10">
        <v>45390</v>
      </c>
      <c r="F167" s="24">
        <v>45523</v>
      </c>
      <c r="G167" s="10" t="s">
        <v>17</v>
      </c>
      <c r="I167" s="1" t="s">
        <v>17</v>
      </c>
      <c r="J167" s="1" t="s">
        <v>17</v>
      </c>
      <c r="K167" s="1" t="s">
        <v>18</v>
      </c>
    </row>
    <row r="168" spans="1:14" s="30" customFormat="1" ht="15" hidden="1" customHeight="1" x14ac:dyDescent="0.35">
      <c r="A168" s="1" t="s">
        <v>22</v>
      </c>
      <c r="B168" s="2" t="s">
        <v>62</v>
      </c>
      <c r="C168" s="1" t="s">
        <v>50</v>
      </c>
      <c r="D168" s="1" t="str">
        <f t="shared" si="2"/>
        <v>OL_3-24_D</v>
      </c>
      <c r="E168" s="10">
        <v>45358</v>
      </c>
      <c r="F168" s="1"/>
      <c r="G168" s="1"/>
      <c r="H168" s="1"/>
      <c r="I168" s="1"/>
      <c r="J168" s="1"/>
      <c r="K168" s="1"/>
      <c r="L168" s="1"/>
      <c r="M168" s="1"/>
      <c r="N168"/>
    </row>
    <row r="169" spans="1:14" ht="15" customHeight="1" x14ac:dyDescent="0.35">
      <c r="A169" s="1" t="s">
        <v>37</v>
      </c>
      <c r="B169" s="2" t="s">
        <v>63</v>
      </c>
      <c r="C169" s="1" t="s">
        <v>16</v>
      </c>
      <c r="D169" s="1" t="str">
        <f t="shared" si="2"/>
        <v>MCS3_4-24_SIA</v>
      </c>
      <c r="E169" s="10">
        <v>45390</v>
      </c>
      <c r="F169" s="24">
        <v>45520</v>
      </c>
      <c r="G169" s="10" t="s">
        <v>17</v>
      </c>
      <c r="I169" s="1" t="s">
        <v>17</v>
      </c>
      <c r="J169" s="1" t="s">
        <v>17</v>
      </c>
      <c r="K169" s="1" t="s">
        <v>18</v>
      </c>
    </row>
    <row r="170" spans="1:14" ht="15" hidden="1" customHeight="1" x14ac:dyDescent="0.35">
      <c r="A170" s="1" t="s">
        <v>58</v>
      </c>
      <c r="B170" s="2" t="s">
        <v>62</v>
      </c>
      <c r="C170" s="1" t="s">
        <v>50</v>
      </c>
      <c r="D170" s="1" t="str">
        <f t="shared" si="2"/>
        <v>TSH_3-24_D</v>
      </c>
      <c r="E170" s="10">
        <v>45358</v>
      </c>
      <c r="F170" s="1"/>
    </row>
    <row r="171" spans="1:14" ht="15" customHeight="1" x14ac:dyDescent="0.35">
      <c r="A171" s="1" t="s">
        <v>38</v>
      </c>
      <c r="B171" s="2" t="s">
        <v>63</v>
      </c>
      <c r="C171" s="1" t="s">
        <v>16</v>
      </c>
      <c r="D171" s="1" t="str">
        <f t="shared" si="2"/>
        <v>MCS4_4-24_SIA</v>
      </c>
      <c r="E171" s="10">
        <v>45390</v>
      </c>
      <c r="F171" s="24">
        <v>45516</v>
      </c>
      <c r="G171" s="10" t="s">
        <v>17</v>
      </c>
      <c r="I171" s="1" t="s">
        <v>17</v>
      </c>
      <c r="J171" s="1" t="s">
        <v>17</v>
      </c>
      <c r="K171" s="1" t="s">
        <v>18</v>
      </c>
    </row>
    <row r="172" spans="1:14" s="30" customFormat="1" ht="15" hidden="1" customHeight="1" x14ac:dyDescent="0.35">
      <c r="A172" s="1" t="s">
        <v>23</v>
      </c>
      <c r="B172" s="2" t="s">
        <v>62</v>
      </c>
      <c r="C172" s="1" t="s">
        <v>50</v>
      </c>
      <c r="D172" s="1" t="str">
        <f t="shared" si="2"/>
        <v>R127_3-24_D</v>
      </c>
      <c r="E172" s="10">
        <v>45358</v>
      </c>
      <c r="F172" s="1"/>
      <c r="G172" s="1"/>
      <c r="H172" s="1"/>
      <c r="I172" s="1"/>
      <c r="J172" s="1"/>
      <c r="K172" s="1"/>
      <c r="L172" s="1"/>
      <c r="M172" s="1"/>
      <c r="N172"/>
    </row>
    <row r="173" spans="1:14" ht="15" customHeight="1" x14ac:dyDescent="0.35">
      <c r="A173" s="1" t="s">
        <v>39</v>
      </c>
      <c r="B173" s="2" t="s">
        <v>63</v>
      </c>
      <c r="C173" s="1" t="s">
        <v>16</v>
      </c>
      <c r="D173" s="1" t="str">
        <f t="shared" si="2"/>
        <v>TBHM_4-24_SIA</v>
      </c>
      <c r="E173" s="10">
        <v>45390</v>
      </c>
      <c r="F173" s="24">
        <v>45512</v>
      </c>
      <c r="G173" s="10" t="s">
        <v>17</v>
      </c>
      <c r="I173" s="1" t="s">
        <v>17</v>
      </c>
      <c r="J173" s="1" t="s">
        <v>17</v>
      </c>
      <c r="K173" s="1" t="s">
        <v>18</v>
      </c>
    </row>
    <row r="174" spans="1:14" ht="15" customHeight="1" x14ac:dyDescent="0.35">
      <c r="A174" s="1" t="s">
        <v>51</v>
      </c>
      <c r="B174" s="2" t="s">
        <v>63</v>
      </c>
      <c r="C174" s="1" t="s">
        <v>16</v>
      </c>
      <c r="D174" s="1" t="str">
        <f t="shared" si="2"/>
        <v>TBC_4-24_SIA</v>
      </c>
      <c r="E174" s="10">
        <v>45390</v>
      </c>
      <c r="F174" s="24">
        <v>45516</v>
      </c>
      <c r="G174" s="10" t="s">
        <v>17</v>
      </c>
      <c r="I174" s="1" t="s">
        <v>17</v>
      </c>
      <c r="J174" s="1" t="s">
        <v>17</v>
      </c>
      <c r="K174" s="1" t="s">
        <v>18</v>
      </c>
    </row>
    <row r="175" spans="1:14" ht="15" customHeight="1" x14ac:dyDescent="0.35">
      <c r="A175" s="1" t="s">
        <v>40</v>
      </c>
      <c r="B175" s="2" t="s">
        <v>63</v>
      </c>
      <c r="C175" s="1" t="s">
        <v>16</v>
      </c>
      <c r="D175" s="1" t="str">
        <f t="shared" si="2"/>
        <v>TBCM_4-24_SIA</v>
      </c>
      <c r="E175" s="10">
        <v>45390</v>
      </c>
      <c r="F175" s="24">
        <v>45523</v>
      </c>
      <c r="G175" s="10" t="s">
        <v>17</v>
      </c>
      <c r="I175" s="1" t="s">
        <v>17</v>
      </c>
      <c r="J175" s="1" t="s">
        <v>17</v>
      </c>
      <c r="K175" s="1" t="s">
        <v>18</v>
      </c>
    </row>
    <row r="176" spans="1:14" ht="15" customHeight="1" x14ac:dyDescent="0.35">
      <c r="A176" s="1" t="s">
        <v>41</v>
      </c>
      <c r="B176" s="2" t="s">
        <v>63</v>
      </c>
      <c r="C176" s="1" t="s">
        <v>16</v>
      </c>
      <c r="D176" s="1" t="str">
        <f t="shared" si="2"/>
        <v>TB1_4-24_SIA</v>
      </c>
      <c r="E176" s="10">
        <v>45390</v>
      </c>
      <c r="F176" s="24">
        <v>45517</v>
      </c>
      <c r="G176" s="10" t="s">
        <v>17</v>
      </c>
      <c r="I176" s="1" t="s">
        <v>17</v>
      </c>
      <c r="J176" s="1" t="s">
        <v>17</v>
      </c>
      <c r="K176" s="1" t="s">
        <v>18</v>
      </c>
    </row>
    <row r="177" spans="1:11" ht="15" customHeight="1" x14ac:dyDescent="0.35">
      <c r="A177" s="1" t="s">
        <v>42</v>
      </c>
      <c r="B177" s="2" t="s">
        <v>63</v>
      </c>
      <c r="C177" s="1" t="s">
        <v>16</v>
      </c>
      <c r="D177" s="1" t="str">
        <f t="shared" si="2"/>
        <v>TB2_4-24_SIA</v>
      </c>
      <c r="E177" s="10">
        <v>45390</v>
      </c>
      <c r="F177" s="24">
        <v>45517</v>
      </c>
      <c r="G177" s="10" t="s">
        <v>17</v>
      </c>
      <c r="I177" s="1" t="s">
        <v>17</v>
      </c>
      <c r="J177" s="1" t="s">
        <v>17</v>
      </c>
      <c r="K177" s="1" t="s">
        <v>18</v>
      </c>
    </row>
    <row r="178" spans="1:11" ht="15" customHeight="1" x14ac:dyDescent="0.35">
      <c r="A178" s="1" t="s">
        <v>45</v>
      </c>
      <c r="B178" s="2" t="s">
        <v>63</v>
      </c>
      <c r="C178" s="1" t="s">
        <v>16</v>
      </c>
      <c r="D178" s="1" t="str">
        <f t="shared" si="2"/>
        <v>TSM1_4-24_SIA</v>
      </c>
      <c r="E178" s="10">
        <v>45391</v>
      </c>
      <c r="F178" s="24">
        <v>45517</v>
      </c>
      <c r="G178" s="10" t="s">
        <v>17</v>
      </c>
      <c r="I178" s="1" t="s">
        <v>17</v>
      </c>
      <c r="J178" s="1" t="s">
        <v>17</v>
      </c>
      <c r="K178" s="1" t="s">
        <v>18</v>
      </c>
    </row>
    <row r="179" spans="1:11" ht="15" customHeight="1" x14ac:dyDescent="0.35">
      <c r="A179" s="1" t="s">
        <v>46</v>
      </c>
      <c r="B179" s="2" t="s">
        <v>63</v>
      </c>
      <c r="C179" s="1" t="s">
        <v>16</v>
      </c>
      <c r="D179" s="1" t="str">
        <f t="shared" si="2"/>
        <v>TSM3_4-24_SIA</v>
      </c>
      <c r="E179" s="10">
        <v>45391</v>
      </c>
      <c r="F179" s="24">
        <v>45512</v>
      </c>
      <c r="G179" s="10" t="s">
        <v>17</v>
      </c>
      <c r="I179" s="1" t="s">
        <v>17</v>
      </c>
      <c r="J179" s="1" t="s">
        <v>17</v>
      </c>
      <c r="K179" s="1" t="s">
        <v>18</v>
      </c>
    </row>
    <row r="180" spans="1:11" ht="15" customHeight="1" x14ac:dyDescent="0.35">
      <c r="A180" s="1" t="s">
        <v>47</v>
      </c>
      <c r="B180" s="2" t="s">
        <v>63</v>
      </c>
      <c r="C180" s="1" t="s">
        <v>16</v>
      </c>
      <c r="D180" s="1" t="str">
        <f t="shared" si="2"/>
        <v>TSM4_4-24_SIA</v>
      </c>
      <c r="E180" s="10">
        <v>45391</v>
      </c>
      <c r="F180" s="24">
        <v>45517</v>
      </c>
      <c r="G180" s="10" t="s">
        <v>17</v>
      </c>
      <c r="I180" s="1" t="s">
        <v>17</v>
      </c>
      <c r="J180" s="1" t="s">
        <v>17</v>
      </c>
      <c r="K180" s="1" t="s">
        <v>18</v>
      </c>
    </row>
    <row r="181" spans="1:11" ht="15" customHeight="1" x14ac:dyDescent="0.35">
      <c r="A181" s="1" t="s">
        <v>48</v>
      </c>
      <c r="B181" s="2" t="s">
        <v>63</v>
      </c>
      <c r="C181" s="1" t="s">
        <v>16</v>
      </c>
      <c r="D181" s="1" t="str">
        <f t="shared" si="2"/>
        <v>SBT1_4-24_SIA</v>
      </c>
      <c r="E181" s="10">
        <v>45391</v>
      </c>
      <c r="F181" s="24">
        <v>45523</v>
      </c>
      <c r="G181" s="10" t="s">
        <v>17</v>
      </c>
      <c r="I181" s="1" t="s">
        <v>17</v>
      </c>
      <c r="J181" s="1" t="s">
        <v>17</v>
      </c>
      <c r="K181" s="1" t="s">
        <v>18</v>
      </c>
    </row>
    <row r="182" spans="1:11" ht="15" customHeight="1" x14ac:dyDescent="0.35">
      <c r="A182" s="1" t="s">
        <v>24</v>
      </c>
      <c r="B182" s="2" t="s">
        <v>63</v>
      </c>
      <c r="C182" s="1" t="s">
        <v>16</v>
      </c>
      <c r="D182" s="1" t="str">
        <f t="shared" si="2"/>
        <v>ACS1_4-24_SIA</v>
      </c>
      <c r="E182" s="10">
        <v>45392</v>
      </c>
      <c r="F182" s="24">
        <v>45517</v>
      </c>
      <c r="G182" s="10" t="s">
        <v>17</v>
      </c>
      <c r="I182" s="1" t="s">
        <v>17</v>
      </c>
      <c r="J182" s="1" t="s">
        <v>17</v>
      </c>
      <c r="K182" s="1" t="s">
        <v>18</v>
      </c>
    </row>
    <row r="183" spans="1:11" ht="15" customHeight="1" x14ac:dyDescent="0.35">
      <c r="A183" s="1" t="s">
        <v>25</v>
      </c>
      <c r="B183" s="2" t="s">
        <v>63</v>
      </c>
      <c r="C183" s="1" t="s">
        <v>16</v>
      </c>
      <c r="D183" s="1" t="str">
        <f t="shared" si="2"/>
        <v>ACS2_4-24_SIA</v>
      </c>
      <c r="E183" s="10">
        <v>45392</v>
      </c>
      <c r="F183" s="24">
        <v>45523</v>
      </c>
      <c r="G183" s="10" t="s">
        <v>17</v>
      </c>
      <c r="I183" s="1" t="s">
        <v>17</v>
      </c>
      <c r="J183" s="1" t="s">
        <v>17</v>
      </c>
      <c r="K183" s="1" t="s">
        <v>18</v>
      </c>
    </row>
    <row r="184" spans="1:11" ht="15" customHeight="1" x14ac:dyDescent="0.35">
      <c r="A184" s="1" t="s">
        <v>26</v>
      </c>
      <c r="B184" s="2" t="s">
        <v>63</v>
      </c>
      <c r="C184" s="1" t="s">
        <v>16</v>
      </c>
      <c r="D184" s="1" t="str">
        <f t="shared" si="2"/>
        <v>ACS3_4-24_SIA</v>
      </c>
      <c r="E184" s="10">
        <v>45392</v>
      </c>
      <c r="F184" s="24">
        <v>45517</v>
      </c>
      <c r="G184" s="10" t="s">
        <v>17</v>
      </c>
      <c r="I184" s="1" t="s">
        <v>17</v>
      </c>
      <c r="J184" s="1" t="s">
        <v>17</v>
      </c>
      <c r="K184" s="1" t="s">
        <v>18</v>
      </c>
    </row>
    <row r="185" spans="1:11" ht="15" customHeight="1" x14ac:dyDescent="0.35">
      <c r="A185" s="1" t="s">
        <v>27</v>
      </c>
      <c r="B185" s="2" t="s">
        <v>63</v>
      </c>
      <c r="C185" s="1" t="s">
        <v>16</v>
      </c>
      <c r="D185" s="1" t="str">
        <f t="shared" si="2"/>
        <v>ACS4_4-24_SIA</v>
      </c>
      <c r="E185" s="10">
        <v>45392</v>
      </c>
      <c r="F185" s="24">
        <v>45520</v>
      </c>
      <c r="G185" s="10" t="s">
        <v>17</v>
      </c>
      <c r="I185" s="1" t="s">
        <v>17</v>
      </c>
      <c r="J185" s="1" t="s">
        <v>17</v>
      </c>
      <c r="K185" s="1" t="s">
        <v>18</v>
      </c>
    </row>
    <row r="186" spans="1:11" ht="15" customHeight="1" x14ac:dyDescent="0.35">
      <c r="A186" s="1" t="s">
        <v>28</v>
      </c>
      <c r="B186" s="2" t="s">
        <v>63</v>
      </c>
      <c r="C186" s="1" t="s">
        <v>16</v>
      </c>
      <c r="D186" s="1" t="str">
        <f t="shared" si="2"/>
        <v>ACS5_4-24_SIA</v>
      </c>
      <c r="E186" s="10">
        <v>45392</v>
      </c>
      <c r="F186" s="24">
        <v>45523</v>
      </c>
      <c r="G186" s="10" t="s">
        <v>17</v>
      </c>
      <c r="I186" s="1" t="s">
        <v>17</v>
      </c>
      <c r="J186" s="1" t="s">
        <v>17</v>
      </c>
      <c r="K186" s="1" t="s">
        <v>18</v>
      </c>
    </row>
    <row r="187" spans="1:11" ht="15" customHeight="1" x14ac:dyDescent="0.35">
      <c r="A187" s="1" t="s">
        <v>30</v>
      </c>
      <c r="B187" s="2" t="s">
        <v>63</v>
      </c>
      <c r="C187" s="1" t="s">
        <v>16</v>
      </c>
      <c r="D187" s="1" t="str">
        <f t="shared" si="2"/>
        <v>DC1_4-24_SIA</v>
      </c>
      <c r="E187" s="10">
        <v>45392</v>
      </c>
      <c r="F187" s="24">
        <v>45517</v>
      </c>
      <c r="G187" s="10" t="s">
        <v>17</v>
      </c>
      <c r="I187" s="1" t="s">
        <v>17</v>
      </c>
      <c r="J187" s="1" t="s">
        <v>17</v>
      </c>
      <c r="K187" s="1" t="s">
        <v>18</v>
      </c>
    </row>
    <row r="188" spans="1:11" ht="15" customHeight="1" x14ac:dyDescent="0.35">
      <c r="A188" s="1" t="s">
        <v>31</v>
      </c>
      <c r="B188" s="2" t="s">
        <v>63</v>
      </c>
      <c r="C188" s="1" t="s">
        <v>16</v>
      </c>
      <c r="D188" s="1" t="str">
        <f t="shared" si="2"/>
        <v>DCM1_4-24_SIA</v>
      </c>
      <c r="E188" s="10">
        <v>45392</v>
      </c>
      <c r="F188" s="24">
        <v>45516</v>
      </c>
      <c r="G188" s="10" t="s">
        <v>17</v>
      </c>
      <c r="I188" s="1" t="s">
        <v>17</v>
      </c>
      <c r="J188" s="1" t="s">
        <v>17</v>
      </c>
      <c r="K188" s="1" t="s">
        <v>18</v>
      </c>
    </row>
    <row r="189" spans="1:11" ht="15" customHeight="1" x14ac:dyDescent="0.35">
      <c r="A189" s="1" t="s">
        <v>32</v>
      </c>
      <c r="B189" s="2" t="s">
        <v>63</v>
      </c>
      <c r="C189" s="1" t="s">
        <v>16</v>
      </c>
      <c r="D189" s="1" t="str">
        <f t="shared" si="2"/>
        <v>DC2_4-24_SIA</v>
      </c>
      <c r="E189" s="10">
        <v>45392</v>
      </c>
      <c r="F189" s="24">
        <v>45517</v>
      </c>
      <c r="G189" s="10" t="s">
        <v>17</v>
      </c>
      <c r="I189" s="1" t="s">
        <v>17</v>
      </c>
      <c r="J189" s="1" t="s">
        <v>17</v>
      </c>
      <c r="K189" s="1" t="s">
        <v>18</v>
      </c>
    </row>
    <row r="190" spans="1:11" ht="15" customHeight="1" x14ac:dyDescent="0.35">
      <c r="A190" s="1" t="s">
        <v>34</v>
      </c>
      <c r="B190" s="2" t="s">
        <v>63</v>
      </c>
      <c r="C190" s="1" t="s">
        <v>16</v>
      </c>
      <c r="D190" s="1" t="str">
        <f t="shared" si="2"/>
        <v>GB1_4-24_SIA</v>
      </c>
      <c r="E190" s="10">
        <v>45392</v>
      </c>
      <c r="F190" s="24">
        <v>45517</v>
      </c>
      <c r="G190" s="10" t="s">
        <v>17</v>
      </c>
      <c r="I190" s="1" t="s">
        <v>17</v>
      </c>
      <c r="J190" s="1" t="s">
        <v>17</v>
      </c>
      <c r="K190" s="1" t="s">
        <v>18</v>
      </c>
    </row>
    <row r="191" spans="1:11" ht="15" customHeight="1" x14ac:dyDescent="0.35">
      <c r="A191" s="1" t="s">
        <v>49</v>
      </c>
      <c r="B191" s="2" t="s">
        <v>63</v>
      </c>
      <c r="C191" s="1" t="s">
        <v>16</v>
      </c>
      <c r="D191" s="1" t="str">
        <f t="shared" si="2"/>
        <v>SBT2_4-24_SIA</v>
      </c>
      <c r="E191" s="10">
        <v>45393</v>
      </c>
      <c r="F191" s="24">
        <v>45523</v>
      </c>
      <c r="G191" s="10" t="s">
        <v>17</v>
      </c>
      <c r="I191" s="1" t="s">
        <v>17</v>
      </c>
      <c r="J191" s="1" t="s">
        <v>17</v>
      </c>
      <c r="K191" s="1" t="s">
        <v>18</v>
      </c>
    </row>
    <row r="192" spans="1:11" ht="15" customHeight="1" x14ac:dyDescent="0.35">
      <c r="A192" s="1" t="s">
        <v>43</v>
      </c>
      <c r="B192" s="2" t="s">
        <v>63</v>
      </c>
      <c r="C192" s="1" t="s">
        <v>16</v>
      </c>
      <c r="D192" s="1" t="str">
        <f t="shared" si="2"/>
        <v>GB2_4-24_SIA</v>
      </c>
      <c r="E192" s="10">
        <v>45393</v>
      </c>
      <c r="F192" s="24">
        <v>45517</v>
      </c>
      <c r="G192" s="10" t="s">
        <v>17</v>
      </c>
      <c r="I192" s="1" t="s">
        <v>17</v>
      </c>
      <c r="J192" s="1" t="s">
        <v>17</v>
      </c>
      <c r="K192" s="1" t="s">
        <v>18</v>
      </c>
    </row>
    <row r="193" spans="1:11" ht="15" customHeight="1" x14ac:dyDescent="0.35">
      <c r="A193" s="1" t="s">
        <v>44</v>
      </c>
      <c r="B193" s="2" t="s">
        <v>63</v>
      </c>
      <c r="C193" s="1" t="s">
        <v>16</v>
      </c>
      <c r="D193" s="1" t="str">
        <f t="shared" si="2"/>
        <v>RB_4-24_SIA</v>
      </c>
      <c r="E193" s="10">
        <v>45393</v>
      </c>
      <c r="F193" s="24">
        <v>45520</v>
      </c>
      <c r="G193" s="10" t="s">
        <v>17</v>
      </c>
      <c r="I193" s="1" t="s">
        <v>17</v>
      </c>
      <c r="J193" s="1" t="s">
        <v>17</v>
      </c>
      <c r="K193" s="1" t="s">
        <v>18</v>
      </c>
    </row>
    <row r="194" spans="1:11" ht="15" customHeight="1" x14ac:dyDescent="0.35">
      <c r="A194" s="1" t="s">
        <v>52</v>
      </c>
      <c r="B194" s="2" t="s">
        <v>63</v>
      </c>
      <c r="C194" s="1" t="s">
        <v>16</v>
      </c>
      <c r="D194" s="1" t="str">
        <f t="shared" ref="D194:D242" si="3">A194&amp;"_"&amp;B194&amp;"_"&amp;C194</f>
        <v>WB1_4-24_SIA</v>
      </c>
      <c r="E194" s="10">
        <v>45393</v>
      </c>
      <c r="F194" s="24">
        <v>45516</v>
      </c>
      <c r="G194" s="10" t="s">
        <v>17</v>
      </c>
      <c r="I194" s="1" t="s">
        <v>17</v>
      </c>
      <c r="J194" s="1" t="s">
        <v>17</v>
      </c>
      <c r="K194" s="1" t="s">
        <v>18</v>
      </c>
    </row>
    <row r="195" spans="1:11" ht="15" customHeight="1" x14ac:dyDescent="0.35">
      <c r="A195" s="1" t="s">
        <v>53</v>
      </c>
      <c r="B195" s="2" t="s">
        <v>63</v>
      </c>
      <c r="C195" s="1" t="s">
        <v>16</v>
      </c>
      <c r="D195" s="1" t="str">
        <f t="shared" si="3"/>
        <v>WB2_4-24_SIA</v>
      </c>
      <c r="E195" s="10">
        <v>45393</v>
      </c>
      <c r="F195" s="24">
        <v>45517</v>
      </c>
      <c r="G195" s="10" t="s">
        <v>17</v>
      </c>
      <c r="I195" s="1" t="s">
        <v>17</v>
      </c>
      <c r="J195" s="1" t="s">
        <v>17</v>
      </c>
      <c r="K195" s="1" t="s">
        <v>18</v>
      </c>
    </row>
    <row r="196" spans="1:11" ht="15" customHeight="1" x14ac:dyDescent="0.35">
      <c r="A196" s="1" t="s">
        <v>54</v>
      </c>
      <c r="B196" s="2" t="s">
        <v>63</v>
      </c>
      <c r="C196" s="1" t="s">
        <v>16</v>
      </c>
      <c r="D196" s="1" t="str">
        <f t="shared" si="3"/>
        <v>TKB_4-24_SIA</v>
      </c>
      <c r="E196" s="10">
        <v>45393</v>
      </c>
      <c r="F196" s="24">
        <v>45519</v>
      </c>
      <c r="G196" s="10" t="s">
        <v>17</v>
      </c>
      <c r="I196" s="1" t="s">
        <v>17</v>
      </c>
      <c r="J196" s="1" t="s">
        <v>17</v>
      </c>
      <c r="K196" s="1" t="s">
        <v>18</v>
      </c>
    </row>
    <row r="197" spans="1:11" ht="15" customHeight="1" x14ac:dyDescent="0.35">
      <c r="A197" s="1" t="s">
        <v>55</v>
      </c>
      <c r="B197" s="2" t="s">
        <v>63</v>
      </c>
      <c r="C197" s="1" t="s">
        <v>16</v>
      </c>
      <c r="D197" s="1" t="str">
        <f t="shared" si="3"/>
        <v>JB_4-24_SIA</v>
      </c>
      <c r="E197" s="10">
        <v>45393</v>
      </c>
      <c r="F197" s="24">
        <v>45520</v>
      </c>
      <c r="G197" s="10" t="s">
        <v>17</v>
      </c>
      <c r="I197" s="1" t="s">
        <v>17</v>
      </c>
      <c r="J197" s="1" t="s">
        <v>17</v>
      </c>
      <c r="K197" s="1" t="s">
        <v>18</v>
      </c>
    </row>
    <row r="198" spans="1:11" ht="15" customHeight="1" x14ac:dyDescent="0.35">
      <c r="A198" s="1" t="s">
        <v>56</v>
      </c>
      <c r="B198" s="2" t="s">
        <v>63</v>
      </c>
      <c r="C198" s="1" t="s">
        <v>16</v>
      </c>
      <c r="D198" s="1" t="str">
        <f t="shared" si="3"/>
        <v>CC_4-24_SIA</v>
      </c>
      <c r="E198" s="10">
        <v>45393</v>
      </c>
      <c r="F198" s="24">
        <v>45517</v>
      </c>
      <c r="G198" s="10" t="s">
        <v>17</v>
      </c>
      <c r="I198" s="1" t="s">
        <v>17</v>
      </c>
      <c r="J198" s="1" t="s">
        <v>17</v>
      </c>
      <c r="K198" s="1" t="s">
        <v>18</v>
      </c>
    </row>
    <row r="199" spans="1:11" ht="15" customHeight="1" x14ac:dyDescent="0.35">
      <c r="A199" s="1" t="s">
        <v>14</v>
      </c>
      <c r="B199" s="2" t="s">
        <v>59</v>
      </c>
      <c r="C199" s="1" t="s">
        <v>16</v>
      </c>
      <c r="D199" s="1" t="str">
        <f t="shared" si="3"/>
        <v>P37_7-24_SIA</v>
      </c>
      <c r="E199" s="10">
        <v>45476</v>
      </c>
      <c r="F199" s="1"/>
      <c r="G199" s="10" t="s">
        <v>17</v>
      </c>
    </row>
    <row r="200" spans="1:11" ht="15" customHeight="1" x14ac:dyDescent="0.35">
      <c r="A200" s="1" t="s">
        <v>19</v>
      </c>
      <c r="B200" s="2" t="s">
        <v>59</v>
      </c>
      <c r="C200" s="1" t="s">
        <v>16</v>
      </c>
      <c r="D200" s="1" t="str">
        <f t="shared" si="3"/>
        <v>NCL_7-24_SIA</v>
      </c>
      <c r="E200" s="10">
        <v>45476</v>
      </c>
      <c r="F200" s="1"/>
      <c r="G200" s="1" t="s">
        <v>17</v>
      </c>
    </row>
    <row r="201" spans="1:11" ht="15" customHeight="1" x14ac:dyDescent="0.35">
      <c r="A201" s="1" t="s">
        <v>20</v>
      </c>
      <c r="B201" s="2" t="s">
        <v>59</v>
      </c>
      <c r="C201" s="1" t="s">
        <v>16</v>
      </c>
      <c r="D201" s="1" t="str">
        <f t="shared" si="3"/>
        <v>CP_7-24_SIA</v>
      </c>
      <c r="E201" s="10">
        <v>45476</v>
      </c>
      <c r="F201" s="1"/>
      <c r="G201" s="10" t="s">
        <v>17</v>
      </c>
    </row>
    <row r="202" spans="1:11" ht="15" customHeight="1" x14ac:dyDescent="0.35">
      <c r="A202" s="1" t="s">
        <v>21</v>
      </c>
      <c r="B202" s="2" t="s">
        <v>59</v>
      </c>
      <c r="C202" s="1" t="s">
        <v>16</v>
      </c>
      <c r="D202" s="1" t="str">
        <f t="shared" si="3"/>
        <v>EP146_7-24_SIA</v>
      </c>
      <c r="E202" s="10">
        <v>45476</v>
      </c>
      <c r="F202" s="1"/>
      <c r="G202" s="10" t="s">
        <v>17</v>
      </c>
    </row>
    <row r="203" spans="1:11" ht="15" customHeight="1" x14ac:dyDescent="0.35">
      <c r="A203" s="1" t="s">
        <v>22</v>
      </c>
      <c r="B203" s="2" t="s">
        <v>59</v>
      </c>
      <c r="C203" s="1" t="s">
        <v>16</v>
      </c>
      <c r="D203" s="1" t="str">
        <f t="shared" si="3"/>
        <v>OL_7-24_SIA</v>
      </c>
      <c r="E203" s="10">
        <v>45476</v>
      </c>
      <c r="F203" s="1"/>
      <c r="G203" s="1" t="s">
        <v>17</v>
      </c>
    </row>
    <row r="204" spans="1:11" ht="15" customHeight="1" x14ac:dyDescent="0.35">
      <c r="A204" s="1" t="s">
        <v>58</v>
      </c>
      <c r="B204" s="2" t="s">
        <v>59</v>
      </c>
      <c r="C204" s="1" t="s">
        <v>16</v>
      </c>
      <c r="D204" s="1" t="str">
        <f t="shared" si="3"/>
        <v>TSH_7-24_SIA</v>
      </c>
      <c r="E204" s="10">
        <v>45476</v>
      </c>
      <c r="F204" s="1"/>
      <c r="G204" s="10" t="s">
        <v>60</v>
      </c>
    </row>
    <row r="205" spans="1:11" ht="15" hidden="1" customHeight="1" x14ac:dyDescent="0.35">
      <c r="A205" s="1" t="s">
        <v>45</v>
      </c>
      <c r="B205" s="2" t="s">
        <v>61</v>
      </c>
      <c r="C205" s="1" t="s">
        <v>50</v>
      </c>
      <c r="D205" s="1" t="str">
        <f t="shared" si="3"/>
        <v>TSM1_1-24_D</v>
      </c>
      <c r="E205" s="10">
        <v>45324</v>
      </c>
      <c r="F205" s="1"/>
    </row>
    <row r="206" spans="1:11" ht="15" hidden="1" customHeight="1" x14ac:dyDescent="0.35">
      <c r="A206" s="1" t="s">
        <v>46</v>
      </c>
      <c r="B206" s="2" t="s">
        <v>61</v>
      </c>
      <c r="C206" s="1" t="s">
        <v>50</v>
      </c>
      <c r="D206" s="1" t="str">
        <f t="shared" si="3"/>
        <v>TSM3_1-24_D</v>
      </c>
      <c r="E206" s="10">
        <v>45324</v>
      </c>
      <c r="F206" s="1"/>
    </row>
    <row r="207" spans="1:11" ht="15" hidden="1" customHeight="1" x14ac:dyDescent="0.35">
      <c r="A207" s="1" t="s">
        <v>47</v>
      </c>
      <c r="B207" s="2" t="s">
        <v>61</v>
      </c>
      <c r="C207" s="1" t="s">
        <v>50</v>
      </c>
      <c r="D207" s="1" t="str">
        <f t="shared" si="3"/>
        <v>TSM4_1-24_D</v>
      </c>
      <c r="E207" s="10">
        <v>45324</v>
      </c>
      <c r="F207" s="1"/>
    </row>
    <row r="208" spans="1:11" ht="15" hidden="1" customHeight="1" x14ac:dyDescent="0.35">
      <c r="A208" s="1" t="s">
        <v>48</v>
      </c>
      <c r="B208" s="2" t="s">
        <v>61</v>
      </c>
      <c r="C208" s="1" t="s">
        <v>50</v>
      </c>
      <c r="D208" s="1" t="str">
        <f t="shared" si="3"/>
        <v>SBT1_1-24_D</v>
      </c>
      <c r="E208" s="10">
        <v>45324</v>
      </c>
      <c r="F208" s="1"/>
    </row>
    <row r="209" spans="1:6" ht="15" hidden="1" customHeight="1" x14ac:dyDescent="0.35">
      <c r="A209" s="1" t="s">
        <v>49</v>
      </c>
      <c r="B209" s="2" t="s">
        <v>61</v>
      </c>
      <c r="C209" s="1" t="s">
        <v>50</v>
      </c>
      <c r="D209" s="1" t="str">
        <f t="shared" si="3"/>
        <v>SBT2_1-24_D</v>
      </c>
      <c r="E209" s="10">
        <v>45297</v>
      </c>
      <c r="F209" s="1"/>
    </row>
    <row r="210" spans="1:6" ht="15" hidden="1" customHeight="1" x14ac:dyDescent="0.35">
      <c r="A210" s="1" t="s">
        <v>24</v>
      </c>
      <c r="B210" s="2" t="s">
        <v>61</v>
      </c>
      <c r="C210" s="1" t="s">
        <v>50</v>
      </c>
      <c r="D210" s="1" t="str">
        <f t="shared" si="3"/>
        <v>ACS1_1-24_D</v>
      </c>
      <c r="E210" s="10">
        <v>45302</v>
      </c>
      <c r="F210" s="1"/>
    </row>
    <row r="211" spans="1:6" ht="15" hidden="1" customHeight="1" x14ac:dyDescent="0.35">
      <c r="A211" s="1" t="s">
        <v>25</v>
      </c>
      <c r="B211" s="2" t="s">
        <v>61</v>
      </c>
      <c r="C211" s="1" t="s">
        <v>50</v>
      </c>
      <c r="D211" s="1" t="str">
        <f t="shared" si="3"/>
        <v>ACS2_1-24_D</v>
      </c>
      <c r="E211" s="10">
        <v>45302</v>
      </c>
      <c r="F211" s="1"/>
    </row>
    <row r="212" spans="1:6" ht="15" hidden="1" customHeight="1" x14ac:dyDescent="0.35">
      <c r="A212" s="1" t="s">
        <v>26</v>
      </c>
      <c r="B212" s="2" t="s">
        <v>61</v>
      </c>
      <c r="C212" s="1" t="s">
        <v>50</v>
      </c>
      <c r="D212" s="1" t="str">
        <f t="shared" si="3"/>
        <v>ACS3_1-24_D</v>
      </c>
      <c r="E212" s="10">
        <v>45302</v>
      </c>
      <c r="F212" s="1"/>
    </row>
    <row r="213" spans="1:6" ht="15" hidden="1" customHeight="1" x14ac:dyDescent="0.35">
      <c r="A213" s="1" t="s">
        <v>27</v>
      </c>
      <c r="B213" s="2" t="s">
        <v>61</v>
      </c>
      <c r="C213" s="1" t="s">
        <v>50</v>
      </c>
      <c r="D213" s="1" t="str">
        <f t="shared" si="3"/>
        <v>ACS4_1-24_D</v>
      </c>
      <c r="E213" s="10">
        <v>45302</v>
      </c>
      <c r="F213" s="1"/>
    </row>
    <row r="214" spans="1:6" ht="15" hidden="1" customHeight="1" x14ac:dyDescent="0.35">
      <c r="A214" s="1" t="s">
        <v>28</v>
      </c>
      <c r="B214" s="2" t="s">
        <v>61</v>
      </c>
      <c r="C214" s="1" t="s">
        <v>50</v>
      </c>
      <c r="D214" s="1" t="str">
        <f t="shared" si="3"/>
        <v>ACS5_1-24_D</v>
      </c>
      <c r="E214" s="10">
        <v>45302</v>
      </c>
      <c r="F214" s="1"/>
    </row>
    <row r="215" spans="1:6" ht="15" hidden="1" customHeight="1" x14ac:dyDescent="0.35">
      <c r="A215" s="1" t="s">
        <v>29</v>
      </c>
      <c r="B215" s="2" t="s">
        <v>61</v>
      </c>
      <c r="C215" s="1" t="s">
        <v>50</v>
      </c>
      <c r="D215" s="1" t="str">
        <f t="shared" si="3"/>
        <v>GBHM_1-24_D</v>
      </c>
      <c r="E215" s="10">
        <v>45302</v>
      </c>
      <c r="F215" s="1"/>
    </row>
    <row r="216" spans="1:6" ht="15" hidden="1" customHeight="1" x14ac:dyDescent="0.35">
      <c r="A216" s="1" t="s">
        <v>30</v>
      </c>
      <c r="B216" s="2" t="s">
        <v>61</v>
      </c>
      <c r="C216" s="1" t="s">
        <v>50</v>
      </c>
      <c r="D216" s="1" t="str">
        <f t="shared" si="3"/>
        <v>DC1_1-24_D</v>
      </c>
      <c r="E216" s="10">
        <v>45302</v>
      </c>
      <c r="F216" s="1"/>
    </row>
    <row r="217" spans="1:6" ht="15" hidden="1" customHeight="1" x14ac:dyDescent="0.35">
      <c r="A217" s="1" t="s">
        <v>31</v>
      </c>
      <c r="B217" s="2" t="s">
        <v>61</v>
      </c>
      <c r="C217" s="1" t="s">
        <v>50</v>
      </c>
      <c r="D217" s="1" t="str">
        <f t="shared" si="3"/>
        <v>DCM1_1-24_D</v>
      </c>
      <c r="E217" s="10">
        <v>45302</v>
      </c>
      <c r="F217" s="1"/>
    </row>
    <row r="218" spans="1:6" ht="15" hidden="1" customHeight="1" x14ac:dyDescent="0.35">
      <c r="A218" s="1" t="s">
        <v>32</v>
      </c>
      <c r="B218" s="2" t="s">
        <v>61</v>
      </c>
      <c r="C218" s="1" t="s">
        <v>50</v>
      </c>
      <c r="D218" s="1" t="str">
        <f t="shared" si="3"/>
        <v>DC2_1-24_D</v>
      </c>
      <c r="E218" s="10">
        <v>45302</v>
      </c>
      <c r="F218" s="1"/>
    </row>
    <row r="219" spans="1:6" ht="15" hidden="1" customHeight="1" x14ac:dyDescent="0.35">
      <c r="A219" s="1" t="s">
        <v>33</v>
      </c>
      <c r="B219" s="2" t="s">
        <v>61</v>
      </c>
      <c r="C219" s="1" t="s">
        <v>50</v>
      </c>
      <c r="D219" s="1" t="str">
        <f t="shared" si="3"/>
        <v>DCM2_1-24_D</v>
      </c>
      <c r="E219" s="10">
        <v>45302</v>
      </c>
      <c r="F219" s="1"/>
    </row>
    <row r="220" spans="1:6" ht="15" hidden="1" customHeight="1" x14ac:dyDescent="0.35">
      <c r="A220" s="1" t="s">
        <v>35</v>
      </c>
      <c r="B220" s="2" t="s">
        <v>61</v>
      </c>
      <c r="C220" s="1" t="s">
        <v>50</v>
      </c>
      <c r="D220" s="1" t="str">
        <f t="shared" si="3"/>
        <v>MCS1_1-24_D</v>
      </c>
      <c r="E220" s="10">
        <v>45298</v>
      </c>
      <c r="F220" s="1"/>
    </row>
    <row r="221" spans="1:6" ht="15" hidden="1" customHeight="1" x14ac:dyDescent="0.35">
      <c r="A221" s="1" t="s">
        <v>36</v>
      </c>
      <c r="B221" s="2" t="s">
        <v>61</v>
      </c>
      <c r="C221" s="1" t="s">
        <v>50</v>
      </c>
      <c r="D221" s="1" t="str">
        <f t="shared" si="3"/>
        <v>MCS2_1-24_D</v>
      </c>
      <c r="E221" s="10">
        <v>45298</v>
      </c>
      <c r="F221" s="1"/>
    </row>
    <row r="222" spans="1:6" ht="15" hidden="1" customHeight="1" x14ac:dyDescent="0.35">
      <c r="A222" s="1" t="s">
        <v>37</v>
      </c>
      <c r="B222" s="2" t="s">
        <v>61</v>
      </c>
      <c r="C222" s="1" t="s">
        <v>50</v>
      </c>
      <c r="D222" s="1" t="str">
        <f t="shared" si="3"/>
        <v>MCS3_1-24_D</v>
      </c>
      <c r="E222" s="10">
        <v>45298</v>
      </c>
      <c r="F222" s="1"/>
    </row>
    <row r="223" spans="1:6" ht="15" hidden="1" customHeight="1" x14ac:dyDescent="0.35">
      <c r="A223" s="1" t="s">
        <v>38</v>
      </c>
      <c r="B223" s="2" t="s">
        <v>61</v>
      </c>
      <c r="C223" s="1" t="s">
        <v>50</v>
      </c>
      <c r="D223" s="1" t="str">
        <f t="shared" si="3"/>
        <v>MCS4_1-24_D</v>
      </c>
      <c r="E223" s="10">
        <v>45298</v>
      </c>
      <c r="F223" s="1"/>
    </row>
    <row r="224" spans="1:6" ht="15" hidden="1" customHeight="1" x14ac:dyDescent="0.35">
      <c r="A224" s="1" t="s">
        <v>39</v>
      </c>
      <c r="B224" s="2" t="s">
        <v>61</v>
      </c>
      <c r="C224" s="1" t="s">
        <v>50</v>
      </c>
      <c r="D224" s="1" t="str">
        <f t="shared" si="3"/>
        <v>TBHM_1-24_D</v>
      </c>
      <c r="E224" s="10">
        <v>45298</v>
      </c>
      <c r="F224" s="1"/>
    </row>
    <row r="225" spans="1:14" ht="15" hidden="1" customHeight="1" x14ac:dyDescent="0.35">
      <c r="A225" s="1" t="s">
        <v>51</v>
      </c>
      <c r="B225" s="2" t="s">
        <v>61</v>
      </c>
      <c r="C225" s="1" t="s">
        <v>50</v>
      </c>
      <c r="D225" s="1" t="str">
        <f t="shared" si="3"/>
        <v>TBC_1-24_D</v>
      </c>
      <c r="E225" s="10">
        <v>45298</v>
      </c>
      <c r="F225" s="1"/>
    </row>
    <row r="226" spans="1:14" ht="15" hidden="1" customHeight="1" x14ac:dyDescent="0.35">
      <c r="A226" s="1" t="s">
        <v>40</v>
      </c>
      <c r="B226" s="2" t="s">
        <v>61</v>
      </c>
      <c r="C226" s="1" t="s">
        <v>50</v>
      </c>
      <c r="D226" s="1" t="str">
        <f t="shared" si="3"/>
        <v>TBCM_1-24_D</v>
      </c>
      <c r="E226" s="10">
        <v>45298</v>
      </c>
      <c r="F226" s="1"/>
    </row>
    <row r="227" spans="1:14" ht="15" hidden="1" customHeight="1" x14ac:dyDescent="0.35">
      <c r="A227" s="1" t="s">
        <v>41</v>
      </c>
      <c r="B227" s="2" t="s">
        <v>61</v>
      </c>
      <c r="C227" s="1" t="s">
        <v>50</v>
      </c>
      <c r="D227" s="1" t="str">
        <f t="shared" si="3"/>
        <v>TB1_1-24_D</v>
      </c>
      <c r="E227" s="10">
        <v>45298</v>
      </c>
      <c r="F227" s="1"/>
    </row>
    <row r="228" spans="1:14" ht="15" hidden="1" customHeight="1" x14ac:dyDescent="0.35">
      <c r="A228" s="1" t="s">
        <v>42</v>
      </c>
      <c r="B228" s="2" t="s">
        <v>61</v>
      </c>
      <c r="C228" s="1" t="s">
        <v>50</v>
      </c>
      <c r="D228" s="1" t="str">
        <f t="shared" si="3"/>
        <v>TB2_1-24_D</v>
      </c>
      <c r="E228" s="10">
        <v>45298</v>
      </c>
      <c r="F228" s="1"/>
    </row>
    <row r="229" spans="1:14" ht="15" hidden="1" customHeight="1" x14ac:dyDescent="0.35">
      <c r="A229" s="1" t="s">
        <v>34</v>
      </c>
      <c r="B229" s="2" t="s">
        <v>61</v>
      </c>
      <c r="C229" s="1" t="s">
        <v>50</v>
      </c>
      <c r="D229" s="1" t="str">
        <f t="shared" si="3"/>
        <v>GB1_1-24_D</v>
      </c>
      <c r="E229" s="10">
        <v>45302</v>
      </c>
      <c r="F229" s="1"/>
    </row>
    <row r="230" spans="1:14" ht="15" hidden="1" customHeight="1" x14ac:dyDescent="0.35">
      <c r="A230" s="1" t="s">
        <v>43</v>
      </c>
      <c r="B230" s="2" t="s">
        <v>61</v>
      </c>
      <c r="C230" s="1" t="s">
        <v>50</v>
      </c>
      <c r="D230" s="1" t="str">
        <f t="shared" si="3"/>
        <v>GB2_1-24_D</v>
      </c>
      <c r="E230" s="10">
        <v>45297</v>
      </c>
      <c r="F230" s="1"/>
    </row>
    <row r="231" spans="1:14" ht="15" hidden="1" customHeight="1" x14ac:dyDescent="0.35">
      <c r="A231" s="1" t="s">
        <v>44</v>
      </c>
      <c r="B231" s="2" t="s">
        <v>61</v>
      </c>
      <c r="C231" s="1" t="s">
        <v>50</v>
      </c>
      <c r="D231" s="1" t="str">
        <f t="shared" si="3"/>
        <v>RB_1-24_D</v>
      </c>
      <c r="E231" s="10">
        <v>45297</v>
      </c>
      <c r="F231" s="1"/>
    </row>
    <row r="232" spans="1:14" s="30" customFormat="1" ht="15" hidden="1" customHeight="1" x14ac:dyDescent="0.35">
      <c r="A232" s="1" t="s">
        <v>52</v>
      </c>
      <c r="B232" s="2" t="s">
        <v>61</v>
      </c>
      <c r="C232" s="1" t="s">
        <v>50</v>
      </c>
      <c r="D232" s="1" t="str">
        <f t="shared" si="3"/>
        <v>WB1_1-24_D</v>
      </c>
      <c r="E232" s="10">
        <v>45298</v>
      </c>
      <c r="F232" s="1"/>
      <c r="G232" s="1"/>
      <c r="H232" s="1"/>
      <c r="I232" s="1"/>
      <c r="J232" s="1"/>
      <c r="K232" s="1"/>
      <c r="L232" s="1"/>
      <c r="M232" s="1"/>
      <c r="N232"/>
    </row>
    <row r="233" spans="1:14" ht="15" hidden="1" customHeight="1" x14ac:dyDescent="0.35">
      <c r="A233" s="1" t="s">
        <v>53</v>
      </c>
      <c r="B233" s="2" t="s">
        <v>61</v>
      </c>
      <c r="C233" s="1" t="s">
        <v>50</v>
      </c>
      <c r="D233" s="1" t="str">
        <f t="shared" si="3"/>
        <v>WB2_1-24_D</v>
      </c>
      <c r="E233" s="10">
        <v>45298</v>
      </c>
      <c r="F233" s="1"/>
    </row>
    <row r="234" spans="1:14" ht="15" hidden="1" customHeight="1" x14ac:dyDescent="0.35">
      <c r="A234" s="1" t="s">
        <v>54</v>
      </c>
      <c r="B234" s="2" t="s">
        <v>61</v>
      </c>
      <c r="C234" s="1" t="s">
        <v>50</v>
      </c>
      <c r="D234" s="1" t="str">
        <f t="shared" si="3"/>
        <v>TKB_1-24_D</v>
      </c>
      <c r="E234" s="10">
        <v>45297</v>
      </c>
      <c r="F234" s="1"/>
    </row>
    <row r="235" spans="1:14" ht="15" hidden="1" customHeight="1" x14ac:dyDescent="0.35">
      <c r="A235" s="1" t="s">
        <v>55</v>
      </c>
      <c r="B235" s="2" t="s">
        <v>61</v>
      </c>
      <c r="C235" s="1" t="s">
        <v>50</v>
      </c>
      <c r="D235" s="1" t="str">
        <f t="shared" si="3"/>
        <v>JB_1-24_D</v>
      </c>
      <c r="E235" s="10">
        <v>45297</v>
      </c>
      <c r="F235" s="1"/>
    </row>
    <row r="236" spans="1:14" ht="15" hidden="1" customHeight="1" x14ac:dyDescent="0.35">
      <c r="A236" s="1" t="s">
        <v>56</v>
      </c>
      <c r="B236" s="2" t="s">
        <v>61</v>
      </c>
      <c r="C236" s="1" t="s">
        <v>50</v>
      </c>
      <c r="D236" s="1" t="str">
        <f t="shared" si="3"/>
        <v>CC_1-24_D</v>
      </c>
      <c r="E236" s="10">
        <v>45297</v>
      </c>
      <c r="F236" s="1"/>
    </row>
    <row r="237" spans="1:14" ht="15" customHeight="1" x14ac:dyDescent="0.35">
      <c r="A237" s="1" t="s">
        <v>23</v>
      </c>
      <c r="B237" s="2" t="s">
        <v>59</v>
      </c>
      <c r="C237" s="1" t="s">
        <v>16</v>
      </c>
      <c r="D237" s="1" t="str">
        <f t="shared" si="3"/>
        <v>R127_7-24_SIA</v>
      </c>
      <c r="E237" s="10">
        <v>45476</v>
      </c>
      <c r="F237" s="1"/>
      <c r="G237" s="10" t="s">
        <v>17</v>
      </c>
    </row>
    <row r="238" spans="1:14" ht="15" hidden="1" customHeight="1" x14ac:dyDescent="0.35">
      <c r="A238" s="1" t="s">
        <v>14</v>
      </c>
      <c r="B238" s="2" t="s">
        <v>57</v>
      </c>
      <c r="C238" s="1" t="s">
        <v>50</v>
      </c>
      <c r="D238" s="1" t="str">
        <f t="shared" si="3"/>
        <v>P37_11_23_D</v>
      </c>
      <c r="E238" s="10">
        <v>45259</v>
      </c>
      <c r="F238" s="1"/>
    </row>
    <row r="239" spans="1:14" ht="15" hidden="1" customHeight="1" x14ac:dyDescent="0.35">
      <c r="A239" s="26" t="s">
        <v>51</v>
      </c>
      <c r="B239" s="27" t="s">
        <v>15</v>
      </c>
      <c r="C239" s="26" t="s">
        <v>16</v>
      </c>
      <c r="D239" s="26" t="str">
        <f t="shared" si="3"/>
        <v>TBC_9-23_SIA</v>
      </c>
      <c r="E239" s="28"/>
      <c r="F239" s="29"/>
      <c r="G239" s="26"/>
      <c r="H239" s="26"/>
      <c r="I239" s="26"/>
      <c r="J239" s="26"/>
      <c r="K239" s="26"/>
      <c r="L239" s="26"/>
      <c r="M239" s="26"/>
      <c r="N239" s="30"/>
    </row>
    <row r="240" spans="1:14" ht="15" hidden="1" customHeight="1" x14ac:dyDescent="0.35">
      <c r="A240" s="1" t="s">
        <v>19</v>
      </c>
      <c r="B240" s="2" t="s">
        <v>57</v>
      </c>
      <c r="C240" s="1" t="s">
        <v>50</v>
      </c>
      <c r="D240" s="1" t="str">
        <f t="shared" si="3"/>
        <v>NCL_11_23_D</v>
      </c>
      <c r="E240" s="10">
        <v>45259</v>
      </c>
      <c r="F240" s="1"/>
    </row>
    <row r="241" spans="1:14" ht="15" hidden="1" customHeight="1" x14ac:dyDescent="0.35">
      <c r="A241" s="26" t="s">
        <v>58</v>
      </c>
      <c r="B241" s="27" t="s">
        <v>15</v>
      </c>
      <c r="C241" s="26" t="s">
        <v>16</v>
      </c>
      <c r="D241" s="26" t="str">
        <f t="shared" si="3"/>
        <v>TSH_9-23_SIA</v>
      </c>
      <c r="E241" s="28"/>
      <c r="F241" s="29"/>
      <c r="G241" s="26"/>
      <c r="H241" s="26"/>
      <c r="I241" s="26"/>
      <c r="J241" s="26"/>
      <c r="K241" s="26"/>
      <c r="L241" s="26"/>
      <c r="M241" s="26"/>
      <c r="N241" s="30"/>
    </row>
    <row r="242" spans="1:14" ht="15" hidden="1" customHeight="1" x14ac:dyDescent="0.35">
      <c r="A242" s="1" t="s">
        <v>20</v>
      </c>
      <c r="B242" s="2" t="s">
        <v>57</v>
      </c>
      <c r="C242" s="1" t="s">
        <v>50</v>
      </c>
      <c r="D242" s="1" t="str">
        <f t="shared" si="3"/>
        <v>CP_11_23_D</v>
      </c>
      <c r="E242" s="10">
        <v>45259</v>
      </c>
      <c r="F242" s="1"/>
    </row>
    <row r="243" spans="1:14" ht="15" hidden="1" customHeight="1" x14ac:dyDescent="0.35">
      <c r="B243" s="2" t="s">
        <v>64</v>
      </c>
      <c r="C243" s="1" t="s">
        <v>16</v>
      </c>
    </row>
    <row r="244" spans="1:14" ht="15" hidden="1" customHeight="1" x14ac:dyDescent="0.35">
      <c r="A244" s="1" t="s">
        <v>21</v>
      </c>
      <c r="B244" s="2" t="s">
        <v>57</v>
      </c>
      <c r="C244" s="1" t="s">
        <v>50</v>
      </c>
      <c r="D244" s="1" t="str">
        <f t="shared" ref="D244:D251" si="4">A244&amp;"_"&amp;B244&amp;"_"&amp;C244</f>
        <v>EP146_11_23_D</v>
      </c>
      <c r="E244" s="10">
        <v>45259</v>
      </c>
      <c r="F244" s="1"/>
    </row>
    <row r="245" spans="1:14" ht="15" hidden="1" customHeight="1" x14ac:dyDescent="0.35">
      <c r="A245" s="26" t="s">
        <v>29</v>
      </c>
      <c r="B245" s="27" t="s">
        <v>63</v>
      </c>
      <c r="C245" s="26" t="s">
        <v>16</v>
      </c>
      <c r="D245" s="26" t="str">
        <f t="shared" si="4"/>
        <v>GBHM_4-24_SIA</v>
      </c>
      <c r="E245" s="28"/>
      <c r="F245" s="34"/>
      <c r="G245" s="28"/>
      <c r="H245" s="26"/>
      <c r="I245" s="26"/>
      <c r="J245" s="26"/>
      <c r="K245" s="26"/>
      <c r="L245" s="26"/>
      <c r="M245" s="26"/>
      <c r="N245" s="30"/>
    </row>
    <row r="246" spans="1:14" ht="15" hidden="1" customHeight="1" x14ac:dyDescent="0.35">
      <c r="A246" s="1" t="s">
        <v>22</v>
      </c>
      <c r="B246" s="2" t="s">
        <v>57</v>
      </c>
      <c r="C246" s="1" t="s">
        <v>50</v>
      </c>
      <c r="D246" s="1" t="str">
        <f t="shared" si="4"/>
        <v>OL_11_23_D</v>
      </c>
      <c r="E246" s="10">
        <v>45259</v>
      </c>
      <c r="F246" s="1"/>
    </row>
    <row r="247" spans="1:14" ht="15" hidden="1" customHeight="1" x14ac:dyDescent="0.35">
      <c r="A247" s="26" t="s">
        <v>33</v>
      </c>
      <c r="B247" s="27" t="s">
        <v>63</v>
      </c>
      <c r="C247" s="26" t="s">
        <v>16</v>
      </c>
      <c r="D247" s="26" t="str">
        <f t="shared" si="4"/>
        <v>DCM2_4-24_SIA</v>
      </c>
      <c r="E247" s="28"/>
      <c r="F247" s="34"/>
      <c r="G247" s="28"/>
      <c r="H247" s="26"/>
      <c r="I247" s="26"/>
      <c r="J247" s="26"/>
      <c r="K247" s="26"/>
      <c r="L247" s="26"/>
      <c r="M247" s="26"/>
      <c r="N247" s="30"/>
    </row>
    <row r="248" spans="1:14" ht="15" hidden="1" customHeight="1" x14ac:dyDescent="0.35">
      <c r="A248" s="1" t="s">
        <v>58</v>
      </c>
      <c r="B248" s="2" t="s">
        <v>57</v>
      </c>
      <c r="C248" s="1" t="s">
        <v>50</v>
      </c>
      <c r="D248" s="1" t="str">
        <f t="shared" si="4"/>
        <v>TSH_11_23_D</v>
      </c>
      <c r="E248" s="10">
        <v>45259</v>
      </c>
      <c r="F248" s="1"/>
    </row>
    <row r="249" spans="1:14" ht="15" hidden="1" customHeight="1" x14ac:dyDescent="0.35">
      <c r="A249" s="26" t="s">
        <v>58</v>
      </c>
      <c r="B249" s="27" t="s">
        <v>62</v>
      </c>
      <c r="C249" s="26" t="s">
        <v>16</v>
      </c>
      <c r="D249" s="26" t="str">
        <f t="shared" si="4"/>
        <v>TSH_3-24_SIA</v>
      </c>
      <c r="E249" s="28"/>
      <c r="F249" s="26"/>
      <c r="G249" s="26"/>
      <c r="H249" s="26"/>
      <c r="I249" s="26"/>
      <c r="J249" s="26"/>
      <c r="K249" s="26"/>
      <c r="L249" s="26"/>
      <c r="M249" s="26"/>
      <c r="N249" s="30"/>
    </row>
    <row r="250" spans="1:14" ht="15" hidden="1" customHeight="1" x14ac:dyDescent="0.35">
      <c r="A250" s="1" t="s">
        <v>23</v>
      </c>
      <c r="B250" s="2" t="s">
        <v>57</v>
      </c>
      <c r="C250" s="1" t="s">
        <v>50</v>
      </c>
      <c r="D250" s="1" t="str">
        <f t="shared" si="4"/>
        <v>R127_11_23_D</v>
      </c>
      <c r="E250" s="10">
        <v>45259</v>
      </c>
      <c r="F250" s="1"/>
    </row>
    <row r="251" spans="1:14" ht="15" customHeight="1" x14ac:dyDescent="0.35">
      <c r="A251" s="1" t="s">
        <v>24</v>
      </c>
      <c r="B251" s="2" t="s">
        <v>64</v>
      </c>
      <c r="C251" s="1" t="s">
        <v>16</v>
      </c>
      <c r="D251" s="1" t="str">
        <f t="shared" si="4"/>
        <v>ACS1_8-24_SIA</v>
      </c>
      <c r="E251" s="10">
        <v>45524</v>
      </c>
      <c r="G251" s="1" t="s">
        <v>17</v>
      </c>
    </row>
    <row r="252" spans="1:14" ht="15" customHeight="1" x14ac:dyDescent="0.35">
      <c r="A252" s="1" t="s">
        <v>25</v>
      </c>
      <c r="B252" s="2" t="s">
        <v>64</v>
      </c>
      <c r="C252" s="1" t="s">
        <v>16</v>
      </c>
      <c r="D252" s="1" t="str">
        <f t="shared" ref="D252:D282" si="5">A252&amp;"_"&amp;B252&amp;"_"&amp;C252</f>
        <v>ACS2_8-24_SIA</v>
      </c>
      <c r="E252" s="10">
        <v>45524</v>
      </c>
      <c r="G252" s="1" t="s">
        <v>17</v>
      </c>
    </row>
    <row r="253" spans="1:14" ht="15" customHeight="1" x14ac:dyDescent="0.35">
      <c r="A253" s="1" t="s">
        <v>26</v>
      </c>
      <c r="B253" s="2" t="s">
        <v>64</v>
      </c>
      <c r="C253" s="1" t="s">
        <v>16</v>
      </c>
      <c r="D253" s="1" t="str">
        <f t="shared" si="5"/>
        <v>ACS3_8-24_SIA</v>
      </c>
      <c r="E253" s="10">
        <v>45524</v>
      </c>
      <c r="G253" s="1" t="s">
        <v>17</v>
      </c>
    </row>
    <row r="254" spans="1:14" ht="15" customHeight="1" x14ac:dyDescent="0.35">
      <c r="A254" s="1" t="s">
        <v>27</v>
      </c>
      <c r="B254" s="2" t="s">
        <v>64</v>
      </c>
      <c r="C254" s="1" t="s">
        <v>16</v>
      </c>
      <c r="D254" s="1" t="str">
        <f t="shared" si="5"/>
        <v>ACS4_8-24_SIA</v>
      </c>
      <c r="E254" s="10">
        <v>45524</v>
      </c>
      <c r="G254" s="1" t="s">
        <v>17</v>
      </c>
    </row>
    <row r="255" spans="1:14" ht="15" customHeight="1" x14ac:dyDescent="0.35">
      <c r="A255" s="1" t="s">
        <v>28</v>
      </c>
      <c r="B255" s="2" t="s">
        <v>64</v>
      </c>
      <c r="C255" s="1" t="s">
        <v>16</v>
      </c>
      <c r="D255" s="1" t="str">
        <f t="shared" si="5"/>
        <v>ACS5_8-24_SIA</v>
      </c>
      <c r="E255" s="10">
        <v>45524</v>
      </c>
      <c r="G255" s="1" t="s">
        <v>17</v>
      </c>
    </row>
    <row r="256" spans="1:14" ht="15" customHeight="1" x14ac:dyDescent="0.35">
      <c r="A256" s="1" t="s">
        <v>29</v>
      </c>
      <c r="B256" s="2" t="s">
        <v>64</v>
      </c>
      <c r="C256" s="1" t="s">
        <v>16</v>
      </c>
      <c r="D256" s="1" t="str">
        <f t="shared" si="5"/>
        <v>GBHM_8-24_SIA</v>
      </c>
      <c r="E256" s="10">
        <v>45524</v>
      </c>
      <c r="G256" s="10"/>
    </row>
    <row r="257" spans="1:7" ht="15" customHeight="1" x14ac:dyDescent="0.35">
      <c r="A257" s="1" t="s">
        <v>30</v>
      </c>
      <c r="B257" s="2" t="s">
        <v>64</v>
      </c>
      <c r="C257" s="1" t="s">
        <v>16</v>
      </c>
      <c r="D257" s="1" t="str">
        <f t="shared" si="5"/>
        <v>DC1_8-24_SIA</v>
      </c>
      <c r="E257" s="10">
        <v>45524</v>
      </c>
      <c r="G257" s="1" t="s">
        <v>17</v>
      </c>
    </row>
    <row r="258" spans="1:7" ht="15" customHeight="1" x14ac:dyDescent="0.35">
      <c r="A258" s="1" t="s">
        <v>31</v>
      </c>
      <c r="B258" s="2" t="s">
        <v>64</v>
      </c>
      <c r="C258" s="1" t="s">
        <v>16</v>
      </c>
      <c r="D258" s="1" t="str">
        <f t="shared" si="5"/>
        <v>DCM1_8-24_SIA</v>
      </c>
      <c r="E258" s="10">
        <v>45524</v>
      </c>
      <c r="G258" s="1" t="s">
        <v>17</v>
      </c>
    </row>
    <row r="259" spans="1:7" ht="15" customHeight="1" x14ac:dyDescent="0.35">
      <c r="A259" s="1" t="s">
        <v>32</v>
      </c>
      <c r="B259" s="2" t="s">
        <v>64</v>
      </c>
      <c r="C259" s="1" t="s">
        <v>16</v>
      </c>
      <c r="D259" s="1" t="str">
        <f t="shared" si="5"/>
        <v>DC2_8-24_SIA</v>
      </c>
      <c r="E259" s="10">
        <v>45524</v>
      </c>
      <c r="G259" s="1" t="s">
        <v>17</v>
      </c>
    </row>
    <row r="260" spans="1:7" ht="15" customHeight="1" x14ac:dyDescent="0.35">
      <c r="A260" s="1" t="s">
        <v>33</v>
      </c>
      <c r="B260" s="2" t="s">
        <v>64</v>
      </c>
      <c r="C260" s="1" t="s">
        <v>16</v>
      </c>
      <c r="D260" s="1" t="str">
        <f t="shared" si="5"/>
        <v>DCM2_8-24_SIA</v>
      </c>
      <c r="E260" s="10">
        <v>45524</v>
      </c>
      <c r="G260" s="1" t="s">
        <v>17</v>
      </c>
    </row>
    <row r="261" spans="1:7" ht="15" customHeight="1" x14ac:dyDescent="0.35">
      <c r="A261" s="1" t="s">
        <v>34</v>
      </c>
      <c r="B261" s="2" t="s">
        <v>64</v>
      </c>
      <c r="C261" s="1" t="s">
        <v>16</v>
      </c>
      <c r="D261" s="1" t="str">
        <f t="shared" si="5"/>
        <v>GB1_8-24_SIA</v>
      </c>
      <c r="E261" s="10">
        <v>45524</v>
      </c>
      <c r="G261" s="1" t="s">
        <v>17</v>
      </c>
    </row>
    <row r="262" spans="1:7" ht="15" customHeight="1" x14ac:dyDescent="0.35">
      <c r="A262" s="1" t="s">
        <v>35</v>
      </c>
      <c r="B262" s="2" t="s">
        <v>64</v>
      </c>
      <c r="C262" s="1" t="s">
        <v>16</v>
      </c>
      <c r="D262" s="1" t="str">
        <f t="shared" si="5"/>
        <v>MCS1_8-24_SIA</v>
      </c>
      <c r="E262" s="10">
        <v>45524</v>
      </c>
      <c r="G262" s="1" t="s">
        <v>17</v>
      </c>
    </row>
    <row r="263" spans="1:7" ht="15" customHeight="1" x14ac:dyDescent="0.35">
      <c r="A263" s="1" t="s">
        <v>36</v>
      </c>
      <c r="B263" s="2" t="s">
        <v>64</v>
      </c>
      <c r="C263" s="1" t="s">
        <v>16</v>
      </c>
      <c r="D263" s="1" t="str">
        <f t="shared" si="5"/>
        <v>MCS2_8-24_SIA</v>
      </c>
      <c r="E263" s="10">
        <v>45524</v>
      </c>
      <c r="G263" s="1" t="s">
        <v>17</v>
      </c>
    </row>
    <row r="264" spans="1:7" ht="15" customHeight="1" x14ac:dyDescent="0.35">
      <c r="A264" s="1" t="s">
        <v>37</v>
      </c>
      <c r="B264" s="2" t="s">
        <v>64</v>
      </c>
      <c r="C264" s="1" t="s">
        <v>16</v>
      </c>
      <c r="D264" s="1" t="str">
        <f t="shared" si="5"/>
        <v>MCS3_8-24_SIA</v>
      </c>
      <c r="E264" s="10">
        <v>45524</v>
      </c>
      <c r="G264" s="1" t="s">
        <v>17</v>
      </c>
    </row>
    <row r="265" spans="1:7" ht="15" customHeight="1" x14ac:dyDescent="0.35">
      <c r="A265" s="1" t="s">
        <v>38</v>
      </c>
      <c r="B265" s="2" t="s">
        <v>64</v>
      </c>
      <c r="C265" s="1" t="s">
        <v>16</v>
      </c>
      <c r="D265" s="1" t="str">
        <f t="shared" si="5"/>
        <v>MCS4_8-24_SIA</v>
      </c>
      <c r="E265" s="10">
        <v>45524</v>
      </c>
    </row>
    <row r="266" spans="1:7" ht="15" customHeight="1" x14ac:dyDescent="0.35">
      <c r="A266" s="1" t="s">
        <v>51</v>
      </c>
      <c r="B266" s="2" t="s">
        <v>64</v>
      </c>
      <c r="C266" s="1" t="s">
        <v>16</v>
      </c>
      <c r="D266" s="1" t="str">
        <f t="shared" si="5"/>
        <v>TBC_8-24_SIA</v>
      </c>
      <c r="E266" s="10">
        <v>45524</v>
      </c>
      <c r="G266" s="1" t="s">
        <v>17</v>
      </c>
    </row>
    <row r="267" spans="1:7" ht="15" customHeight="1" x14ac:dyDescent="0.35">
      <c r="A267" s="1" t="s">
        <v>39</v>
      </c>
      <c r="B267" s="2" t="s">
        <v>64</v>
      </c>
      <c r="C267" s="1" t="s">
        <v>16</v>
      </c>
      <c r="D267" s="1" t="str">
        <f t="shared" si="5"/>
        <v>TBHM_8-24_SIA</v>
      </c>
      <c r="E267" s="10">
        <v>45524</v>
      </c>
      <c r="G267" s="1" t="s">
        <v>17</v>
      </c>
    </row>
    <row r="268" spans="1:7" ht="15" customHeight="1" x14ac:dyDescent="0.35">
      <c r="A268" s="1" t="s">
        <v>40</v>
      </c>
      <c r="B268" s="2" t="s">
        <v>64</v>
      </c>
      <c r="C268" s="1" t="s">
        <v>16</v>
      </c>
      <c r="D268" s="1" t="str">
        <f t="shared" si="5"/>
        <v>TBCM_8-24_SIA</v>
      </c>
      <c r="E268" s="10">
        <v>45524</v>
      </c>
      <c r="G268" s="1" t="s">
        <v>17</v>
      </c>
    </row>
    <row r="269" spans="1:7" ht="15" customHeight="1" x14ac:dyDescent="0.35">
      <c r="A269" s="1" t="s">
        <v>41</v>
      </c>
      <c r="B269" s="2" t="s">
        <v>64</v>
      </c>
      <c r="C269" s="1" t="s">
        <v>16</v>
      </c>
      <c r="D269" s="1" t="str">
        <f t="shared" si="5"/>
        <v>TB1_8-24_SIA</v>
      </c>
      <c r="E269" s="10">
        <v>45524</v>
      </c>
      <c r="G269" s="1" t="s">
        <v>17</v>
      </c>
    </row>
    <row r="270" spans="1:7" ht="15" customHeight="1" x14ac:dyDescent="0.35">
      <c r="A270" s="1" t="s">
        <v>42</v>
      </c>
      <c r="B270" s="2" t="s">
        <v>64</v>
      </c>
      <c r="C270" s="1" t="s">
        <v>16</v>
      </c>
      <c r="D270" s="1" t="str">
        <f t="shared" si="5"/>
        <v>TB2_8-24_SIA</v>
      </c>
      <c r="E270" s="10">
        <v>45524</v>
      </c>
    </row>
    <row r="271" spans="1:7" ht="15" customHeight="1" x14ac:dyDescent="0.35">
      <c r="A271" s="1" t="s">
        <v>43</v>
      </c>
      <c r="B271" s="2" t="s">
        <v>64</v>
      </c>
      <c r="C271" s="1" t="s">
        <v>16</v>
      </c>
      <c r="D271" s="1" t="str">
        <f t="shared" si="5"/>
        <v>GB2_8-24_SIA</v>
      </c>
      <c r="E271" s="10">
        <v>45524</v>
      </c>
    </row>
    <row r="272" spans="1:7" ht="15" customHeight="1" x14ac:dyDescent="0.35">
      <c r="A272" s="1" t="s">
        <v>44</v>
      </c>
      <c r="B272" s="2" t="s">
        <v>64</v>
      </c>
      <c r="C272" s="1" t="s">
        <v>16</v>
      </c>
      <c r="D272" s="1" t="str">
        <f t="shared" si="5"/>
        <v>RB_8-24_SIA</v>
      </c>
      <c r="E272" s="10">
        <v>45524</v>
      </c>
      <c r="G272" s="1" t="s">
        <v>17</v>
      </c>
    </row>
    <row r="273" spans="1:7" ht="15" customHeight="1" x14ac:dyDescent="0.35">
      <c r="A273" s="1" t="s">
        <v>45</v>
      </c>
      <c r="B273" s="2" t="s">
        <v>64</v>
      </c>
      <c r="C273" s="1" t="s">
        <v>16</v>
      </c>
      <c r="D273" s="1" t="str">
        <f t="shared" si="5"/>
        <v>TSM1_8-24_SIA</v>
      </c>
      <c r="E273" s="10">
        <v>45524</v>
      </c>
      <c r="G273" s="1" t="s">
        <v>17</v>
      </c>
    </row>
    <row r="274" spans="1:7" ht="15" customHeight="1" x14ac:dyDescent="0.35">
      <c r="A274" s="1" t="s">
        <v>46</v>
      </c>
      <c r="B274" s="2" t="s">
        <v>64</v>
      </c>
      <c r="C274" s="1" t="s">
        <v>16</v>
      </c>
      <c r="D274" s="1" t="str">
        <f t="shared" si="5"/>
        <v>TSM3_8-24_SIA</v>
      </c>
      <c r="E274" s="10">
        <v>45524</v>
      </c>
      <c r="G274" s="1" t="s">
        <v>17</v>
      </c>
    </row>
    <row r="275" spans="1:7" ht="15" customHeight="1" x14ac:dyDescent="0.35">
      <c r="A275" s="1" t="s">
        <v>47</v>
      </c>
      <c r="B275" s="2" t="s">
        <v>64</v>
      </c>
      <c r="C275" s="1" t="s">
        <v>16</v>
      </c>
      <c r="D275" s="1" t="str">
        <f t="shared" si="5"/>
        <v>TSM4_8-24_SIA</v>
      </c>
      <c r="E275" s="10">
        <v>45524</v>
      </c>
      <c r="G275" s="1" t="s">
        <v>17</v>
      </c>
    </row>
    <row r="276" spans="1:7" ht="15" customHeight="1" x14ac:dyDescent="0.35">
      <c r="A276" s="1" t="s">
        <v>48</v>
      </c>
      <c r="B276" s="2" t="s">
        <v>64</v>
      </c>
      <c r="C276" s="1" t="s">
        <v>16</v>
      </c>
      <c r="D276" s="1" t="str">
        <f t="shared" si="5"/>
        <v>SBT1_8-24_SIA</v>
      </c>
      <c r="E276" s="10">
        <v>45524</v>
      </c>
      <c r="G276" s="1" t="s">
        <v>17</v>
      </c>
    </row>
    <row r="277" spans="1:7" ht="15" customHeight="1" x14ac:dyDescent="0.35">
      <c r="A277" s="1" t="s">
        <v>49</v>
      </c>
      <c r="B277" s="2" t="s">
        <v>64</v>
      </c>
      <c r="C277" s="1" t="s">
        <v>16</v>
      </c>
      <c r="D277" s="1" t="str">
        <f t="shared" si="5"/>
        <v>SBT2_8-24_SIA</v>
      </c>
      <c r="E277" s="10">
        <v>45524</v>
      </c>
      <c r="G277" s="1" t="s">
        <v>17</v>
      </c>
    </row>
    <row r="278" spans="1:7" ht="15" customHeight="1" x14ac:dyDescent="0.35">
      <c r="A278" s="1" t="s">
        <v>52</v>
      </c>
      <c r="B278" s="2" t="s">
        <v>64</v>
      </c>
      <c r="C278" s="1" t="s">
        <v>16</v>
      </c>
      <c r="D278" s="1" t="str">
        <f t="shared" si="5"/>
        <v>WB1_8-24_SIA</v>
      </c>
      <c r="E278" s="10">
        <v>45524</v>
      </c>
      <c r="G278" s="1" t="s">
        <v>60</v>
      </c>
    </row>
    <row r="279" spans="1:7" ht="15" customHeight="1" x14ac:dyDescent="0.35">
      <c r="A279" s="1" t="s">
        <v>53</v>
      </c>
      <c r="B279" s="2" t="s">
        <v>64</v>
      </c>
      <c r="C279" s="1" t="s">
        <v>16</v>
      </c>
      <c r="D279" s="1" t="str">
        <f t="shared" si="5"/>
        <v>WB2_8-24_SIA</v>
      </c>
      <c r="E279" s="10">
        <v>45524</v>
      </c>
      <c r="G279" s="1" t="s">
        <v>60</v>
      </c>
    </row>
    <row r="280" spans="1:7" ht="15" customHeight="1" x14ac:dyDescent="0.35">
      <c r="A280" s="1" t="s">
        <v>54</v>
      </c>
      <c r="B280" s="2" t="s">
        <v>64</v>
      </c>
      <c r="C280" s="1" t="s">
        <v>16</v>
      </c>
      <c r="D280" s="1" t="str">
        <f t="shared" si="5"/>
        <v>TKB_8-24_SIA</v>
      </c>
      <c r="E280" s="10">
        <v>45524</v>
      </c>
      <c r="G280" s="1" t="s">
        <v>60</v>
      </c>
    </row>
    <row r="281" spans="1:7" ht="15" customHeight="1" x14ac:dyDescent="0.35">
      <c r="A281" s="1" t="s">
        <v>55</v>
      </c>
      <c r="B281" s="2" t="s">
        <v>64</v>
      </c>
      <c r="C281" s="1" t="s">
        <v>16</v>
      </c>
      <c r="D281" s="1" t="str">
        <f t="shared" si="5"/>
        <v>JB_8-24_SIA</v>
      </c>
      <c r="E281" s="10">
        <v>45524</v>
      </c>
      <c r="G281" s="1" t="s">
        <v>60</v>
      </c>
    </row>
    <row r="282" spans="1:7" ht="15" customHeight="1" x14ac:dyDescent="0.35">
      <c r="A282" s="1" t="s">
        <v>56</v>
      </c>
      <c r="B282" s="2" t="s">
        <v>64</v>
      </c>
      <c r="C282" s="1" t="s">
        <v>16</v>
      </c>
      <c r="D282" s="1" t="str">
        <f t="shared" si="5"/>
        <v>CC_8-24_SIA</v>
      </c>
      <c r="E282" s="10">
        <v>45524</v>
      </c>
      <c r="G282" s="10" t="s">
        <v>17</v>
      </c>
    </row>
  </sheetData>
  <autoFilter ref="A1:N282" xr:uid="{225B4553-578E-4364-BFA7-0BDCDC3FCDBA}">
    <filterColumn colId="2">
      <filters>
        <filter val="SIA"/>
      </filters>
    </filterColumn>
    <filterColumn colId="4">
      <customFilters>
        <customFilter operator="notEqual" val=" "/>
      </customFilters>
    </filterColumn>
    <sortState xmlns:xlrd2="http://schemas.microsoft.com/office/spreadsheetml/2017/richdata2" ref="A2:N249">
      <sortCondition ref="E1:E250"/>
    </sortState>
  </autoFilter>
  <conditionalFormatting sqref="F97">
    <cfRule type="containsText" dxfId="16" priority="7" operator="containsText" text="Y">
      <formula>NOT(ISERROR(SEARCH("Y",F97)))</formula>
    </cfRule>
    <cfRule type="containsText" dxfId="15" priority="8" operator="containsText" text="N">
      <formula>NOT(ISERROR(SEARCH("N",F97)))</formula>
    </cfRule>
  </conditionalFormatting>
  <conditionalFormatting sqref="G1:G1048576">
    <cfRule type="containsText" dxfId="14" priority="1" operator="containsText" text="Y">
      <formula>NOT(ISERROR(SEARCH("Y",G1)))</formula>
    </cfRule>
    <cfRule type="containsText" dxfId="13" priority="2" operator="containsText" text="N">
      <formula>NOT(ISERROR(SEARCH("N",G1)))</formula>
    </cfRule>
  </conditionalFormatting>
  <conditionalFormatting sqref="I1:J1048576">
    <cfRule type="cellIs" dxfId="12" priority="14" operator="equal">
      <formula>"Y"</formula>
    </cfRule>
  </conditionalFormatting>
  <conditionalFormatting sqref="K1:K1048576">
    <cfRule type="containsText" dxfId="11" priority="11" operator="containsText" text="C,N,S">
      <formula>NOT(ISERROR(SEARCH("C,N,S",K1)))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F88A-7E1C-482E-B889-48BF518675FC}">
  <dimension ref="A1:KU192"/>
  <sheetViews>
    <sheetView zoomScale="85" zoomScaleNormal="85" workbookViewId="0">
      <pane ySplit="1" topLeftCell="A2" activePane="bottomLeft" state="frozen"/>
      <selection pane="bottomLeft" activeCell="H2" sqref="H2"/>
    </sheetView>
  </sheetViews>
  <sheetFormatPr defaultRowHeight="15" customHeight="1" x14ac:dyDescent="0.35"/>
  <cols>
    <col min="1" max="1" width="14.1796875" style="1" customWidth="1"/>
    <col min="2" max="2" width="16.81640625" style="2" customWidth="1"/>
    <col min="3" max="7" width="15" style="1" customWidth="1"/>
    <col min="8" max="8" width="17.1796875" style="1" customWidth="1"/>
    <col min="9" max="9" width="18.54296875" style="1" customWidth="1"/>
    <col min="10" max="10" width="18.81640625" style="1" customWidth="1"/>
    <col min="11" max="12" width="20.7265625" style="1" customWidth="1"/>
    <col min="13" max="13" width="26.1796875" style="1" customWidth="1"/>
    <col min="14" max="14" width="1.1796875" style="93" customWidth="1"/>
    <col min="15" max="15" width="21.7265625" style="35" customWidth="1"/>
    <col min="16" max="16" width="22.453125" style="36" customWidth="1"/>
    <col min="17" max="17" width="1.1796875" style="98" customWidth="1"/>
    <col min="18" max="18" width="21.26953125" style="35" customWidth="1"/>
    <col min="19" max="19" width="19.1796875" style="36" customWidth="1"/>
    <col min="20" max="20" width="1.54296875" style="98" customWidth="1"/>
    <col min="21" max="21" width="24" style="35" customWidth="1"/>
    <col min="22" max="22" width="22.1796875" style="36" customWidth="1"/>
    <col min="23" max="23" width="10.81640625" style="98" customWidth="1"/>
    <col min="24" max="24" width="25.1796875" style="36" customWidth="1"/>
    <col min="25" max="25" width="17.1796875" style="36" customWidth="1"/>
    <col min="26" max="28" width="17.453125" style="36" customWidth="1"/>
    <col min="29" max="31" width="21.81640625" style="36" customWidth="1"/>
    <col min="32" max="32" width="27.453125" style="36" customWidth="1"/>
    <col min="33" max="33" width="28.453125" style="36" customWidth="1"/>
    <col min="34" max="34" width="21.54296875" style="36" customWidth="1"/>
    <col min="35" max="35" width="21.81640625" style="36" customWidth="1"/>
    <col min="36" max="36" width="27.1796875" style="36" customWidth="1"/>
    <col min="37" max="37" width="4.54296875" style="94" customWidth="1"/>
    <col min="38" max="39" width="17.1796875" style="1" customWidth="1"/>
    <col min="40" max="40" width="17.81640625" style="1" customWidth="1"/>
    <col min="41" max="42" width="17.81640625" style="35" customWidth="1"/>
    <col min="43" max="43" width="21.54296875" style="36" customWidth="1"/>
    <col min="44" max="44" width="22" style="1" customWidth="1"/>
    <col min="45" max="45" width="22" style="35" customWidth="1"/>
    <col min="46" max="46" width="3.453125" style="94" customWidth="1"/>
    <col min="47" max="48" width="17.1796875" style="35" customWidth="1"/>
    <col min="49" max="51" width="17.453125" style="35" customWidth="1"/>
    <col min="52" max="52" width="23.26953125" style="36" customWidth="1"/>
    <col min="53" max="53" width="17.54296875" style="35" customWidth="1"/>
    <col min="54" max="54" width="21.1796875" style="35" customWidth="1"/>
    <col min="55" max="55" width="3.7265625" style="94" customWidth="1"/>
    <col min="56" max="56" width="16.81640625" style="1" customWidth="1"/>
    <col min="57" max="57" width="17.54296875" style="1" customWidth="1"/>
    <col min="58" max="58" width="17.1796875" style="1" customWidth="1"/>
  </cols>
  <sheetData>
    <row r="1" spans="1:58" s="118" customFormat="1" ht="63" customHeight="1" thickBot="1" x14ac:dyDescent="0.4">
      <c r="A1" s="37" t="s">
        <v>0</v>
      </c>
      <c r="B1" s="38" t="s">
        <v>1</v>
      </c>
      <c r="C1" s="37" t="s">
        <v>3</v>
      </c>
      <c r="D1" s="37" t="s">
        <v>4</v>
      </c>
      <c r="E1" s="37" t="s">
        <v>65</v>
      </c>
      <c r="F1" s="37" t="s">
        <v>66</v>
      </c>
      <c r="G1" s="37" t="s">
        <v>9</v>
      </c>
      <c r="H1" s="37" t="s">
        <v>67</v>
      </c>
      <c r="I1" s="37" t="s">
        <v>68</v>
      </c>
      <c r="J1" s="51" t="s">
        <v>69</v>
      </c>
      <c r="K1" s="37" t="s">
        <v>70</v>
      </c>
      <c r="L1" s="37" t="s">
        <v>71</v>
      </c>
      <c r="M1" s="37" t="s">
        <v>72</v>
      </c>
      <c r="N1" s="92"/>
      <c r="O1" s="39" t="s">
        <v>73</v>
      </c>
      <c r="P1" s="40" t="s">
        <v>74</v>
      </c>
      <c r="Q1" s="96"/>
      <c r="R1" s="39" t="s">
        <v>75</v>
      </c>
      <c r="S1" s="40" t="s">
        <v>76</v>
      </c>
      <c r="T1" s="96"/>
      <c r="U1" s="39" t="s">
        <v>77</v>
      </c>
      <c r="V1" s="40" t="s">
        <v>78</v>
      </c>
      <c r="W1" s="96"/>
      <c r="X1" s="40" t="s">
        <v>79</v>
      </c>
      <c r="Y1" s="40" t="s">
        <v>80</v>
      </c>
      <c r="Z1" s="40" t="s">
        <v>81</v>
      </c>
      <c r="AA1" s="40" t="s">
        <v>82</v>
      </c>
      <c r="AB1" s="40" t="s">
        <v>83</v>
      </c>
      <c r="AC1" s="40" t="s">
        <v>84</v>
      </c>
      <c r="AD1" s="40" t="s">
        <v>85</v>
      </c>
      <c r="AE1" s="58" t="s">
        <v>86</v>
      </c>
      <c r="AF1" s="40" t="s">
        <v>87</v>
      </c>
      <c r="AG1" s="40" t="s">
        <v>88</v>
      </c>
      <c r="AH1" s="58" t="s">
        <v>89</v>
      </c>
      <c r="AI1" s="40" t="s">
        <v>90</v>
      </c>
      <c r="AJ1" s="40" t="s">
        <v>91</v>
      </c>
      <c r="AK1" s="99"/>
      <c r="AL1" s="37" t="s">
        <v>92</v>
      </c>
      <c r="AM1" s="37" t="s">
        <v>93</v>
      </c>
      <c r="AN1" s="37" t="s">
        <v>94</v>
      </c>
      <c r="AO1" s="39" t="s">
        <v>95</v>
      </c>
      <c r="AP1" s="39" t="s">
        <v>96</v>
      </c>
      <c r="AQ1" s="40" t="s">
        <v>97</v>
      </c>
      <c r="AR1" s="37" t="s">
        <v>98</v>
      </c>
      <c r="AS1" s="39" t="s">
        <v>99</v>
      </c>
      <c r="AT1" s="99"/>
      <c r="AU1" s="39" t="s">
        <v>100</v>
      </c>
      <c r="AV1" s="39" t="s">
        <v>101</v>
      </c>
      <c r="AW1" s="39" t="s">
        <v>102</v>
      </c>
      <c r="AX1" s="39" t="s">
        <v>103</v>
      </c>
      <c r="AY1" s="39" t="s">
        <v>104</v>
      </c>
      <c r="AZ1" s="40" t="s">
        <v>105</v>
      </c>
      <c r="BA1" s="57" t="s">
        <v>106</v>
      </c>
      <c r="BB1" s="39" t="s">
        <v>107</v>
      </c>
      <c r="BC1" s="99"/>
      <c r="BD1" s="37" t="s">
        <v>108</v>
      </c>
      <c r="BE1" s="37" t="s">
        <v>11</v>
      </c>
      <c r="BF1" s="37" t="s">
        <v>12</v>
      </c>
    </row>
    <row r="2" spans="1:58" ht="14.5" x14ac:dyDescent="0.35">
      <c r="A2" s="45" t="s">
        <v>22</v>
      </c>
      <c r="B2" s="46" t="s">
        <v>15</v>
      </c>
      <c r="C2" s="45" t="str">
        <f t="shared" ref="C2:C33" si="0">A2&amp;"_"&amp;B2&amp;"_G"</f>
        <v>OL_9-23_G</v>
      </c>
      <c r="D2" s="47">
        <v>45184</v>
      </c>
      <c r="E2" s="47" t="s">
        <v>17</v>
      </c>
      <c r="F2" s="47">
        <v>45538</v>
      </c>
      <c r="G2" s="45"/>
      <c r="H2" s="45" t="str">
        <f t="shared" ref="H2:H33" si="1">IF(OR(AI2&lt;&gt;"", AR2&lt;&gt;"", BA2&lt;&gt;""),
    IF(AI2&lt;&gt;"", "C", "") &amp;
    IF(BA2&lt;&gt;"", IF(AI2&lt;&gt;"", ",N", "N"), "") &amp;
    IF(BA2&lt;&gt;"", IF(OR(AI2&lt;&gt;"", AR2&lt;&gt;""), ",S", "S"), ""),
"")</f>
        <v>C,N,S</v>
      </c>
      <c r="I2" s="45">
        <v>128.5</v>
      </c>
      <c r="J2" s="45"/>
      <c r="K2" s="45">
        <v>161.69999999999999</v>
      </c>
      <c r="L2" s="45">
        <f>K2-I2</f>
        <v>33.199999999999989</v>
      </c>
      <c r="M2" s="45">
        <f t="shared" ref="M2:M33" si="2">Y2+AM2+AV2</f>
        <v>123</v>
      </c>
      <c r="O2" s="45">
        <f t="shared" ref="O2:O33" si="3">(Y2/M2)*100</f>
        <v>24.308943089430894</v>
      </c>
      <c r="P2" s="45">
        <f t="shared" ref="P2:P33" si="4">((O2/M2)*L2)</f>
        <v>6.5614382973097998</v>
      </c>
      <c r="Q2" s="94"/>
      <c r="R2" s="45">
        <f t="shared" ref="R2:R33" si="5">(AM2/M2)*100</f>
        <v>26.829268292682929</v>
      </c>
      <c r="S2" s="45">
        <f t="shared" ref="S2:S33" si="6">((R2/M2)*L2)</f>
        <v>7.2417211976997793</v>
      </c>
      <c r="T2" s="94"/>
      <c r="U2" s="45">
        <f t="shared" ref="U2:U33" si="7">(AV2/M2)*100</f>
        <v>48.861788617886184</v>
      </c>
      <c r="V2" s="45">
        <f t="shared" ref="V2:V33" si="8">((U2/M2)*L2)</f>
        <v>13.188710423689599</v>
      </c>
      <c r="W2" s="94"/>
      <c r="X2" s="54">
        <v>42.9</v>
      </c>
      <c r="Y2" s="54">
        <v>29.9</v>
      </c>
      <c r="Z2" s="54">
        <f t="shared" ref="Z2:Z33" si="9">X2-Y2</f>
        <v>13</v>
      </c>
      <c r="AA2" s="54">
        <f t="shared" ref="AA2:AA33" si="10">P2</f>
        <v>6.5614382973097998</v>
      </c>
      <c r="AB2" s="54">
        <f t="shared" ref="AB2:AB33" si="11">Y2-AA2</f>
        <v>23.3385617026902</v>
      </c>
      <c r="AC2" s="54">
        <f t="shared" ref="AC2:AC33" si="12">AA2/AB2</f>
        <v>0.28114150224405099</v>
      </c>
      <c r="AD2" s="54">
        <v>20.5</v>
      </c>
      <c r="AE2" s="54">
        <f t="shared" ref="AE2:AE13" si="13">AD2*AC2</f>
        <v>5.7634007960030456</v>
      </c>
      <c r="AF2" s="54">
        <f t="shared" ref="AF2:AF13" si="14">AD2-AE2</f>
        <v>14.736599203996954</v>
      </c>
      <c r="AG2" s="54">
        <v>22.3</v>
      </c>
      <c r="AH2" s="54">
        <f t="shared" ref="AH2:AH33" si="15">AC2</f>
        <v>0.28114150224405099</v>
      </c>
      <c r="AI2" s="54">
        <v>3.1</v>
      </c>
      <c r="AJ2" s="54">
        <f t="shared" ref="AJ2:AJ33" si="16">AI2*AH2</f>
        <v>0.87153865695655808</v>
      </c>
      <c r="AL2" s="45">
        <v>39.1</v>
      </c>
      <c r="AM2" s="45">
        <v>33</v>
      </c>
      <c r="AN2" s="45">
        <f t="shared" ref="AN2:AN33" si="17">AL2-AM2</f>
        <v>6.1000000000000014</v>
      </c>
      <c r="AO2" s="52">
        <f t="shared" ref="AO2:AO33" si="18">S2</f>
        <v>7.2417211976997793</v>
      </c>
      <c r="AP2" s="52">
        <f t="shared" ref="AP2:AP33" si="19">AM2-AO2</f>
        <v>25.758278802300222</v>
      </c>
      <c r="AQ2" s="54">
        <f t="shared" ref="AQ2:AQ33" si="20">AO2/AP2</f>
        <v>0.28114150224405099</v>
      </c>
      <c r="AR2" s="45">
        <v>4.7</v>
      </c>
      <c r="AS2" s="52">
        <f t="shared" ref="AS2:AS33" si="21">AR2*AQ2</f>
        <v>1.3213650605470397</v>
      </c>
      <c r="AU2" s="52">
        <v>80.5</v>
      </c>
      <c r="AV2" s="52">
        <v>60.1</v>
      </c>
      <c r="AW2" s="52">
        <f t="shared" ref="AW2:AW33" si="22">AU2-AV2</f>
        <v>20.399999999999999</v>
      </c>
      <c r="AX2" s="52">
        <f t="shared" ref="AX2:AX33" si="23">V2</f>
        <v>13.188710423689599</v>
      </c>
      <c r="AY2" s="52">
        <f t="shared" ref="AY2:AY33" si="24">AV2-AX2</f>
        <v>46.911289576310402</v>
      </c>
      <c r="AZ2" s="54">
        <f t="shared" ref="AZ2:AZ33" si="25">AX2/AY2</f>
        <v>0.28114150224405104</v>
      </c>
      <c r="BA2" s="52">
        <v>18.5</v>
      </c>
      <c r="BB2" s="52">
        <f t="shared" ref="BB2:BB33" si="26">BA2*AZ2</f>
        <v>5.2011177915149442</v>
      </c>
      <c r="BE2" s="1" t="s">
        <v>17</v>
      </c>
    </row>
    <row r="3" spans="1:58" ht="14.5" x14ac:dyDescent="0.35">
      <c r="A3" s="45" t="s">
        <v>21</v>
      </c>
      <c r="B3" s="46" t="s">
        <v>15</v>
      </c>
      <c r="C3" s="45" t="str">
        <f t="shared" si="0"/>
        <v>EP146_9-23_G</v>
      </c>
      <c r="D3" s="47">
        <v>45184</v>
      </c>
      <c r="E3" s="47" t="s">
        <v>17</v>
      </c>
      <c r="F3" s="47">
        <v>45539</v>
      </c>
      <c r="G3" s="45"/>
      <c r="H3" s="45" t="str">
        <f t="shared" si="1"/>
        <v>C,N,S</v>
      </c>
      <c r="I3" s="45">
        <v>128.9</v>
      </c>
      <c r="J3" s="45"/>
      <c r="K3" s="45">
        <v>155.19999999999999</v>
      </c>
      <c r="L3" s="45">
        <f>K3-I3</f>
        <v>26.299999999999983</v>
      </c>
      <c r="M3" s="45">
        <f t="shared" si="2"/>
        <v>109.5</v>
      </c>
      <c r="O3" s="45">
        <f t="shared" si="3"/>
        <v>27.853881278538811</v>
      </c>
      <c r="P3" s="45">
        <f t="shared" si="4"/>
        <v>6.6900189737495008</v>
      </c>
      <c r="Q3" s="94"/>
      <c r="R3" s="45">
        <f t="shared" si="5"/>
        <v>28.767123287671232</v>
      </c>
      <c r="S3" s="45">
        <f t="shared" si="6"/>
        <v>6.9093638581347303</v>
      </c>
      <c r="T3" s="94"/>
      <c r="U3" s="45">
        <f t="shared" si="7"/>
        <v>43.378995433789953</v>
      </c>
      <c r="V3" s="45">
        <f t="shared" si="8"/>
        <v>10.418882008298402</v>
      </c>
      <c r="W3" s="94"/>
      <c r="X3" s="54">
        <v>41.1</v>
      </c>
      <c r="Y3" s="54">
        <v>30.5</v>
      </c>
      <c r="Z3" s="54">
        <f t="shared" si="9"/>
        <v>10.600000000000001</v>
      </c>
      <c r="AA3" s="54">
        <f t="shared" si="10"/>
        <v>6.6900189737495008</v>
      </c>
      <c r="AB3" s="54">
        <f t="shared" si="11"/>
        <v>23.809981026250497</v>
      </c>
      <c r="AC3" s="54">
        <f t="shared" si="12"/>
        <v>0.28097540129804205</v>
      </c>
      <c r="AD3" s="54">
        <v>15</v>
      </c>
      <c r="AE3" s="54">
        <f t="shared" si="13"/>
        <v>4.2146310194706311</v>
      </c>
      <c r="AF3" s="54">
        <f t="shared" si="14"/>
        <v>10.78536898052937</v>
      </c>
      <c r="AG3" s="54">
        <v>14.9</v>
      </c>
      <c r="AH3" s="54">
        <f t="shared" si="15"/>
        <v>0.28097540129804205</v>
      </c>
      <c r="AI3" s="54">
        <v>3.2</v>
      </c>
      <c r="AJ3" s="54">
        <f t="shared" si="16"/>
        <v>0.8991212841537346</v>
      </c>
      <c r="AL3" s="45">
        <v>39.799999999999997</v>
      </c>
      <c r="AM3" s="45">
        <v>31.5</v>
      </c>
      <c r="AN3" s="45">
        <f t="shared" si="17"/>
        <v>8.2999999999999972</v>
      </c>
      <c r="AO3" s="52">
        <f t="shared" si="18"/>
        <v>6.9093638581347303</v>
      </c>
      <c r="AP3" s="52">
        <f t="shared" si="19"/>
        <v>24.590636141865268</v>
      </c>
      <c r="AQ3" s="54">
        <f t="shared" si="20"/>
        <v>0.28097540129804205</v>
      </c>
      <c r="AR3" s="45">
        <v>6.7</v>
      </c>
      <c r="AS3" s="52">
        <f t="shared" si="21"/>
        <v>1.8825351886968817</v>
      </c>
      <c r="AU3" s="52">
        <v>74</v>
      </c>
      <c r="AV3" s="52">
        <v>47.5</v>
      </c>
      <c r="AW3" s="52">
        <f t="shared" si="22"/>
        <v>26.5</v>
      </c>
      <c r="AX3" s="52">
        <f t="shared" si="23"/>
        <v>10.418882008298402</v>
      </c>
      <c r="AY3" s="52">
        <f t="shared" si="24"/>
        <v>37.081117991701596</v>
      </c>
      <c r="AZ3" s="54">
        <f t="shared" si="25"/>
        <v>0.28097540129804199</v>
      </c>
      <c r="BA3" s="52">
        <v>17.100000000000001</v>
      </c>
      <c r="BB3" s="52">
        <f t="shared" si="26"/>
        <v>4.8046793621965183</v>
      </c>
      <c r="BE3" s="1" t="s">
        <v>17</v>
      </c>
    </row>
    <row r="4" spans="1:58" ht="14.5" x14ac:dyDescent="0.35">
      <c r="A4" s="45" t="s">
        <v>58</v>
      </c>
      <c r="B4" s="46" t="s">
        <v>15</v>
      </c>
      <c r="C4" s="45" t="str">
        <f t="shared" si="0"/>
        <v>TSH_9-23_G</v>
      </c>
      <c r="D4" s="47">
        <v>45184</v>
      </c>
      <c r="E4" s="47" t="s">
        <v>17</v>
      </c>
      <c r="F4" s="47">
        <v>45538</v>
      </c>
      <c r="G4" s="45"/>
      <c r="H4" s="45" t="str">
        <f t="shared" si="1"/>
        <v>C,N,S</v>
      </c>
      <c r="I4" s="45">
        <v>129</v>
      </c>
      <c r="J4" s="45"/>
      <c r="K4" s="45">
        <v>149.30000000000001</v>
      </c>
      <c r="L4" s="45">
        <f>K4-I4</f>
        <v>20.300000000000011</v>
      </c>
      <c r="M4" s="45">
        <f t="shared" si="2"/>
        <v>112.4</v>
      </c>
      <c r="O4" s="45">
        <f t="shared" si="3"/>
        <v>24.110320284697508</v>
      </c>
      <c r="P4" s="45">
        <f t="shared" si="4"/>
        <v>4.3544439660085379</v>
      </c>
      <c r="Q4" s="94"/>
      <c r="R4" s="45">
        <f t="shared" si="5"/>
        <v>26.512455516014231</v>
      </c>
      <c r="S4" s="45">
        <f t="shared" si="6"/>
        <v>4.7882815567178749</v>
      </c>
      <c r="T4" s="94"/>
      <c r="U4" s="45">
        <f t="shared" si="7"/>
        <v>49.377224199288257</v>
      </c>
      <c r="V4" s="45">
        <f t="shared" si="8"/>
        <v>8.9177726979141649</v>
      </c>
      <c r="W4" s="94"/>
      <c r="X4" s="54">
        <v>38.5</v>
      </c>
      <c r="Y4" s="54">
        <v>27.1</v>
      </c>
      <c r="Z4" s="54">
        <f t="shared" si="9"/>
        <v>11.399999999999999</v>
      </c>
      <c r="AA4" s="54">
        <f t="shared" si="10"/>
        <v>4.3544439660085379</v>
      </c>
      <c r="AB4" s="54">
        <f t="shared" si="11"/>
        <v>22.745556033991463</v>
      </c>
      <c r="AC4" s="54">
        <f t="shared" si="12"/>
        <v>0.19144152640195564</v>
      </c>
      <c r="AD4" s="54">
        <v>17.100000000000001</v>
      </c>
      <c r="AE4" s="54">
        <f t="shared" si="13"/>
        <v>3.2736501014734416</v>
      </c>
      <c r="AF4" s="54">
        <f t="shared" si="14"/>
        <v>13.82634989852656</v>
      </c>
      <c r="AG4" s="54">
        <v>20.7</v>
      </c>
      <c r="AH4" s="54">
        <f t="shared" si="15"/>
        <v>0.19144152640195564</v>
      </c>
      <c r="AI4" s="54">
        <v>4.3</v>
      </c>
      <c r="AJ4" s="54">
        <f t="shared" si="16"/>
        <v>0.82319856352840926</v>
      </c>
      <c r="AL4" s="45">
        <v>38.4</v>
      </c>
      <c r="AM4" s="45">
        <v>29.8</v>
      </c>
      <c r="AN4" s="45">
        <f t="shared" si="17"/>
        <v>8.5999999999999979</v>
      </c>
      <c r="AO4" s="52">
        <f t="shared" si="18"/>
        <v>4.7882815567178749</v>
      </c>
      <c r="AP4" s="52">
        <f t="shared" si="19"/>
        <v>25.011718443282128</v>
      </c>
      <c r="AQ4" s="54">
        <f t="shared" si="20"/>
        <v>0.19144152640195558</v>
      </c>
      <c r="AR4" s="45">
        <v>7.9</v>
      </c>
      <c r="AS4" s="52">
        <f t="shared" si="21"/>
        <v>1.5123880585754492</v>
      </c>
      <c r="AU4" s="52">
        <v>72.2</v>
      </c>
      <c r="AV4" s="52">
        <v>55.5</v>
      </c>
      <c r="AW4" s="52">
        <f t="shared" si="22"/>
        <v>16.700000000000003</v>
      </c>
      <c r="AX4" s="52">
        <f t="shared" si="23"/>
        <v>8.9177726979141649</v>
      </c>
      <c r="AY4" s="52">
        <f t="shared" si="24"/>
        <v>46.582227302085833</v>
      </c>
      <c r="AZ4" s="54">
        <f t="shared" si="25"/>
        <v>0.19144152640195566</v>
      </c>
      <c r="BA4" s="52">
        <v>26.4</v>
      </c>
      <c r="BB4" s="52">
        <f t="shared" si="26"/>
        <v>5.0540562970116296</v>
      </c>
      <c r="BE4" s="1" t="s">
        <v>17</v>
      </c>
    </row>
    <row r="5" spans="1:58" ht="14.5" x14ac:dyDescent="0.35">
      <c r="A5" s="45" t="s">
        <v>20</v>
      </c>
      <c r="B5" s="46" t="s">
        <v>15</v>
      </c>
      <c r="C5" s="45" t="str">
        <f t="shared" si="0"/>
        <v>CP_9-23_G</v>
      </c>
      <c r="D5" s="47">
        <v>45184</v>
      </c>
      <c r="E5" s="47" t="s">
        <v>17</v>
      </c>
      <c r="F5" s="47">
        <v>45539</v>
      </c>
      <c r="G5" s="45"/>
      <c r="H5" s="45" t="str">
        <f t="shared" si="1"/>
        <v>C,N,S</v>
      </c>
      <c r="I5" s="45">
        <v>129.6</v>
      </c>
      <c r="J5" s="45"/>
      <c r="K5" s="45">
        <v>148.6</v>
      </c>
      <c r="L5" s="45">
        <f>K5-I5</f>
        <v>19</v>
      </c>
      <c r="M5" s="45">
        <f t="shared" si="2"/>
        <v>110.10000000000001</v>
      </c>
      <c r="O5" s="45">
        <f t="shared" si="3"/>
        <v>24.341507720254313</v>
      </c>
      <c r="P5" s="45">
        <f t="shared" si="4"/>
        <v>4.2006234939585099</v>
      </c>
      <c r="Q5" s="94"/>
      <c r="R5" s="45">
        <f t="shared" si="5"/>
        <v>25.068119891008173</v>
      </c>
      <c r="S5" s="45">
        <f t="shared" si="6"/>
        <v>4.3260152400468233</v>
      </c>
      <c r="T5" s="94"/>
      <c r="U5" s="45">
        <f t="shared" si="7"/>
        <v>50.590372388737514</v>
      </c>
      <c r="V5" s="45">
        <f t="shared" si="8"/>
        <v>8.730400321398843</v>
      </c>
      <c r="W5" s="94"/>
      <c r="X5" s="54">
        <v>34.700000000000003</v>
      </c>
      <c r="Y5" s="54">
        <v>26.8</v>
      </c>
      <c r="Z5" s="54">
        <f t="shared" si="9"/>
        <v>7.9000000000000021</v>
      </c>
      <c r="AA5" s="54">
        <f t="shared" si="10"/>
        <v>4.2006234939585099</v>
      </c>
      <c r="AB5" s="54">
        <f t="shared" si="11"/>
        <v>22.599376506041491</v>
      </c>
      <c r="AC5" s="54">
        <f t="shared" si="12"/>
        <v>0.18587342411130489</v>
      </c>
      <c r="AD5" s="54">
        <v>17.3</v>
      </c>
      <c r="AE5" s="54">
        <f t="shared" si="13"/>
        <v>3.2156102371255746</v>
      </c>
      <c r="AF5" s="54">
        <f t="shared" si="14"/>
        <v>14.084389762874427</v>
      </c>
      <c r="AG5" s="54">
        <v>18.8</v>
      </c>
      <c r="AH5" s="54">
        <f t="shared" si="15"/>
        <v>0.18587342411130489</v>
      </c>
      <c r="AI5" s="54">
        <v>4.2</v>
      </c>
      <c r="AJ5" s="54">
        <f t="shared" si="16"/>
        <v>0.78066838126748062</v>
      </c>
      <c r="AL5" s="45">
        <v>39.9</v>
      </c>
      <c r="AM5" s="45">
        <v>27.6</v>
      </c>
      <c r="AN5" s="45">
        <f t="shared" si="17"/>
        <v>12.299999999999997</v>
      </c>
      <c r="AO5" s="52">
        <f t="shared" si="18"/>
        <v>4.3260152400468233</v>
      </c>
      <c r="AP5" s="52">
        <f t="shared" si="19"/>
        <v>23.27398475995318</v>
      </c>
      <c r="AQ5" s="54">
        <f t="shared" si="20"/>
        <v>0.18587342411130486</v>
      </c>
      <c r="AR5" s="45">
        <v>6.8</v>
      </c>
      <c r="AS5" s="52">
        <f t="shared" si="21"/>
        <v>1.263939283956873</v>
      </c>
      <c r="AU5" s="52">
        <v>74.099999999999994</v>
      </c>
      <c r="AV5" s="52">
        <v>55.7</v>
      </c>
      <c r="AW5" s="52">
        <f t="shared" si="22"/>
        <v>18.399999999999991</v>
      </c>
      <c r="AX5" s="52">
        <f t="shared" si="23"/>
        <v>8.730400321398843</v>
      </c>
      <c r="AY5" s="52">
        <f t="shared" si="24"/>
        <v>46.969599678601156</v>
      </c>
      <c r="AZ5" s="54">
        <f t="shared" si="25"/>
        <v>0.18587342411130489</v>
      </c>
      <c r="BA5" s="52">
        <v>31.4</v>
      </c>
      <c r="BB5" s="52">
        <f t="shared" si="26"/>
        <v>5.8364255170949733</v>
      </c>
      <c r="BE5" s="1" t="s">
        <v>17</v>
      </c>
    </row>
    <row r="6" spans="1:58" ht="13.5" customHeight="1" x14ac:dyDescent="0.35">
      <c r="A6" s="45" t="s">
        <v>23</v>
      </c>
      <c r="B6" s="46" t="s">
        <v>15</v>
      </c>
      <c r="C6" s="45" t="str">
        <f t="shared" si="0"/>
        <v>R127_9-23_G</v>
      </c>
      <c r="D6" s="47">
        <v>45184</v>
      </c>
      <c r="E6" s="47" t="s">
        <v>17</v>
      </c>
      <c r="F6" s="47">
        <v>45539</v>
      </c>
      <c r="G6" s="45"/>
      <c r="H6" s="45" t="str">
        <f t="shared" si="1"/>
        <v>C,N,S</v>
      </c>
      <c r="I6" s="45">
        <v>129.1</v>
      </c>
      <c r="J6" s="45"/>
      <c r="K6" s="45">
        <v>144.19999999999999</v>
      </c>
      <c r="L6" s="45">
        <f>K6-I6</f>
        <v>15.099999999999994</v>
      </c>
      <c r="M6" s="45">
        <f t="shared" si="2"/>
        <v>105.6</v>
      </c>
      <c r="O6" s="45">
        <f t="shared" si="3"/>
        <v>24.905303030303035</v>
      </c>
      <c r="P6" s="45">
        <f t="shared" si="4"/>
        <v>3.5612696567952247</v>
      </c>
      <c r="Q6" s="94"/>
      <c r="R6" s="45">
        <f t="shared" si="5"/>
        <v>25.85227272727273</v>
      </c>
      <c r="S6" s="45">
        <f t="shared" si="6"/>
        <v>3.696679149449035</v>
      </c>
      <c r="T6" s="94"/>
      <c r="U6" s="45">
        <f t="shared" si="7"/>
        <v>49.242424242424242</v>
      </c>
      <c r="V6" s="45">
        <f t="shared" si="8"/>
        <v>7.0412936179981616</v>
      </c>
      <c r="W6" s="94"/>
      <c r="X6" s="54">
        <v>37.299999999999997</v>
      </c>
      <c r="Y6" s="54">
        <v>26.3</v>
      </c>
      <c r="Z6" s="54">
        <f t="shared" si="9"/>
        <v>10.999999999999996</v>
      </c>
      <c r="AA6" s="54">
        <f t="shared" si="10"/>
        <v>3.5612696567952247</v>
      </c>
      <c r="AB6" s="54">
        <f t="shared" si="11"/>
        <v>22.738730343204775</v>
      </c>
      <c r="AC6" s="54">
        <f t="shared" si="12"/>
        <v>0.1566169088178431</v>
      </c>
      <c r="AD6" s="54">
        <v>20</v>
      </c>
      <c r="AE6" s="54">
        <f t="shared" si="13"/>
        <v>3.1323381763568618</v>
      </c>
      <c r="AF6" s="54">
        <f t="shared" si="14"/>
        <v>16.867661823643139</v>
      </c>
      <c r="AG6" s="54">
        <v>24.9</v>
      </c>
      <c r="AH6" s="54">
        <f t="shared" si="15"/>
        <v>0.1566169088178431</v>
      </c>
      <c r="AI6" s="54">
        <v>5.3</v>
      </c>
      <c r="AJ6" s="54">
        <f t="shared" si="16"/>
        <v>0.83006961673456836</v>
      </c>
      <c r="AL6" s="45">
        <v>37.799999999999997</v>
      </c>
      <c r="AM6" s="45">
        <v>27.3</v>
      </c>
      <c r="AN6" s="45">
        <f t="shared" si="17"/>
        <v>10.499999999999996</v>
      </c>
      <c r="AO6" s="52">
        <f t="shared" si="18"/>
        <v>3.696679149449035</v>
      </c>
      <c r="AP6" s="52">
        <f t="shared" si="19"/>
        <v>23.603320850550965</v>
      </c>
      <c r="AQ6" s="54">
        <f t="shared" si="20"/>
        <v>0.1566169088178431</v>
      </c>
      <c r="AR6" s="45">
        <v>7.6</v>
      </c>
      <c r="AS6" s="52">
        <f t="shared" si="21"/>
        <v>1.1902885070156075</v>
      </c>
      <c r="AU6" s="52">
        <v>69.2</v>
      </c>
      <c r="AV6" s="52">
        <v>52</v>
      </c>
      <c r="AW6" s="52">
        <f t="shared" si="22"/>
        <v>17.200000000000003</v>
      </c>
      <c r="AX6" s="52">
        <f t="shared" si="23"/>
        <v>7.0412936179981616</v>
      </c>
      <c r="AY6" s="52">
        <f t="shared" si="24"/>
        <v>44.958706382001836</v>
      </c>
      <c r="AZ6" s="54">
        <f t="shared" si="25"/>
        <v>0.1566169088178431</v>
      </c>
      <c r="BA6" s="52">
        <v>30</v>
      </c>
      <c r="BB6" s="52">
        <f t="shared" si="26"/>
        <v>4.6985072645352925</v>
      </c>
      <c r="BE6" s="1" t="s">
        <v>17</v>
      </c>
    </row>
    <row r="7" spans="1:58" ht="14.5" x14ac:dyDescent="0.35">
      <c r="A7" s="48" t="s">
        <v>29</v>
      </c>
      <c r="B7" s="49" t="s">
        <v>15</v>
      </c>
      <c r="C7" s="48" t="str">
        <f t="shared" si="0"/>
        <v>GBHM_9-23_G</v>
      </c>
      <c r="D7" s="50">
        <v>45195</v>
      </c>
      <c r="E7" s="50" t="s">
        <v>17</v>
      </c>
      <c r="F7" s="50">
        <v>45568</v>
      </c>
      <c r="G7" s="48"/>
      <c r="H7" s="48" t="str">
        <f t="shared" si="1"/>
        <v>C,N,S</v>
      </c>
      <c r="I7" s="48"/>
      <c r="J7" s="48">
        <v>130.50101010101005</v>
      </c>
      <c r="K7" s="48">
        <v>154.4</v>
      </c>
      <c r="L7" s="48">
        <f>K7-J7</f>
        <v>23.898989898989953</v>
      </c>
      <c r="M7" s="48">
        <f t="shared" si="2"/>
        <v>108.4</v>
      </c>
      <c r="O7" s="48">
        <f t="shared" si="3"/>
        <v>24.354243542435423</v>
      </c>
      <c r="P7" s="48">
        <f t="shared" si="4"/>
        <v>5.3693894872528176</v>
      </c>
      <c r="Q7" s="94"/>
      <c r="R7" s="48">
        <f t="shared" si="5"/>
        <v>25</v>
      </c>
      <c r="S7" s="48">
        <f t="shared" si="6"/>
        <v>5.5117596630511878</v>
      </c>
      <c r="T7" s="94"/>
      <c r="U7" s="48">
        <f t="shared" si="7"/>
        <v>50.645756457564573</v>
      </c>
      <c r="V7" s="48">
        <f t="shared" si="8"/>
        <v>11.165889501900747</v>
      </c>
      <c r="W7" s="94"/>
      <c r="X7" s="55">
        <v>35.9</v>
      </c>
      <c r="Y7" s="55">
        <v>26.4</v>
      </c>
      <c r="Z7" s="55">
        <f t="shared" si="9"/>
        <v>9.5</v>
      </c>
      <c r="AA7" s="55">
        <f t="shared" si="10"/>
        <v>5.3693894872528176</v>
      </c>
      <c r="AB7" s="55">
        <f t="shared" si="11"/>
        <v>21.030610512747181</v>
      </c>
      <c r="AC7" s="55">
        <f t="shared" si="12"/>
        <v>0.25531305826800871</v>
      </c>
      <c r="AD7" s="55">
        <v>18.100000000000001</v>
      </c>
      <c r="AE7" s="55">
        <f t="shared" si="13"/>
        <v>4.621166354650958</v>
      </c>
      <c r="AF7" s="55">
        <f t="shared" si="14"/>
        <v>13.478833645349043</v>
      </c>
      <c r="AG7" s="55">
        <v>17.600000000000001</v>
      </c>
      <c r="AH7" s="55">
        <f t="shared" si="15"/>
        <v>0.25531305826800871</v>
      </c>
      <c r="AI7" s="55">
        <v>3.3</v>
      </c>
      <c r="AJ7" s="55">
        <f t="shared" si="16"/>
        <v>0.84253309228442874</v>
      </c>
      <c r="AL7" s="48">
        <v>37.299999999999997</v>
      </c>
      <c r="AM7" s="48">
        <v>27.1</v>
      </c>
      <c r="AN7" s="48">
        <f t="shared" si="17"/>
        <v>10.199999999999996</v>
      </c>
      <c r="AO7" s="53">
        <f t="shared" si="18"/>
        <v>5.5117596630511878</v>
      </c>
      <c r="AP7" s="53">
        <f t="shared" si="19"/>
        <v>21.588240336948815</v>
      </c>
      <c r="AQ7" s="55">
        <f t="shared" si="20"/>
        <v>0.25531305826800865</v>
      </c>
      <c r="AR7" s="48">
        <v>5</v>
      </c>
      <c r="AS7" s="53">
        <f t="shared" si="21"/>
        <v>1.2765652913400434</v>
      </c>
      <c r="AU7" s="53">
        <v>81.5</v>
      </c>
      <c r="AV7" s="53">
        <v>54.9</v>
      </c>
      <c r="AW7" s="53">
        <f t="shared" si="22"/>
        <v>26.6</v>
      </c>
      <c r="AX7" s="53">
        <f t="shared" si="23"/>
        <v>11.165889501900747</v>
      </c>
      <c r="AY7" s="53">
        <f t="shared" si="24"/>
        <v>43.734110498099255</v>
      </c>
      <c r="AZ7" s="55">
        <f t="shared" si="25"/>
        <v>0.25531305826800871</v>
      </c>
      <c r="BA7" s="53">
        <v>20.8</v>
      </c>
      <c r="BB7" s="53">
        <f t="shared" si="26"/>
        <v>5.3105116119745812</v>
      </c>
      <c r="BE7" s="1" t="s">
        <v>17</v>
      </c>
    </row>
    <row r="8" spans="1:58" ht="14.5" x14ac:dyDescent="0.35">
      <c r="A8" s="45" t="s">
        <v>25</v>
      </c>
      <c r="B8" s="46" t="s">
        <v>15</v>
      </c>
      <c r="C8" s="45" t="str">
        <f t="shared" si="0"/>
        <v>ACS2_9-23_G</v>
      </c>
      <c r="D8" s="47">
        <v>45195</v>
      </c>
      <c r="E8" s="47" t="s">
        <v>17</v>
      </c>
      <c r="F8" s="47">
        <v>45539</v>
      </c>
      <c r="G8" s="45"/>
      <c r="H8" s="45" t="str">
        <f t="shared" si="1"/>
        <v>C,N,S</v>
      </c>
      <c r="I8" s="45">
        <v>129.69999999999999</v>
      </c>
      <c r="J8" s="45"/>
      <c r="K8" s="45">
        <v>153.30000000000001</v>
      </c>
      <c r="L8" s="45">
        <f>K8-I8</f>
        <v>23.600000000000023</v>
      </c>
      <c r="M8" s="45">
        <f t="shared" si="2"/>
        <v>109.69999999999999</v>
      </c>
      <c r="O8" s="45">
        <f t="shared" si="3"/>
        <v>23.062898814949868</v>
      </c>
      <c r="P8" s="45">
        <f t="shared" si="4"/>
        <v>4.9615716684851181</v>
      </c>
      <c r="Q8" s="94"/>
      <c r="R8" s="45">
        <f t="shared" si="5"/>
        <v>25.524156791248863</v>
      </c>
      <c r="S8" s="45">
        <f t="shared" si="6"/>
        <v>5.4910674591930153</v>
      </c>
      <c r="T8" s="94"/>
      <c r="U8" s="45">
        <f t="shared" si="7"/>
        <v>51.412944393801283</v>
      </c>
      <c r="V8" s="45">
        <f t="shared" si="8"/>
        <v>11.060578739231646</v>
      </c>
      <c r="W8" s="94"/>
      <c r="X8" s="54">
        <v>33.5</v>
      </c>
      <c r="Y8" s="54">
        <v>25.3</v>
      </c>
      <c r="Z8" s="54">
        <f t="shared" si="9"/>
        <v>8.1999999999999993</v>
      </c>
      <c r="AA8" s="54">
        <f t="shared" si="10"/>
        <v>4.9615716684851181</v>
      </c>
      <c r="AB8" s="54">
        <f t="shared" si="11"/>
        <v>20.338428331514883</v>
      </c>
      <c r="AC8" s="54">
        <f t="shared" si="12"/>
        <v>0.2439505938026216</v>
      </c>
      <c r="AD8" s="54">
        <v>15.2</v>
      </c>
      <c r="AE8" s="54">
        <f t="shared" si="13"/>
        <v>3.708049025799848</v>
      </c>
      <c r="AF8" s="54">
        <f t="shared" si="14"/>
        <v>11.491950974200151</v>
      </c>
      <c r="AG8" s="54">
        <v>15.1</v>
      </c>
      <c r="AH8" s="54">
        <f t="shared" si="15"/>
        <v>0.2439505938026216</v>
      </c>
      <c r="AI8" s="54">
        <v>4</v>
      </c>
      <c r="AJ8" s="54">
        <f t="shared" si="16"/>
        <v>0.97580237521048641</v>
      </c>
      <c r="AL8" s="45">
        <v>34.5</v>
      </c>
      <c r="AM8" s="45">
        <v>28</v>
      </c>
      <c r="AN8" s="45">
        <f t="shared" si="17"/>
        <v>6.5</v>
      </c>
      <c r="AO8" s="52">
        <f t="shared" si="18"/>
        <v>5.4910674591930153</v>
      </c>
      <c r="AP8" s="52">
        <f t="shared" si="19"/>
        <v>22.508932540806985</v>
      </c>
      <c r="AQ8" s="54">
        <f t="shared" si="20"/>
        <v>0.24395059380262157</v>
      </c>
      <c r="AR8" s="45">
        <v>5.2</v>
      </c>
      <c r="AS8" s="52">
        <f t="shared" si="21"/>
        <v>1.2685430877736321</v>
      </c>
      <c r="AU8" s="52">
        <v>85.2</v>
      </c>
      <c r="AV8" s="52">
        <v>56.4</v>
      </c>
      <c r="AW8" s="52">
        <f t="shared" si="22"/>
        <v>28.800000000000004</v>
      </c>
      <c r="AX8" s="52">
        <f t="shared" si="23"/>
        <v>11.060578739231646</v>
      </c>
      <c r="AY8" s="52">
        <f t="shared" si="24"/>
        <v>45.339421260768354</v>
      </c>
      <c r="AZ8" s="54">
        <f t="shared" si="25"/>
        <v>0.2439505938026216</v>
      </c>
      <c r="BA8" s="52">
        <v>21.7</v>
      </c>
      <c r="BB8" s="52">
        <f t="shared" si="26"/>
        <v>5.2937278855168888</v>
      </c>
      <c r="BE8" s="1" t="s">
        <v>17</v>
      </c>
    </row>
    <row r="9" spans="1:58" ht="14.5" x14ac:dyDescent="0.35">
      <c r="A9" s="45" t="s">
        <v>26</v>
      </c>
      <c r="B9" s="46" t="s">
        <v>15</v>
      </c>
      <c r="C9" s="45" t="str">
        <f t="shared" si="0"/>
        <v>ACS3_9-23_G</v>
      </c>
      <c r="D9" s="47">
        <v>45195</v>
      </c>
      <c r="E9" s="47" t="s">
        <v>17</v>
      </c>
      <c r="F9" s="47">
        <v>45538</v>
      </c>
      <c r="G9" s="45"/>
      <c r="H9" s="45" t="str">
        <f t="shared" si="1"/>
        <v>C,N,S</v>
      </c>
      <c r="I9" s="45">
        <v>129.6</v>
      </c>
      <c r="J9" s="45"/>
      <c r="K9" s="45">
        <v>154.6</v>
      </c>
      <c r="L9" s="45">
        <f>K9-I9</f>
        <v>25</v>
      </c>
      <c r="M9" s="45">
        <f t="shared" si="2"/>
        <v>109.2</v>
      </c>
      <c r="O9" s="45">
        <f t="shared" si="3"/>
        <v>29.212454212454208</v>
      </c>
      <c r="P9" s="45">
        <f t="shared" si="4"/>
        <v>6.687832924096659</v>
      </c>
      <c r="Q9" s="94"/>
      <c r="R9" s="45">
        <f t="shared" si="5"/>
        <v>23.443223443223442</v>
      </c>
      <c r="S9" s="45">
        <f t="shared" si="6"/>
        <v>5.3670383340713013</v>
      </c>
      <c r="T9" s="94"/>
      <c r="U9" s="45">
        <f t="shared" si="7"/>
        <v>47.34432234432235</v>
      </c>
      <c r="V9" s="45">
        <f t="shared" si="8"/>
        <v>10.838901635604934</v>
      </c>
      <c r="W9" s="94"/>
      <c r="X9" s="54">
        <v>41</v>
      </c>
      <c r="Y9" s="54">
        <v>31.9</v>
      </c>
      <c r="Z9" s="54">
        <f t="shared" si="9"/>
        <v>9.1000000000000014</v>
      </c>
      <c r="AA9" s="54">
        <f t="shared" si="10"/>
        <v>6.687832924096659</v>
      </c>
      <c r="AB9" s="54">
        <f t="shared" si="11"/>
        <v>25.212167075903338</v>
      </c>
      <c r="AC9" s="54">
        <f t="shared" si="12"/>
        <v>0.26526212141790029</v>
      </c>
      <c r="AD9" s="54">
        <v>18.5</v>
      </c>
      <c r="AE9" s="54">
        <f t="shared" si="13"/>
        <v>4.9073492462311554</v>
      </c>
      <c r="AF9" s="54">
        <f t="shared" si="14"/>
        <v>13.592650753768844</v>
      </c>
      <c r="AG9" s="54">
        <v>18.399999999999999</v>
      </c>
      <c r="AH9" s="54">
        <f t="shared" si="15"/>
        <v>0.26526212141790029</v>
      </c>
      <c r="AI9" s="54">
        <v>3.3</v>
      </c>
      <c r="AJ9" s="54">
        <f t="shared" si="16"/>
        <v>0.87536500067907086</v>
      </c>
      <c r="AL9" s="45">
        <v>40.200000000000003</v>
      </c>
      <c r="AM9" s="45">
        <v>25.6</v>
      </c>
      <c r="AN9" s="45">
        <f t="shared" si="17"/>
        <v>14.600000000000001</v>
      </c>
      <c r="AO9" s="52">
        <f t="shared" si="18"/>
        <v>5.3670383340713013</v>
      </c>
      <c r="AP9" s="52">
        <f t="shared" si="19"/>
        <v>20.232961665928698</v>
      </c>
      <c r="AQ9" s="54">
        <f t="shared" si="20"/>
        <v>0.26526212141790034</v>
      </c>
      <c r="AR9" s="45">
        <v>5.2</v>
      </c>
      <c r="AS9" s="52">
        <f t="shared" si="21"/>
        <v>1.3793630313730818</v>
      </c>
      <c r="AU9" s="52">
        <v>73.099999999999994</v>
      </c>
      <c r="AV9" s="52">
        <v>51.7</v>
      </c>
      <c r="AW9" s="52">
        <f t="shared" si="22"/>
        <v>21.399999999999991</v>
      </c>
      <c r="AX9" s="52">
        <f t="shared" si="23"/>
        <v>10.838901635604934</v>
      </c>
      <c r="AY9" s="52">
        <f t="shared" si="24"/>
        <v>40.861098364395069</v>
      </c>
      <c r="AZ9" s="54">
        <f t="shared" si="25"/>
        <v>0.26526212141790034</v>
      </c>
      <c r="BA9" s="52">
        <v>19.600000000000001</v>
      </c>
      <c r="BB9" s="52">
        <f t="shared" si="26"/>
        <v>5.1991375797908468</v>
      </c>
      <c r="BE9" s="1" t="s">
        <v>17</v>
      </c>
    </row>
    <row r="10" spans="1:58" ht="14.5" x14ac:dyDescent="0.35">
      <c r="A10" s="45" t="s">
        <v>28</v>
      </c>
      <c r="B10" s="46" t="s">
        <v>15</v>
      </c>
      <c r="C10" s="45" t="str">
        <f t="shared" si="0"/>
        <v>ACS5_9-23_G</v>
      </c>
      <c r="D10" s="47">
        <v>45195</v>
      </c>
      <c r="E10" s="47" t="s">
        <v>17</v>
      </c>
      <c r="F10" s="47">
        <v>45538</v>
      </c>
      <c r="G10" s="45"/>
      <c r="H10" s="45" t="str">
        <f t="shared" si="1"/>
        <v>C,N,S</v>
      </c>
      <c r="I10" s="45">
        <v>128.69999999999999</v>
      </c>
      <c r="J10" s="45"/>
      <c r="K10" s="45">
        <v>150.9</v>
      </c>
      <c r="L10" s="45">
        <f>K10-I10</f>
        <v>22.200000000000017</v>
      </c>
      <c r="M10" s="45">
        <f t="shared" si="2"/>
        <v>108.19999999999999</v>
      </c>
      <c r="O10" s="45">
        <f t="shared" si="3"/>
        <v>25.508317929759709</v>
      </c>
      <c r="P10" s="45">
        <f t="shared" si="4"/>
        <v>5.2336844550893353</v>
      </c>
      <c r="Q10" s="94"/>
      <c r="R10" s="45">
        <f t="shared" si="5"/>
        <v>26.524953789279117</v>
      </c>
      <c r="S10" s="45">
        <f t="shared" si="6"/>
        <v>5.4422733282994171</v>
      </c>
      <c r="T10" s="94"/>
      <c r="U10" s="45">
        <f t="shared" si="7"/>
        <v>47.966728280961185</v>
      </c>
      <c r="V10" s="45">
        <f t="shared" si="8"/>
        <v>9.8416022905484208</v>
      </c>
      <c r="W10" s="94"/>
      <c r="X10" s="54">
        <v>41.6</v>
      </c>
      <c r="Y10" s="54">
        <v>27.6</v>
      </c>
      <c r="Z10" s="54">
        <f t="shared" si="9"/>
        <v>14</v>
      </c>
      <c r="AA10" s="54">
        <f t="shared" si="10"/>
        <v>5.2336844550893353</v>
      </c>
      <c r="AB10" s="54">
        <f t="shared" si="11"/>
        <v>22.366315544910666</v>
      </c>
      <c r="AC10" s="54">
        <f t="shared" si="12"/>
        <v>0.23399850746897971</v>
      </c>
      <c r="AD10" s="54">
        <v>22</v>
      </c>
      <c r="AE10" s="54">
        <f t="shared" si="13"/>
        <v>5.1479671643175537</v>
      </c>
      <c r="AF10" s="54">
        <f t="shared" si="14"/>
        <v>16.852032835682447</v>
      </c>
      <c r="AG10" s="54">
        <v>22.6</v>
      </c>
      <c r="AH10" s="54">
        <f t="shared" si="15"/>
        <v>0.23399850746897971</v>
      </c>
      <c r="AI10" s="54">
        <v>4</v>
      </c>
      <c r="AJ10" s="54">
        <f t="shared" si="16"/>
        <v>0.93599402987591884</v>
      </c>
      <c r="AL10" s="45">
        <v>39.200000000000003</v>
      </c>
      <c r="AM10" s="45">
        <v>28.7</v>
      </c>
      <c r="AN10" s="45">
        <f t="shared" si="17"/>
        <v>10.500000000000004</v>
      </c>
      <c r="AO10" s="52">
        <f t="shared" si="18"/>
        <v>5.4422733282994171</v>
      </c>
      <c r="AP10" s="52">
        <f t="shared" si="19"/>
        <v>23.257726671700581</v>
      </c>
      <c r="AQ10" s="54">
        <f t="shared" si="20"/>
        <v>0.23399850746897971</v>
      </c>
      <c r="AR10" s="45">
        <v>8</v>
      </c>
      <c r="AS10" s="52">
        <f t="shared" si="21"/>
        <v>1.8719880597518377</v>
      </c>
      <c r="AU10" s="52">
        <v>72</v>
      </c>
      <c r="AV10" s="52">
        <v>51.9</v>
      </c>
      <c r="AW10" s="52">
        <f t="shared" si="22"/>
        <v>20.100000000000001</v>
      </c>
      <c r="AX10" s="52">
        <f t="shared" si="23"/>
        <v>9.8416022905484208</v>
      </c>
      <c r="AY10" s="52">
        <f t="shared" si="24"/>
        <v>42.058397709451576</v>
      </c>
      <c r="AZ10" s="54">
        <f t="shared" si="25"/>
        <v>0.23399850746897966</v>
      </c>
      <c r="BA10" s="52">
        <v>22.4</v>
      </c>
      <c r="BB10" s="52">
        <f t="shared" si="26"/>
        <v>5.2415665673051439</v>
      </c>
      <c r="BE10" s="1" t="s">
        <v>17</v>
      </c>
    </row>
    <row r="11" spans="1:58" ht="14.5" x14ac:dyDescent="0.35">
      <c r="A11" s="48" t="s">
        <v>34</v>
      </c>
      <c r="B11" s="49" t="s">
        <v>15</v>
      </c>
      <c r="C11" s="48" t="str">
        <f t="shared" si="0"/>
        <v>GB1_9-23_G</v>
      </c>
      <c r="D11" s="50">
        <v>45195</v>
      </c>
      <c r="E11" s="47" t="s">
        <v>17</v>
      </c>
      <c r="F11" s="50">
        <v>45568</v>
      </c>
      <c r="G11" s="48"/>
      <c r="H11" s="48" t="str">
        <f t="shared" si="1"/>
        <v>C,N,S</v>
      </c>
      <c r="I11" s="48"/>
      <c r="J11" s="48">
        <v>130.50101010101005</v>
      </c>
      <c r="K11" s="48">
        <v>142.30000000000001</v>
      </c>
      <c r="L11" s="48">
        <f>K11-J11</f>
        <v>11.798989898989959</v>
      </c>
      <c r="M11" s="48">
        <f t="shared" si="2"/>
        <v>90.6</v>
      </c>
      <c r="O11" s="48">
        <f t="shared" si="3"/>
        <v>24.724061810154527</v>
      </c>
      <c r="P11" s="48">
        <f t="shared" si="4"/>
        <v>3.219856021633738</v>
      </c>
      <c r="Q11" s="94"/>
      <c r="R11" s="48">
        <f t="shared" si="5"/>
        <v>25.165562913907287</v>
      </c>
      <c r="S11" s="48">
        <f t="shared" si="6"/>
        <v>3.2773534505914834</v>
      </c>
      <c r="T11" s="94"/>
      <c r="U11" s="48">
        <f t="shared" si="7"/>
        <v>50.110375275938189</v>
      </c>
      <c r="V11" s="48">
        <f t="shared" si="8"/>
        <v>6.5259581867040932</v>
      </c>
      <c r="W11" s="94"/>
      <c r="X11" s="55">
        <v>37</v>
      </c>
      <c r="Y11" s="55">
        <v>22.4</v>
      </c>
      <c r="Z11" s="55">
        <f t="shared" si="9"/>
        <v>14.600000000000001</v>
      </c>
      <c r="AA11" s="55">
        <f t="shared" si="10"/>
        <v>3.219856021633738</v>
      </c>
      <c r="AB11" s="55">
        <f t="shared" si="11"/>
        <v>19.18014397836626</v>
      </c>
      <c r="AC11" s="55">
        <f t="shared" si="12"/>
        <v>0.16787444480424599</v>
      </c>
      <c r="AD11" s="55">
        <v>14.7</v>
      </c>
      <c r="AE11" s="55">
        <f t="shared" si="13"/>
        <v>2.4677543386224157</v>
      </c>
      <c r="AF11" s="55">
        <f t="shared" si="14"/>
        <v>12.232245661377583</v>
      </c>
      <c r="AG11" s="55">
        <v>14.7</v>
      </c>
      <c r="AH11" s="55">
        <f t="shared" si="15"/>
        <v>0.16787444480424599</v>
      </c>
      <c r="AI11" s="55">
        <v>5.5</v>
      </c>
      <c r="AJ11" s="55">
        <f t="shared" si="16"/>
        <v>0.92330944642335289</v>
      </c>
      <c r="AL11" s="48">
        <v>36.200000000000003</v>
      </c>
      <c r="AM11" s="48">
        <v>22.8</v>
      </c>
      <c r="AN11" s="48">
        <f t="shared" si="17"/>
        <v>13.400000000000002</v>
      </c>
      <c r="AO11" s="53">
        <f t="shared" si="18"/>
        <v>3.2773534505914834</v>
      </c>
      <c r="AP11" s="53">
        <f t="shared" si="19"/>
        <v>19.522646549408517</v>
      </c>
      <c r="AQ11" s="55">
        <f t="shared" si="20"/>
        <v>0.16787444480424599</v>
      </c>
      <c r="AR11" s="48">
        <v>11.2</v>
      </c>
      <c r="AS11" s="53">
        <f t="shared" si="21"/>
        <v>1.8801937818075549</v>
      </c>
      <c r="AU11" s="53">
        <v>69.5</v>
      </c>
      <c r="AV11" s="53">
        <v>45.4</v>
      </c>
      <c r="AW11" s="53">
        <f t="shared" si="22"/>
        <v>24.1</v>
      </c>
      <c r="AX11" s="53">
        <f t="shared" si="23"/>
        <v>6.5259581867040932</v>
      </c>
      <c r="AY11" s="53">
        <f t="shared" si="24"/>
        <v>38.874041813295904</v>
      </c>
      <c r="AZ11" s="55">
        <f t="shared" si="25"/>
        <v>0.16787444480424599</v>
      </c>
      <c r="BA11" s="53">
        <v>32.5</v>
      </c>
      <c r="BB11" s="53">
        <f t="shared" si="26"/>
        <v>5.4559194561379947</v>
      </c>
      <c r="BE11" s="1" t="s">
        <v>17</v>
      </c>
    </row>
    <row r="12" spans="1:58" ht="14.5" x14ac:dyDescent="0.35">
      <c r="A12" s="48" t="s">
        <v>32</v>
      </c>
      <c r="B12" s="49" t="s">
        <v>15</v>
      </c>
      <c r="C12" s="48" t="str">
        <f t="shared" si="0"/>
        <v>DC2_9-23_G</v>
      </c>
      <c r="D12" s="50">
        <v>45195</v>
      </c>
      <c r="E12" s="47" t="s">
        <v>17</v>
      </c>
      <c r="F12" s="50">
        <v>45568</v>
      </c>
      <c r="G12" s="48"/>
      <c r="H12" s="48" t="str">
        <f t="shared" si="1"/>
        <v>C,N,S</v>
      </c>
      <c r="I12" s="48"/>
      <c r="J12" s="48">
        <v>130.50101010101005</v>
      </c>
      <c r="K12" s="48">
        <v>143.5</v>
      </c>
      <c r="L12" s="48">
        <f>K12-J12</f>
        <v>12.998989898989947</v>
      </c>
      <c r="M12" s="48">
        <f t="shared" si="2"/>
        <v>98.9</v>
      </c>
      <c r="O12" s="48">
        <f t="shared" si="3"/>
        <v>25.176946410515672</v>
      </c>
      <c r="P12" s="48">
        <f t="shared" si="4"/>
        <v>3.3091493637786087</v>
      </c>
      <c r="Q12" s="94"/>
      <c r="R12" s="48">
        <f t="shared" si="5"/>
        <v>26.693629929221434</v>
      </c>
      <c r="S12" s="48">
        <f t="shared" si="6"/>
        <v>3.5084957109941874</v>
      </c>
      <c r="T12" s="94"/>
      <c r="U12" s="48">
        <f t="shared" si="7"/>
        <v>48.129423660262887</v>
      </c>
      <c r="V12" s="48">
        <f t="shared" si="8"/>
        <v>6.3259240849743685</v>
      </c>
      <c r="W12" s="94"/>
      <c r="X12" s="55">
        <v>36.700000000000003</v>
      </c>
      <c r="Y12" s="55">
        <v>24.9</v>
      </c>
      <c r="Z12" s="55">
        <f t="shared" si="9"/>
        <v>11.800000000000004</v>
      </c>
      <c r="AA12" s="55">
        <f t="shared" si="10"/>
        <v>3.3091493637786087</v>
      </c>
      <c r="AB12" s="55">
        <f t="shared" si="11"/>
        <v>21.59085063622139</v>
      </c>
      <c r="AC12" s="55">
        <f t="shared" si="12"/>
        <v>0.15326628021904293</v>
      </c>
      <c r="AD12" s="55">
        <v>16.8</v>
      </c>
      <c r="AE12" s="55">
        <f t="shared" si="13"/>
        <v>2.5748735076799214</v>
      </c>
      <c r="AF12" s="55">
        <f t="shared" si="14"/>
        <v>14.225126492320079</v>
      </c>
      <c r="AG12" s="55">
        <v>17.3</v>
      </c>
      <c r="AH12" s="55">
        <f t="shared" si="15"/>
        <v>0.15326628021904293</v>
      </c>
      <c r="AI12" s="55">
        <v>5.9</v>
      </c>
      <c r="AJ12" s="55">
        <f t="shared" si="16"/>
        <v>0.90427105329235336</v>
      </c>
      <c r="AL12" s="48">
        <v>34.700000000000003</v>
      </c>
      <c r="AM12" s="48">
        <v>26.4</v>
      </c>
      <c r="AN12" s="48">
        <f t="shared" si="17"/>
        <v>8.3000000000000043</v>
      </c>
      <c r="AO12" s="53">
        <f t="shared" si="18"/>
        <v>3.5084957109941874</v>
      </c>
      <c r="AP12" s="53">
        <f t="shared" si="19"/>
        <v>22.891504289005812</v>
      </c>
      <c r="AQ12" s="55">
        <f t="shared" si="20"/>
        <v>0.1532662802190429</v>
      </c>
      <c r="AR12" s="48">
        <v>9.6999999999999993</v>
      </c>
      <c r="AS12" s="53">
        <f t="shared" si="21"/>
        <v>1.4866829181247161</v>
      </c>
      <c r="AU12" s="53">
        <v>71.900000000000006</v>
      </c>
      <c r="AV12" s="53">
        <v>47.6</v>
      </c>
      <c r="AW12" s="53">
        <f t="shared" si="22"/>
        <v>24.300000000000004</v>
      </c>
      <c r="AX12" s="53">
        <f t="shared" si="23"/>
        <v>6.3259240849743685</v>
      </c>
      <c r="AY12" s="53">
        <f t="shared" si="24"/>
        <v>41.274075915025634</v>
      </c>
      <c r="AZ12" s="55">
        <f t="shared" si="25"/>
        <v>0.1532662802190429</v>
      </c>
      <c r="BA12" s="53">
        <v>30.5</v>
      </c>
      <c r="BB12" s="53">
        <f t="shared" si="26"/>
        <v>4.6746215466808083</v>
      </c>
      <c r="BE12" s="1" t="s">
        <v>17</v>
      </c>
    </row>
    <row r="13" spans="1:58" ht="14.5" x14ac:dyDescent="0.35">
      <c r="A13" s="45" t="s">
        <v>30</v>
      </c>
      <c r="B13" s="46" t="s">
        <v>15</v>
      </c>
      <c r="C13" s="45" t="str">
        <f t="shared" si="0"/>
        <v>DC1_9-23_G</v>
      </c>
      <c r="D13" s="47">
        <v>45195</v>
      </c>
      <c r="E13" s="47" t="s">
        <v>109</v>
      </c>
      <c r="F13" s="47">
        <v>45568</v>
      </c>
      <c r="G13" s="45"/>
      <c r="H13" s="45" t="str">
        <f t="shared" si="1"/>
        <v>C,N,S</v>
      </c>
      <c r="I13" s="45">
        <v>132.6</v>
      </c>
      <c r="J13" s="45"/>
      <c r="K13" s="45">
        <v>172.2</v>
      </c>
      <c r="L13" s="45">
        <f>K13-I13</f>
        <v>39.599999999999994</v>
      </c>
      <c r="M13" s="45">
        <f t="shared" si="2"/>
        <v>123.2</v>
      </c>
      <c r="O13" s="45">
        <f t="shared" si="3"/>
        <v>27.029220779220775</v>
      </c>
      <c r="P13" s="45">
        <f t="shared" si="4"/>
        <v>8.6879638218923905</v>
      </c>
      <c r="Q13" s="94"/>
      <c r="R13" s="45">
        <f t="shared" si="5"/>
        <v>24.107142857142854</v>
      </c>
      <c r="S13" s="45">
        <f t="shared" si="6"/>
        <v>7.748724489795916</v>
      </c>
      <c r="T13" s="94"/>
      <c r="U13" s="45">
        <f t="shared" si="7"/>
        <v>48.863636363636367</v>
      </c>
      <c r="V13" s="45">
        <f t="shared" si="8"/>
        <v>15.70616883116883</v>
      </c>
      <c r="W13" s="94"/>
      <c r="X13" s="54">
        <v>43.7</v>
      </c>
      <c r="Y13" s="54">
        <v>33.299999999999997</v>
      </c>
      <c r="Z13" s="54">
        <f t="shared" si="9"/>
        <v>10.400000000000006</v>
      </c>
      <c r="AA13" s="54">
        <f t="shared" si="10"/>
        <v>8.6879638218923905</v>
      </c>
      <c r="AB13" s="54">
        <f t="shared" si="11"/>
        <v>24.612036178107608</v>
      </c>
      <c r="AC13" s="54">
        <f t="shared" si="12"/>
        <v>0.35299654847819251</v>
      </c>
      <c r="AD13" s="54">
        <v>19.3</v>
      </c>
      <c r="AE13" s="54">
        <f t="shared" si="13"/>
        <v>6.8128333856291157</v>
      </c>
      <c r="AF13" s="54">
        <f t="shared" si="14"/>
        <v>12.487166614370885</v>
      </c>
      <c r="AG13" s="54">
        <v>21.6</v>
      </c>
      <c r="AH13" s="54">
        <f t="shared" si="15"/>
        <v>0.35299654847819251</v>
      </c>
      <c r="AI13" s="54">
        <v>2.7</v>
      </c>
      <c r="AJ13" s="54">
        <f t="shared" si="16"/>
        <v>0.95309068089111981</v>
      </c>
      <c r="AL13" s="45">
        <v>43.4</v>
      </c>
      <c r="AM13" s="45">
        <v>29.7</v>
      </c>
      <c r="AN13" s="45">
        <f t="shared" si="17"/>
        <v>13.7</v>
      </c>
      <c r="AO13" s="52">
        <f t="shared" si="18"/>
        <v>7.748724489795916</v>
      </c>
      <c r="AP13" s="52">
        <f t="shared" si="19"/>
        <v>21.951275510204084</v>
      </c>
      <c r="AQ13" s="54">
        <f t="shared" si="20"/>
        <v>0.35299654847819251</v>
      </c>
      <c r="AR13" s="45">
        <v>4.5</v>
      </c>
      <c r="AS13" s="52">
        <f t="shared" si="21"/>
        <v>1.5884844681518664</v>
      </c>
      <c r="AU13" s="52">
        <v>86.8</v>
      </c>
      <c r="AV13" s="52">
        <v>60.2</v>
      </c>
      <c r="AW13" s="52">
        <f t="shared" si="22"/>
        <v>26.599999999999994</v>
      </c>
      <c r="AX13" s="52">
        <f t="shared" si="23"/>
        <v>15.70616883116883</v>
      </c>
      <c r="AY13" s="52">
        <f t="shared" si="24"/>
        <v>44.493831168831171</v>
      </c>
      <c r="AZ13" s="54">
        <f t="shared" si="25"/>
        <v>0.35299654847819262</v>
      </c>
      <c r="BA13" s="52">
        <v>13.5</v>
      </c>
      <c r="BB13" s="52">
        <f t="shared" si="26"/>
        <v>4.7654534044556005</v>
      </c>
      <c r="BE13" s="1" t="s">
        <v>17</v>
      </c>
    </row>
    <row r="14" spans="1:58" ht="14.5" x14ac:dyDescent="0.35">
      <c r="A14" s="45" t="s">
        <v>24</v>
      </c>
      <c r="B14" s="46" t="s">
        <v>15</v>
      </c>
      <c r="C14" s="45" t="str">
        <f t="shared" si="0"/>
        <v>ACS1_9-23_G</v>
      </c>
      <c r="D14" s="47">
        <v>45195</v>
      </c>
      <c r="E14" s="47" t="s">
        <v>109</v>
      </c>
      <c r="F14" s="47">
        <v>45539</v>
      </c>
      <c r="G14" s="45"/>
      <c r="H14" s="45" t="str">
        <f t="shared" si="1"/>
        <v>C,N,S</v>
      </c>
      <c r="I14" s="45">
        <v>133.4</v>
      </c>
      <c r="J14" s="45"/>
      <c r="K14" s="45">
        <v>153.4</v>
      </c>
      <c r="L14" s="45">
        <f>K14-I14</f>
        <v>20</v>
      </c>
      <c r="M14" s="45">
        <f t="shared" si="2"/>
        <v>110.4</v>
      </c>
      <c r="O14" s="45">
        <f t="shared" si="3"/>
        <v>26.086956521739129</v>
      </c>
      <c r="P14" s="45">
        <f t="shared" si="4"/>
        <v>4.7258979206049148</v>
      </c>
      <c r="Q14" s="94"/>
      <c r="R14" s="45">
        <f t="shared" si="5"/>
        <v>25</v>
      </c>
      <c r="S14" s="45">
        <f t="shared" si="6"/>
        <v>4.5289855072463761</v>
      </c>
      <c r="T14" s="94"/>
      <c r="U14" s="45">
        <f t="shared" si="7"/>
        <v>48.913043478260867</v>
      </c>
      <c r="V14" s="45">
        <f t="shared" si="8"/>
        <v>8.8610586011342143</v>
      </c>
      <c r="W14" s="94"/>
      <c r="X14" s="54">
        <v>40.1</v>
      </c>
      <c r="Y14" s="54">
        <v>28.8</v>
      </c>
      <c r="Z14" s="54">
        <f t="shared" si="9"/>
        <v>11.3</v>
      </c>
      <c r="AA14" s="54">
        <f t="shared" si="10"/>
        <v>4.7258979206049148</v>
      </c>
      <c r="AB14" s="54">
        <f t="shared" si="11"/>
        <v>24.074102079395086</v>
      </c>
      <c r="AC14" s="54">
        <f t="shared" si="12"/>
        <v>0.19630630064702556</v>
      </c>
      <c r="AD14" s="54">
        <v>17.100000000000001</v>
      </c>
      <c r="AE14" s="54"/>
      <c r="AF14" s="54"/>
      <c r="AG14" s="54">
        <v>19.399999999999999</v>
      </c>
      <c r="AH14" s="54">
        <f t="shared" si="15"/>
        <v>0.19630630064702556</v>
      </c>
      <c r="AI14" s="54">
        <v>4.8</v>
      </c>
      <c r="AJ14" s="54">
        <f t="shared" si="16"/>
        <v>0.9422702431057226</v>
      </c>
      <c r="AL14" s="45">
        <v>37.200000000000003</v>
      </c>
      <c r="AM14" s="45">
        <v>27.6</v>
      </c>
      <c r="AN14" s="45">
        <f t="shared" si="17"/>
        <v>9.6000000000000014</v>
      </c>
      <c r="AO14" s="52">
        <f t="shared" si="18"/>
        <v>4.5289855072463761</v>
      </c>
      <c r="AP14" s="52">
        <f t="shared" si="19"/>
        <v>23.071014492753626</v>
      </c>
      <c r="AQ14" s="54">
        <f t="shared" si="20"/>
        <v>0.19630630064702551</v>
      </c>
      <c r="AR14" s="45">
        <v>7.3</v>
      </c>
      <c r="AS14" s="52">
        <f t="shared" si="21"/>
        <v>1.4330359947232862</v>
      </c>
      <c r="AU14" s="52">
        <v>75.5</v>
      </c>
      <c r="AV14" s="52">
        <v>54</v>
      </c>
      <c r="AW14" s="52">
        <f t="shared" si="22"/>
        <v>21.5</v>
      </c>
      <c r="AX14" s="52">
        <f t="shared" si="23"/>
        <v>8.8610586011342143</v>
      </c>
      <c r="AY14" s="52">
        <f t="shared" si="24"/>
        <v>45.138941398865782</v>
      </c>
      <c r="AZ14" s="54">
        <f t="shared" si="25"/>
        <v>0.19630630064702556</v>
      </c>
      <c r="BA14" s="52">
        <v>27.1</v>
      </c>
      <c r="BB14" s="52">
        <f t="shared" si="26"/>
        <v>5.3199007475343931</v>
      </c>
      <c r="BE14" s="1" t="s">
        <v>17</v>
      </c>
    </row>
    <row r="15" spans="1:58" ht="14.5" x14ac:dyDescent="0.35">
      <c r="A15" s="48" t="s">
        <v>42</v>
      </c>
      <c r="B15" s="49" t="s">
        <v>15</v>
      </c>
      <c r="C15" s="48" t="str">
        <f t="shared" si="0"/>
        <v>TB2_9-23_G</v>
      </c>
      <c r="D15" s="50">
        <v>45196</v>
      </c>
      <c r="E15" s="47" t="s">
        <v>17</v>
      </c>
      <c r="F15" s="50">
        <v>45275</v>
      </c>
      <c r="G15" s="48"/>
      <c r="H15" s="48" t="str">
        <f t="shared" si="1"/>
        <v>C,N,S</v>
      </c>
      <c r="I15" s="48"/>
      <c r="J15" s="48">
        <v>130.50101010101005</v>
      </c>
      <c r="K15" s="48">
        <v>157.19999999999999</v>
      </c>
      <c r="L15" s="48">
        <f t="shared" ref="L15:L21" si="27">K15-J15</f>
        <v>26.698989898989936</v>
      </c>
      <c r="M15" s="48">
        <f t="shared" si="2"/>
        <v>108.7</v>
      </c>
      <c r="O15" s="48">
        <f t="shared" si="3"/>
        <v>26.034958601655934</v>
      </c>
      <c r="P15" s="48">
        <f t="shared" si="4"/>
        <v>6.394729500701315</v>
      </c>
      <c r="Q15" s="94"/>
      <c r="R15" s="48">
        <f t="shared" si="5"/>
        <v>25.114995400183993</v>
      </c>
      <c r="S15" s="48">
        <f t="shared" si="6"/>
        <v>6.1687673275316568</v>
      </c>
      <c r="T15" s="94"/>
      <c r="U15" s="48">
        <f t="shared" si="7"/>
        <v>48.850045998160077</v>
      </c>
      <c r="V15" s="48">
        <f t="shared" si="8"/>
        <v>11.998591395308829</v>
      </c>
      <c r="W15" s="94"/>
      <c r="X15" s="55">
        <v>38.9</v>
      </c>
      <c r="Y15" s="55">
        <v>28.3</v>
      </c>
      <c r="Z15" s="55">
        <f t="shared" si="9"/>
        <v>10.599999999999998</v>
      </c>
      <c r="AA15" s="55">
        <f t="shared" si="10"/>
        <v>6.394729500701315</v>
      </c>
      <c r="AB15" s="55">
        <f t="shared" si="11"/>
        <v>21.905270499298688</v>
      </c>
      <c r="AC15" s="55">
        <f t="shared" si="12"/>
        <v>0.29192652521255313</v>
      </c>
      <c r="AD15" s="55">
        <v>22.3</v>
      </c>
      <c r="AE15" s="55">
        <f t="shared" ref="AE15:AE46" si="28">AD15*AC15</f>
        <v>6.5099615122399355</v>
      </c>
      <c r="AF15" s="55">
        <f t="shared" ref="AF15:AF46" si="29">AD15-AE15</f>
        <v>15.790038487760064</v>
      </c>
      <c r="AG15" s="55">
        <v>22</v>
      </c>
      <c r="AH15" s="55">
        <f t="shared" si="15"/>
        <v>0.29192652521255313</v>
      </c>
      <c r="AI15" s="55">
        <v>3.6</v>
      </c>
      <c r="AJ15" s="55">
        <f t="shared" si="16"/>
        <v>1.0509354907651913</v>
      </c>
      <c r="AL15" s="48">
        <v>41.7</v>
      </c>
      <c r="AM15" s="48">
        <v>27.3</v>
      </c>
      <c r="AN15" s="48">
        <f t="shared" si="17"/>
        <v>14.400000000000002</v>
      </c>
      <c r="AO15" s="53">
        <f t="shared" si="18"/>
        <v>6.1687673275316568</v>
      </c>
      <c r="AP15" s="53">
        <f t="shared" si="19"/>
        <v>21.131232672468343</v>
      </c>
      <c r="AQ15" s="55">
        <f t="shared" si="20"/>
        <v>0.29192652521255313</v>
      </c>
      <c r="AR15" s="48">
        <v>6.3</v>
      </c>
      <c r="AS15" s="53">
        <f t="shared" si="21"/>
        <v>1.8391371088390847</v>
      </c>
      <c r="AU15" s="53">
        <v>78.400000000000006</v>
      </c>
      <c r="AV15" s="53">
        <v>53.1</v>
      </c>
      <c r="AW15" s="53">
        <f t="shared" si="22"/>
        <v>25.300000000000004</v>
      </c>
      <c r="AX15" s="53">
        <f t="shared" si="23"/>
        <v>11.998591395308829</v>
      </c>
      <c r="AY15" s="53">
        <f t="shared" si="24"/>
        <v>41.101408604691173</v>
      </c>
      <c r="AZ15" s="55">
        <f t="shared" si="25"/>
        <v>0.29192652521255319</v>
      </c>
      <c r="BA15" s="53">
        <v>17.7</v>
      </c>
      <c r="BB15" s="53">
        <f t="shared" si="26"/>
        <v>5.1670994962621917</v>
      </c>
      <c r="BE15" s="1" t="s">
        <v>17</v>
      </c>
    </row>
    <row r="16" spans="1:58" ht="14.5" x14ac:dyDescent="0.35">
      <c r="A16" s="48" t="s">
        <v>51</v>
      </c>
      <c r="B16" s="49" t="s">
        <v>15</v>
      </c>
      <c r="C16" s="48" t="str">
        <f t="shared" si="0"/>
        <v>TBC_9-23_G</v>
      </c>
      <c r="D16" s="50">
        <v>45196</v>
      </c>
      <c r="E16" s="47" t="s">
        <v>17</v>
      </c>
      <c r="F16" s="50">
        <v>45275</v>
      </c>
      <c r="G16" s="48"/>
      <c r="H16" s="48" t="str">
        <f t="shared" si="1"/>
        <v>C,N,S</v>
      </c>
      <c r="I16" s="48"/>
      <c r="J16" s="48">
        <v>130.50101010101005</v>
      </c>
      <c r="K16" s="48">
        <v>153.19999999999999</v>
      </c>
      <c r="L16" s="48">
        <f t="shared" si="27"/>
        <v>22.698989898989936</v>
      </c>
      <c r="M16" s="48">
        <f t="shared" si="2"/>
        <v>95.899999999999991</v>
      </c>
      <c r="O16" s="48">
        <f t="shared" si="3"/>
        <v>25.964546402502609</v>
      </c>
      <c r="P16" s="48">
        <f t="shared" si="4"/>
        <v>6.1456619032561237</v>
      </c>
      <c r="Q16" s="94"/>
      <c r="R16" s="48">
        <f t="shared" si="5"/>
        <v>26.277372262773724</v>
      </c>
      <c r="S16" s="48">
        <f t="shared" si="6"/>
        <v>6.2197060225724625</v>
      </c>
      <c r="T16" s="94"/>
      <c r="U16" s="48">
        <f t="shared" si="7"/>
        <v>47.75808133472367</v>
      </c>
      <c r="V16" s="48">
        <f t="shared" si="8"/>
        <v>11.304068882294395</v>
      </c>
      <c r="W16" s="94"/>
      <c r="X16" s="55">
        <v>37.700000000000003</v>
      </c>
      <c r="Y16" s="55">
        <v>24.9</v>
      </c>
      <c r="Z16" s="55">
        <f t="shared" si="9"/>
        <v>12.800000000000004</v>
      </c>
      <c r="AA16" s="55">
        <f t="shared" si="10"/>
        <v>6.1456619032561237</v>
      </c>
      <c r="AB16" s="55">
        <f t="shared" si="11"/>
        <v>18.754338096743876</v>
      </c>
      <c r="AC16" s="55">
        <f t="shared" si="12"/>
        <v>0.32769281813913403</v>
      </c>
      <c r="AD16" s="55">
        <v>16.600000000000001</v>
      </c>
      <c r="AE16" s="55">
        <f t="shared" si="28"/>
        <v>5.4397007811096252</v>
      </c>
      <c r="AF16" s="55">
        <f t="shared" si="29"/>
        <v>11.160299218890376</v>
      </c>
      <c r="AG16" s="55">
        <v>20.2</v>
      </c>
      <c r="AH16" s="55">
        <f t="shared" si="15"/>
        <v>0.32769281813913403</v>
      </c>
      <c r="AI16" s="55">
        <v>3.2</v>
      </c>
      <c r="AJ16" s="55">
        <f t="shared" si="16"/>
        <v>1.048617018045229</v>
      </c>
      <c r="AL16" s="48">
        <v>38.4</v>
      </c>
      <c r="AM16" s="48">
        <v>25.2</v>
      </c>
      <c r="AN16" s="48">
        <f t="shared" si="17"/>
        <v>13.2</v>
      </c>
      <c r="AO16" s="53">
        <f t="shared" si="18"/>
        <v>6.2197060225724625</v>
      </c>
      <c r="AP16" s="53">
        <f t="shared" si="19"/>
        <v>18.980293977427536</v>
      </c>
      <c r="AQ16" s="55">
        <f t="shared" si="20"/>
        <v>0.32769281813913403</v>
      </c>
      <c r="AR16" s="48">
        <v>4.8</v>
      </c>
      <c r="AS16" s="53">
        <f t="shared" si="21"/>
        <v>1.5729255270678433</v>
      </c>
      <c r="AU16" s="53">
        <v>76.900000000000006</v>
      </c>
      <c r="AV16" s="53">
        <v>45.8</v>
      </c>
      <c r="AW16" s="53">
        <f t="shared" si="22"/>
        <v>31.100000000000009</v>
      </c>
      <c r="AX16" s="53">
        <f t="shared" si="23"/>
        <v>11.304068882294395</v>
      </c>
      <c r="AY16" s="53">
        <f t="shared" si="24"/>
        <v>34.495931117705602</v>
      </c>
      <c r="AZ16" s="55">
        <f t="shared" si="25"/>
        <v>0.32769281813913398</v>
      </c>
      <c r="BA16" s="53">
        <v>14.9</v>
      </c>
      <c r="BB16" s="53">
        <f t="shared" si="26"/>
        <v>4.882622990273096</v>
      </c>
      <c r="BE16" s="1" t="s">
        <v>17</v>
      </c>
    </row>
    <row r="17" spans="1:57" ht="14.5" x14ac:dyDescent="0.35">
      <c r="A17" s="48" t="s">
        <v>40</v>
      </c>
      <c r="B17" s="49" t="s">
        <v>15</v>
      </c>
      <c r="C17" s="48" t="str">
        <f t="shared" si="0"/>
        <v>TBCM_9-23_G</v>
      </c>
      <c r="D17" s="50">
        <v>45196</v>
      </c>
      <c r="E17" s="47" t="s">
        <v>17</v>
      </c>
      <c r="F17" s="50">
        <v>45568</v>
      </c>
      <c r="G17" s="48"/>
      <c r="H17" s="48" t="str">
        <f t="shared" si="1"/>
        <v>C,N,S</v>
      </c>
      <c r="I17" s="48"/>
      <c r="J17" s="48">
        <v>130.50101010101005</v>
      </c>
      <c r="K17" s="48">
        <v>149.1</v>
      </c>
      <c r="L17" s="48">
        <f t="shared" si="27"/>
        <v>18.598989898989942</v>
      </c>
      <c r="M17" s="48">
        <f t="shared" si="2"/>
        <v>95.8</v>
      </c>
      <c r="O17" s="48">
        <f t="shared" si="3"/>
        <v>23.277661795407102</v>
      </c>
      <c r="P17" s="48">
        <f t="shared" si="4"/>
        <v>4.5192170835582548</v>
      </c>
      <c r="Q17" s="94"/>
      <c r="R17" s="48">
        <f t="shared" si="5"/>
        <v>26.096033402922757</v>
      </c>
      <c r="S17" s="48">
        <f t="shared" si="6"/>
        <v>5.0663868649756214</v>
      </c>
      <c r="T17" s="94"/>
      <c r="U17" s="48">
        <f t="shared" si="7"/>
        <v>50.626304801670152</v>
      </c>
      <c r="V17" s="48">
        <f t="shared" si="8"/>
        <v>9.8287905180527044</v>
      </c>
      <c r="W17" s="94"/>
      <c r="X17" s="55">
        <v>32.9</v>
      </c>
      <c r="Y17" s="55">
        <v>22.3</v>
      </c>
      <c r="Z17" s="55">
        <f t="shared" si="9"/>
        <v>10.599999999999998</v>
      </c>
      <c r="AA17" s="55">
        <f t="shared" si="10"/>
        <v>4.5192170835582548</v>
      </c>
      <c r="AB17" s="55">
        <f t="shared" si="11"/>
        <v>17.780782916441744</v>
      </c>
      <c r="AC17" s="55">
        <f t="shared" si="12"/>
        <v>0.25416299747855153</v>
      </c>
      <c r="AD17" s="55">
        <v>14</v>
      </c>
      <c r="AE17" s="55">
        <f t="shared" si="28"/>
        <v>3.5582819646997215</v>
      </c>
      <c r="AF17" s="55">
        <f t="shared" si="29"/>
        <v>10.441718035300278</v>
      </c>
      <c r="AG17" s="55">
        <v>14.4</v>
      </c>
      <c r="AH17" s="55">
        <f t="shared" si="15"/>
        <v>0.25416299747855153</v>
      </c>
      <c r="AI17" s="55">
        <v>3.7</v>
      </c>
      <c r="AJ17" s="55">
        <f t="shared" si="16"/>
        <v>0.94040309067064076</v>
      </c>
      <c r="AL17" s="48">
        <v>35.700000000000003</v>
      </c>
      <c r="AM17" s="48">
        <v>25</v>
      </c>
      <c r="AN17" s="48">
        <f t="shared" si="17"/>
        <v>10.700000000000003</v>
      </c>
      <c r="AO17" s="53">
        <f t="shared" si="18"/>
        <v>5.0663868649756214</v>
      </c>
      <c r="AP17" s="53">
        <f t="shared" si="19"/>
        <v>19.93361313502438</v>
      </c>
      <c r="AQ17" s="55">
        <f t="shared" si="20"/>
        <v>0.25416299747855142</v>
      </c>
      <c r="AR17" s="48">
        <v>5.9</v>
      </c>
      <c r="AS17" s="53">
        <f t="shared" si="21"/>
        <v>1.4995616851234534</v>
      </c>
      <c r="AU17" s="53">
        <v>80.5</v>
      </c>
      <c r="AV17" s="53">
        <v>48.5</v>
      </c>
      <c r="AW17" s="53">
        <f t="shared" si="22"/>
        <v>32</v>
      </c>
      <c r="AX17" s="53">
        <f t="shared" si="23"/>
        <v>9.8287905180527044</v>
      </c>
      <c r="AY17" s="53">
        <f t="shared" si="24"/>
        <v>38.671209481947294</v>
      </c>
      <c r="AZ17" s="55">
        <f t="shared" si="25"/>
        <v>0.25416299747855142</v>
      </c>
      <c r="BA17" s="53">
        <v>18.899999999999999</v>
      </c>
      <c r="BB17" s="53">
        <f t="shared" si="26"/>
        <v>4.8036806523446218</v>
      </c>
      <c r="BE17" s="1" t="s">
        <v>17</v>
      </c>
    </row>
    <row r="18" spans="1:57" ht="14.5" x14ac:dyDescent="0.35">
      <c r="A18" s="45" t="s">
        <v>43</v>
      </c>
      <c r="B18" s="46" t="s">
        <v>15</v>
      </c>
      <c r="C18" s="45" t="str">
        <f t="shared" si="0"/>
        <v>GB2_9-23_G</v>
      </c>
      <c r="D18" s="47">
        <v>45196</v>
      </c>
      <c r="E18" s="47" t="s">
        <v>17</v>
      </c>
      <c r="F18" s="47">
        <v>45275</v>
      </c>
      <c r="G18" s="45"/>
      <c r="H18" s="45" t="str">
        <f t="shared" si="1"/>
        <v>C,N,S</v>
      </c>
      <c r="I18" s="45"/>
      <c r="J18" s="45">
        <v>130.50101010101005</v>
      </c>
      <c r="K18" s="45">
        <v>149.5</v>
      </c>
      <c r="L18" s="45">
        <f t="shared" si="27"/>
        <v>18.998989898989947</v>
      </c>
      <c r="M18" s="45">
        <f t="shared" si="2"/>
        <v>101.1</v>
      </c>
      <c r="O18" s="45">
        <f t="shared" si="3"/>
        <v>25.321463897131558</v>
      </c>
      <c r="P18" s="45">
        <f t="shared" si="4"/>
        <v>4.7584790980142548</v>
      </c>
      <c r="Q18" s="94"/>
      <c r="R18" s="45">
        <f t="shared" si="5"/>
        <v>25.420375865479723</v>
      </c>
      <c r="S18" s="45">
        <f t="shared" si="6"/>
        <v>4.7770669069908722</v>
      </c>
      <c r="T18" s="94"/>
      <c r="U18" s="45">
        <f t="shared" si="7"/>
        <v>49.258160237388729</v>
      </c>
      <c r="V18" s="45">
        <f t="shared" si="8"/>
        <v>9.2567288703558539</v>
      </c>
      <c r="W18" s="94"/>
      <c r="X18" s="54">
        <v>38.299999999999997</v>
      </c>
      <c r="Y18" s="54">
        <v>25.6</v>
      </c>
      <c r="Z18" s="54">
        <f t="shared" si="9"/>
        <v>12.699999999999996</v>
      </c>
      <c r="AA18" s="54">
        <f t="shared" si="10"/>
        <v>4.7584790980142548</v>
      </c>
      <c r="AB18" s="54">
        <f t="shared" si="11"/>
        <v>20.841520901985746</v>
      </c>
      <c r="AC18" s="54">
        <f t="shared" si="12"/>
        <v>0.22831726726627108</v>
      </c>
      <c r="AD18" s="54">
        <v>17.2</v>
      </c>
      <c r="AE18" s="54">
        <f t="shared" si="28"/>
        <v>3.9270569969798625</v>
      </c>
      <c r="AF18" s="54">
        <f t="shared" si="29"/>
        <v>13.272943003020137</v>
      </c>
      <c r="AG18" s="54">
        <v>17.8</v>
      </c>
      <c r="AH18" s="54">
        <f t="shared" si="15"/>
        <v>0.22831726726627108</v>
      </c>
      <c r="AI18" s="54">
        <v>3.7</v>
      </c>
      <c r="AJ18" s="54">
        <f t="shared" si="16"/>
        <v>0.84477388888520299</v>
      </c>
      <c r="AL18" s="45">
        <v>39.1</v>
      </c>
      <c r="AM18" s="45">
        <v>25.7</v>
      </c>
      <c r="AN18" s="45">
        <f t="shared" si="17"/>
        <v>13.400000000000002</v>
      </c>
      <c r="AO18" s="52">
        <f t="shared" si="18"/>
        <v>4.7770669069908722</v>
      </c>
      <c r="AP18" s="52">
        <f t="shared" si="19"/>
        <v>20.922933093009128</v>
      </c>
      <c r="AQ18" s="54">
        <f t="shared" si="20"/>
        <v>0.22831726726627105</v>
      </c>
      <c r="AR18" s="45">
        <v>8.8000000000000007</v>
      </c>
      <c r="AS18" s="52">
        <f t="shared" si="21"/>
        <v>2.0091919519431856</v>
      </c>
      <c r="AU18" s="52">
        <v>71.8</v>
      </c>
      <c r="AV18" s="52">
        <v>49.8</v>
      </c>
      <c r="AW18" s="52">
        <f t="shared" si="22"/>
        <v>22</v>
      </c>
      <c r="AX18" s="52">
        <f t="shared" si="23"/>
        <v>9.2567288703558539</v>
      </c>
      <c r="AY18" s="52">
        <f t="shared" si="24"/>
        <v>40.54327112964414</v>
      </c>
      <c r="AZ18" s="54">
        <f t="shared" si="25"/>
        <v>0.22831726726627111</v>
      </c>
      <c r="BA18" s="52">
        <v>21.2</v>
      </c>
      <c r="BB18" s="52">
        <f t="shared" si="26"/>
        <v>4.8403260660449474</v>
      </c>
      <c r="BE18" s="1" t="s">
        <v>17</v>
      </c>
    </row>
    <row r="19" spans="1:57" ht="14.5" x14ac:dyDescent="0.35">
      <c r="A19" s="48" t="s">
        <v>39</v>
      </c>
      <c r="B19" s="49" t="s">
        <v>15</v>
      </c>
      <c r="C19" s="48" t="str">
        <f t="shared" si="0"/>
        <v>TBHM_9-23_G</v>
      </c>
      <c r="D19" s="50">
        <v>45196</v>
      </c>
      <c r="E19" s="50" t="s">
        <v>17</v>
      </c>
      <c r="F19" s="50">
        <v>45568</v>
      </c>
      <c r="G19" s="48"/>
      <c r="H19" s="48" t="str">
        <f t="shared" si="1"/>
        <v>C,N,S</v>
      </c>
      <c r="I19" s="48"/>
      <c r="J19" s="48">
        <v>130.50101010101005</v>
      </c>
      <c r="K19" s="48">
        <v>144.69999999999999</v>
      </c>
      <c r="L19" s="48">
        <f t="shared" si="27"/>
        <v>14.198989898989936</v>
      </c>
      <c r="M19" s="48">
        <f t="shared" si="2"/>
        <v>101.4</v>
      </c>
      <c r="O19" s="48">
        <f t="shared" si="3"/>
        <v>26.429980276134124</v>
      </c>
      <c r="P19" s="48">
        <f t="shared" si="4"/>
        <v>3.7009765579026785</v>
      </c>
      <c r="Q19" s="94"/>
      <c r="R19" s="48">
        <f t="shared" si="5"/>
        <v>24.950690335305719</v>
      </c>
      <c r="S19" s="48">
        <f t="shared" si="6"/>
        <v>3.4938323475723045</v>
      </c>
      <c r="T19" s="94"/>
      <c r="U19" s="48">
        <f t="shared" si="7"/>
        <v>48.619329388560153</v>
      </c>
      <c r="V19" s="48">
        <f t="shared" si="8"/>
        <v>6.808139712858285</v>
      </c>
      <c r="W19" s="94"/>
      <c r="X19" s="55">
        <v>33.5</v>
      </c>
      <c r="Y19" s="55">
        <v>26.8</v>
      </c>
      <c r="Z19" s="55">
        <f t="shared" si="9"/>
        <v>6.6999999999999993</v>
      </c>
      <c r="AA19" s="55">
        <f t="shared" si="10"/>
        <v>3.7009765579026785</v>
      </c>
      <c r="AB19" s="55">
        <f t="shared" si="11"/>
        <v>23.099023442097323</v>
      </c>
      <c r="AC19" s="55">
        <f t="shared" si="12"/>
        <v>0.16022220883839411</v>
      </c>
      <c r="AD19" s="55">
        <v>20.9</v>
      </c>
      <c r="AE19" s="55">
        <f t="shared" si="28"/>
        <v>3.3486441647224368</v>
      </c>
      <c r="AF19" s="55">
        <f t="shared" si="29"/>
        <v>17.551355835277562</v>
      </c>
      <c r="AG19" s="55">
        <v>21.3</v>
      </c>
      <c r="AH19" s="55">
        <f t="shared" si="15"/>
        <v>0.16022220883839411</v>
      </c>
      <c r="AI19" s="55">
        <v>4.9000000000000004</v>
      </c>
      <c r="AJ19" s="55">
        <f t="shared" si="16"/>
        <v>0.78508882330813123</v>
      </c>
      <c r="AL19" s="48">
        <v>36.200000000000003</v>
      </c>
      <c r="AM19" s="48">
        <v>25.3</v>
      </c>
      <c r="AN19" s="48">
        <f t="shared" si="17"/>
        <v>10.900000000000002</v>
      </c>
      <c r="AO19" s="53">
        <f t="shared" si="18"/>
        <v>3.4938323475723045</v>
      </c>
      <c r="AP19" s="53">
        <f t="shared" si="19"/>
        <v>21.806167652427696</v>
      </c>
      <c r="AQ19" s="55">
        <f t="shared" si="20"/>
        <v>0.16022220883839411</v>
      </c>
      <c r="AR19" s="48">
        <v>10.199999999999999</v>
      </c>
      <c r="AS19" s="53">
        <f t="shared" si="21"/>
        <v>1.6342665301516197</v>
      </c>
      <c r="AU19" s="53">
        <v>74.599999999999994</v>
      </c>
      <c r="AV19" s="53">
        <v>49.3</v>
      </c>
      <c r="AW19" s="53">
        <f t="shared" si="22"/>
        <v>25.299999999999997</v>
      </c>
      <c r="AX19" s="53">
        <f t="shared" si="23"/>
        <v>6.808139712858285</v>
      </c>
      <c r="AY19" s="53">
        <f t="shared" si="24"/>
        <v>42.491860287141712</v>
      </c>
      <c r="AZ19" s="55">
        <f t="shared" si="25"/>
        <v>0.16022220883839411</v>
      </c>
      <c r="BA19" s="53">
        <v>28.4</v>
      </c>
      <c r="BB19" s="53">
        <f t="shared" si="26"/>
        <v>4.5503107310103923</v>
      </c>
      <c r="BE19" s="1" t="s">
        <v>17</v>
      </c>
    </row>
    <row r="20" spans="1:57" ht="14.5" x14ac:dyDescent="0.35">
      <c r="A20" s="48" t="s">
        <v>44</v>
      </c>
      <c r="B20" s="49" t="s">
        <v>15</v>
      </c>
      <c r="C20" s="48" t="str">
        <f t="shared" si="0"/>
        <v>RB_9-23_G</v>
      </c>
      <c r="D20" s="50">
        <v>45196</v>
      </c>
      <c r="E20" s="50" t="s">
        <v>17</v>
      </c>
      <c r="F20" s="50">
        <v>45275</v>
      </c>
      <c r="G20" s="48"/>
      <c r="H20" s="48" t="str">
        <f t="shared" si="1"/>
        <v>C,N,S</v>
      </c>
      <c r="I20" s="48"/>
      <c r="J20" s="48">
        <v>130.50101010101005</v>
      </c>
      <c r="K20" s="48">
        <v>142.1</v>
      </c>
      <c r="L20" s="48">
        <f t="shared" si="27"/>
        <v>11.598989898989942</v>
      </c>
      <c r="M20" s="48">
        <f t="shared" si="2"/>
        <v>91.9</v>
      </c>
      <c r="O20" s="48">
        <f t="shared" si="3"/>
        <v>25.462459194776926</v>
      </c>
      <c r="P20" s="48">
        <f t="shared" si="4"/>
        <v>3.2136975734892395</v>
      </c>
      <c r="Q20" s="94"/>
      <c r="R20" s="48">
        <f t="shared" si="5"/>
        <v>24.374319912948856</v>
      </c>
      <c r="S20" s="48">
        <f t="shared" si="6"/>
        <v>3.0763600703486738</v>
      </c>
      <c r="T20" s="94"/>
      <c r="U20" s="48">
        <f t="shared" si="7"/>
        <v>50.163220892274211</v>
      </c>
      <c r="V20" s="48">
        <f t="shared" si="8"/>
        <v>6.3312588947800847</v>
      </c>
      <c r="W20" s="94"/>
      <c r="X20" s="55">
        <v>37.6</v>
      </c>
      <c r="Y20" s="55">
        <v>23.4</v>
      </c>
      <c r="Z20" s="55">
        <f t="shared" si="9"/>
        <v>14.200000000000003</v>
      </c>
      <c r="AA20" s="55">
        <f t="shared" si="10"/>
        <v>3.2136975734892395</v>
      </c>
      <c r="AB20" s="55">
        <f t="shared" si="11"/>
        <v>20.18630242651076</v>
      </c>
      <c r="AC20" s="55">
        <f t="shared" si="12"/>
        <v>0.15920189371921209</v>
      </c>
      <c r="AD20" s="55">
        <v>20.100000000000001</v>
      </c>
      <c r="AE20" s="55">
        <f t="shared" si="28"/>
        <v>3.1999580637561631</v>
      </c>
      <c r="AF20" s="55">
        <f t="shared" si="29"/>
        <v>16.900041936243838</v>
      </c>
      <c r="AG20" s="55">
        <v>19.600000000000001</v>
      </c>
      <c r="AH20" s="55">
        <f t="shared" si="15"/>
        <v>0.15920189371921209</v>
      </c>
      <c r="AI20" s="55">
        <v>5.3</v>
      </c>
      <c r="AJ20" s="55">
        <f t="shared" si="16"/>
        <v>0.84377003671182405</v>
      </c>
      <c r="AL20" s="48">
        <v>36.9</v>
      </c>
      <c r="AM20" s="48">
        <v>22.4</v>
      </c>
      <c r="AN20" s="48">
        <f t="shared" si="17"/>
        <v>14.5</v>
      </c>
      <c r="AO20" s="53">
        <f t="shared" si="18"/>
        <v>3.0763600703486738</v>
      </c>
      <c r="AP20" s="53">
        <f t="shared" si="19"/>
        <v>19.323639929651325</v>
      </c>
      <c r="AQ20" s="55">
        <f t="shared" si="20"/>
        <v>0.15920189371921212</v>
      </c>
      <c r="AR20" s="48">
        <v>9.8000000000000007</v>
      </c>
      <c r="AS20" s="53">
        <f t="shared" si="21"/>
        <v>1.5601785584482788</v>
      </c>
      <c r="AU20" s="53">
        <v>67.7</v>
      </c>
      <c r="AV20" s="53">
        <v>46.1</v>
      </c>
      <c r="AW20" s="53">
        <f t="shared" si="22"/>
        <v>21.6</v>
      </c>
      <c r="AX20" s="53">
        <f t="shared" si="23"/>
        <v>6.3312588947800847</v>
      </c>
      <c r="AY20" s="53">
        <f t="shared" si="24"/>
        <v>39.768741105219917</v>
      </c>
      <c r="AZ20" s="55">
        <f t="shared" si="25"/>
        <v>0.15920189371921215</v>
      </c>
      <c r="BA20" s="53">
        <v>28.3</v>
      </c>
      <c r="BB20" s="53">
        <f t="shared" si="26"/>
        <v>4.5054135922537037</v>
      </c>
      <c r="BE20" s="1" t="s">
        <v>17</v>
      </c>
    </row>
    <row r="21" spans="1:57" ht="14.5" x14ac:dyDescent="0.35">
      <c r="A21" s="48" t="s">
        <v>41</v>
      </c>
      <c r="B21" s="49" t="s">
        <v>15</v>
      </c>
      <c r="C21" s="48" t="str">
        <f t="shared" si="0"/>
        <v>TB1_9-23_G</v>
      </c>
      <c r="D21" s="50">
        <v>45196</v>
      </c>
      <c r="E21" s="50" t="s">
        <v>17</v>
      </c>
      <c r="F21" s="50">
        <v>45275</v>
      </c>
      <c r="G21" s="48"/>
      <c r="H21" s="48" t="str">
        <f t="shared" si="1"/>
        <v>C,N,S</v>
      </c>
      <c r="I21" s="48"/>
      <c r="J21" s="48">
        <v>130.50101010101005</v>
      </c>
      <c r="K21" s="48">
        <v>141.5</v>
      </c>
      <c r="L21" s="48">
        <f t="shared" si="27"/>
        <v>10.998989898989947</v>
      </c>
      <c r="M21" s="48">
        <f t="shared" si="2"/>
        <v>90.1</v>
      </c>
      <c r="O21" s="48">
        <f t="shared" si="3"/>
        <v>26.415094339622641</v>
      </c>
      <c r="P21" s="48">
        <f t="shared" si="4"/>
        <v>3.2246321400929632</v>
      </c>
      <c r="Q21" s="94"/>
      <c r="R21" s="48">
        <f t="shared" si="5"/>
        <v>23.30743618201998</v>
      </c>
      <c r="S21" s="48">
        <f t="shared" si="6"/>
        <v>2.8452636530232032</v>
      </c>
      <c r="T21" s="94"/>
      <c r="U21" s="48">
        <f t="shared" si="7"/>
        <v>50.277469478357382</v>
      </c>
      <c r="V21" s="48">
        <f t="shared" si="8"/>
        <v>6.1376401658071948</v>
      </c>
      <c r="W21" s="94"/>
      <c r="X21" s="55">
        <v>39.200000000000003</v>
      </c>
      <c r="Y21" s="55">
        <v>23.8</v>
      </c>
      <c r="Z21" s="55">
        <f t="shared" si="9"/>
        <v>15.400000000000002</v>
      </c>
      <c r="AA21" s="55">
        <f t="shared" si="10"/>
        <v>3.2246321400929632</v>
      </c>
      <c r="AB21" s="55">
        <f t="shared" si="11"/>
        <v>20.575367859907036</v>
      </c>
      <c r="AC21" s="55">
        <f t="shared" si="12"/>
        <v>0.15672293987882716</v>
      </c>
      <c r="AD21" s="55">
        <v>19.7</v>
      </c>
      <c r="AE21" s="55">
        <f t="shared" si="28"/>
        <v>3.0874419156128949</v>
      </c>
      <c r="AF21" s="55">
        <f t="shared" si="29"/>
        <v>16.612558084387103</v>
      </c>
      <c r="AG21" s="55">
        <v>20.100000000000001</v>
      </c>
      <c r="AH21" s="55">
        <f t="shared" si="15"/>
        <v>0.15672293987882716</v>
      </c>
      <c r="AI21" s="55">
        <v>6</v>
      </c>
      <c r="AJ21" s="55">
        <f t="shared" si="16"/>
        <v>0.94033763927296299</v>
      </c>
      <c r="AL21" s="48">
        <v>33.6</v>
      </c>
      <c r="AM21" s="48">
        <v>21</v>
      </c>
      <c r="AN21" s="48">
        <f t="shared" si="17"/>
        <v>12.600000000000001</v>
      </c>
      <c r="AO21" s="53">
        <f t="shared" si="18"/>
        <v>2.8452636530232032</v>
      </c>
      <c r="AP21" s="53">
        <f t="shared" si="19"/>
        <v>18.154736346976797</v>
      </c>
      <c r="AQ21" s="55">
        <f t="shared" si="20"/>
        <v>0.15672293987882718</v>
      </c>
      <c r="AR21" s="48">
        <v>9.1</v>
      </c>
      <c r="AS21" s="53">
        <f t="shared" si="21"/>
        <v>1.4261787528973273</v>
      </c>
      <c r="AU21" s="53">
        <v>68.5</v>
      </c>
      <c r="AV21" s="53">
        <v>45.3</v>
      </c>
      <c r="AW21" s="53">
        <f t="shared" si="22"/>
        <v>23.200000000000003</v>
      </c>
      <c r="AX21" s="53">
        <f t="shared" si="23"/>
        <v>6.1376401658071948</v>
      </c>
      <c r="AY21" s="53">
        <f t="shared" si="24"/>
        <v>39.162359834192799</v>
      </c>
      <c r="AZ21" s="55">
        <f t="shared" si="25"/>
        <v>0.15672293987882718</v>
      </c>
      <c r="BA21" s="53">
        <v>29.9</v>
      </c>
      <c r="BB21" s="53">
        <f t="shared" si="26"/>
        <v>4.6860159023769326</v>
      </c>
      <c r="BE21" s="1" t="s">
        <v>17</v>
      </c>
    </row>
    <row r="22" spans="1:57" ht="14.5" x14ac:dyDescent="0.35">
      <c r="A22" s="45" t="s">
        <v>37</v>
      </c>
      <c r="B22" s="46" t="s">
        <v>15</v>
      </c>
      <c r="C22" s="45" t="str">
        <f t="shared" si="0"/>
        <v>MCS3_9-23_G</v>
      </c>
      <c r="D22" s="47">
        <v>45196</v>
      </c>
      <c r="E22" s="47" t="s">
        <v>109</v>
      </c>
      <c r="F22" s="47">
        <v>45275</v>
      </c>
      <c r="G22" s="45"/>
      <c r="H22" s="45" t="str">
        <f t="shared" si="1"/>
        <v>C,N,S</v>
      </c>
      <c r="I22" s="45">
        <v>134</v>
      </c>
      <c r="J22" s="45"/>
      <c r="K22" s="45">
        <v>162.30000000000001</v>
      </c>
      <c r="L22" s="45">
        <f>K22-I22</f>
        <v>28.300000000000011</v>
      </c>
      <c r="M22" s="45">
        <f t="shared" si="2"/>
        <v>109.80000000000001</v>
      </c>
      <c r="O22" s="45">
        <f t="shared" si="3"/>
        <v>24.681238615664842</v>
      </c>
      <c r="P22" s="45">
        <f t="shared" si="4"/>
        <v>6.3613757087733633</v>
      </c>
      <c r="Q22" s="94"/>
      <c r="R22" s="45">
        <f t="shared" si="5"/>
        <v>24.13479052823315</v>
      </c>
      <c r="S22" s="45">
        <f t="shared" si="6"/>
        <v>6.2205334421584544</v>
      </c>
      <c r="T22" s="94"/>
      <c r="U22" s="45">
        <f t="shared" si="7"/>
        <v>51.183970856102</v>
      </c>
      <c r="V22" s="45">
        <f t="shared" si="8"/>
        <v>13.192225639596421</v>
      </c>
      <c r="W22" s="94"/>
      <c r="X22" s="54">
        <v>42.8</v>
      </c>
      <c r="Y22" s="54">
        <v>27.1</v>
      </c>
      <c r="Z22" s="54">
        <f t="shared" si="9"/>
        <v>15.699999999999996</v>
      </c>
      <c r="AA22" s="54">
        <f t="shared" si="10"/>
        <v>6.3613757087733633</v>
      </c>
      <c r="AB22" s="54">
        <f t="shared" si="11"/>
        <v>20.738624291226639</v>
      </c>
      <c r="AC22" s="54">
        <f t="shared" si="12"/>
        <v>0.3067404867093575</v>
      </c>
      <c r="AD22" s="54">
        <v>16.8</v>
      </c>
      <c r="AE22" s="54">
        <f t="shared" si="28"/>
        <v>5.1532401767172065</v>
      </c>
      <c r="AF22" s="54">
        <f t="shared" si="29"/>
        <v>11.646759823282794</v>
      </c>
      <c r="AG22" s="54">
        <v>18.7</v>
      </c>
      <c r="AH22" s="54">
        <f t="shared" si="15"/>
        <v>0.3067404867093575</v>
      </c>
      <c r="AI22" s="54">
        <v>3.3</v>
      </c>
      <c r="AJ22" s="54">
        <f t="shared" si="16"/>
        <v>1.0122436061408797</v>
      </c>
      <c r="AL22" s="45">
        <v>39.1</v>
      </c>
      <c r="AM22" s="45">
        <v>26.5</v>
      </c>
      <c r="AN22" s="45">
        <f t="shared" si="17"/>
        <v>12.600000000000001</v>
      </c>
      <c r="AO22" s="52">
        <f t="shared" si="18"/>
        <v>6.2205334421584544</v>
      </c>
      <c r="AP22" s="52">
        <f t="shared" si="19"/>
        <v>20.279466557841545</v>
      </c>
      <c r="AQ22" s="54">
        <f t="shared" si="20"/>
        <v>0.3067404867093575</v>
      </c>
      <c r="AR22" s="45">
        <v>4.9000000000000004</v>
      </c>
      <c r="AS22" s="52">
        <f t="shared" si="21"/>
        <v>1.5030283848758519</v>
      </c>
      <c r="AU22" s="52">
        <v>80</v>
      </c>
      <c r="AV22" s="52">
        <v>56.2</v>
      </c>
      <c r="AW22" s="52">
        <f t="shared" si="22"/>
        <v>23.799999999999997</v>
      </c>
      <c r="AX22" s="52">
        <f t="shared" si="23"/>
        <v>13.192225639596421</v>
      </c>
      <c r="AY22" s="52">
        <f t="shared" si="24"/>
        <v>43.00777436040358</v>
      </c>
      <c r="AZ22" s="54">
        <f t="shared" si="25"/>
        <v>0.3067404867093575</v>
      </c>
      <c r="BA22" s="52">
        <v>17.5</v>
      </c>
      <c r="BB22" s="52">
        <f t="shared" si="26"/>
        <v>5.3679585174137561</v>
      </c>
      <c r="BE22" s="1" t="s">
        <v>17</v>
      </c>
    </row>
    <row r="23" spans="1:57" ht="14.5" x14ac:dyDescent="0.35">
      <c r="A23" s="45" t="s">
        <v>38</v>
      </c>
      <c r="B23" s="46" t="s">
        <v>15</v>
      </c>
      <c r="C23" s="45" t="str">
        <f t="shared" si="0"/>
        <v>MCS4_9-23_G</v>
      </c>
      <c r="D23" s="47">
        <v>45196</v>
      </c>
      <c r="E23" s="47" t="s">
        <v>109</v>
      </c>
      <c r="F23" s="47">
        <v>45275</v>
      </c>
      <c r="G23" s="45"/>
      <c r="H23" s="45" t="str">
        <f t="shared" si="1"/>
        <v>C,N,S</v>
      </c>
      <c r="I23" s="45">
        <v>134.19999999999999</v>
      </c>
      <c r="J23" s="45"/>
      <c r="K23" s="45">
        <v>168.3</v>
      </c>
      <c r="L23" s="45">
        <f>K23-I23</f>
        <v>34.100000000000023</v>
      </c>
      <c r="M23" s="45">
        <f t="shared" si="2"/>
        <v>115.60000000000001</v>
      </c>
      <c r="O23" s="45">
        <f t="shared" si="3"/>
        <v>26.47058823529412</v>
      </c>
      <c r="P23" s="45">
        <f t="shared" si="4"/>
        <v>7.8083655607571805</v>
      </c>
      <c r="Q23" s="94"/>
      <c r="R23" s="45">
        <f t="shared" si="5"/>
        <v>27.076124567474047</v>
      </c>
      <c r="S23" s="45">
        <f t="shared" si="6"/>
        <v>7.9869883023431276</v>
      </c>
      <c r="T23" s="94"/>
      <c r="U23" s="45">
        <f t="shared" si="7"/>
        <v>46.453287197231838</v>
      </c>
      <c r="V23" s="45">
        <f t="shared" si="8"/>
        <v>13.702916033093484</v>
      </c>
      <c r="W23" s="94"/>
      <c r="X23" s="54">
        <v>46.3</v>
      </c>
      <c r="Y23" s="54">
        <v>30.6</v>
      </c>
      <c r="Z23" s="54">
        <f t="shared" si="9"/>
        <v>15.699999999999996</v>
      </c>
      <c r="AA23" s="54">
        <f t="shared" si="10"/>
        <v>7.8083655607571805</v>
      </c>
      <c r="AB23" s="54">
        <f t="shared" si="11"/>
        <v>22.79163443924282</v>
      </c>
      <c r="AC23" s="54">
        <f t="shared" si="12"/>
        <v>0.34259787649597756</v>
      </c>
      <c r="AD23" s="54">
        <v>17.3</v>
      </c>
      <c r="AE23" s="54">
        <f t="shared" si="28"/>
        <v>5.9269432633804122</v>
      </c>
      <c r="AF23" s="54">
        <f t="shared" si="29"/>
        <v>11.373056736619588</v>
      </c>
      <c r="AG23" s="54">
        <v>19.3</v>
      </c>
      <c r="AH23" s="54">
        <f t="shared" si="15"/>
        <v>0.34259787649597756</v>
      </c>
      <c r="AI23" s="54">
        <v>3.3</v>
      </c>
      <c r="AJ23" s="54">
        <f t="shared" si="16"/>
        <v>1.1305729924367258</v>
      </c>
      <c r="AL23" s="45">
        <v>42.6</v>
      </c>
      <c r="AM23" s="45">
        <v>31.3</v>
      </c>
      <c r="AN23" s="45">
        <f t="shared" si="17"/>
        <v>11.3</v>
      </c>
      <c r="AO23" s="52">
        <f t="shared" si="18"/>
        <v>7.9869883023431276</v>
      </c>
      <c r="AP23" s="52">
        <f t="shared" si="19"/>
        <v>23.313011697656872</v>
      </c>
      <c r="AQ23" s="54">
        <f t="shared" si="20"/>
        <v>0.3425978764959775</v>
      </c>
      <c r="AR23" s="45">
        <v>4.9000000000000004</v>
      </c>
      <c r="AS23" s="52">
        <f t="shared" si="21"/>
        <v>1.6787295948302898</v>
      </c>
      <c r="AU23" s="52">
        <v>79.2</v>
      </c>
      <c r="AV23" s="52">
        <v>53.7</v>
      </c>
      <c r="AW23" s="52">
        <f t="shared" si="22"/>
        <v>25.5</v>
      </c>
      <c r="AX23" s="52">
        <f t="shared" si="23"/>
        <v>13.702916033093484</v>
      </c>
      <c r="AY23" s="52">
        <f t="shared" si="24"/>
        <v>39.997083966906516</v>
      </c>
      <c r="AZ23" s="54">
        <f t="shared" si="25"/>
        <v>0.34259787649597756</v>
      </c>
      <c r="BA23" s="52">
        <v>15.4</v>
      </c>
      <c r="BB23" s="52">
        <f t="shared" si="26"/>
        <v>5.2760072980380546</v>
      </c>
      <c r="BE23" s="1" t="s">
        <v>17</v>
      </c>
    </row>
    <row r="24" spans="1:57" ht="14.5" x14ac:dyDescent="0.35">
      <c r="A24" s="45" t="s">
        <v>35</v>
      </c>
      <c r="B24" s="46" t="s">
        <v>15</v>
      </c>
      <c r="C24" s="45" t="str">
        <f t="shared" si="0"/>
        <v>MCS1_9-23_G</v>
      </c>
      <c r="D24" s="47">
        <v>45196</v>
      </c>
      <c r="E24" s="47" t="s">
        <v>109</v>
      </c>
      <c r="F24" s="47">
        <v>45275</v>
      </c>
      <c r="G24" s="45"/>
      <c r="H24" s="45" t="str">
        <f t="shared" si="1"/>
        <v>C,N,S</v>
      </c>
      <c r="I24" s="45">
        <v>133.30000000000001</v>
      </c>
      <c r="J24" s="45"/>
      <c r="K24" s="45">
        <v>170.8</v>
      </c>
      <c r="L24" s="45">
        <f>K24-I24</f>
        <v>37.5</v>
      </c>
      <c r="M24" s="45">
        <f t="shared" si="2"/>
        <v>118.6</v>
      </c>
      <c r="O24" s="45">
        <f t="shared" si="3"/>
        <v>25.295109612141651</v>
      </c>
      <c r="P24" s="45">
        <f t="shared" si="4"/>
        <v>7.998032128628263</v>
      </c>
      <c r="Q24" s="94"/>
      <c r="R24" s="45">
        <f t="shared" si="5"/>
        <v>26.138279932546375</v>
      </c>
      <c r="S24" s="45">
        <f t="shared" si="6"/>
        <v>8.2646331995825388</v>
      </c>
      <c r="T24" s="94"/>
      <c r="U24" s="45">
        <f t="shared" si="7"/>
        <v>48.566610455311974</v>
      </c>
      <c r="V24" s="45">
        <f t="shared" si="8"/>
        <v>15.356221686966265</v>
      </c>
      <c r="W24" s="94"/>
      <c r="X24" s="54">
        <v>47.4</v>
      </c>
      <c r="Y24" s="54">
        <v>30</v>
      </c>
      <c r="Z24" s="54">
        <f t="shared" si="9"/>
        <v>17.399999999999999</v>
      </c>
      <c r="AA24" s="54">
        <f t="shared" si="10"/>
        <v>7.998032128628263</v>
      </c>
      <c r="AB24" s="54">
        <f t="shared" si="11"/>
        <v>22.001967871371736</v>
      </c>
      <c r="AC24" s="54">
        <f t="shared" si="12"/>
        <v>0.36351439904768923</v>
      </c>
      <c r="AD24" s="54">
        <v>16.399999999999999</v>
      </c>
      <c r="AE24" s="54">
        <f t="shared" si="28"/>
        <v>5.9616361443821031</v>
      </c>
      <c r="AF24" s="54">
        <f t="shared" si="29"/>
        <v>10.438363855617895</v>
      </c>
      <c r="AG24" s="54">
        <v>20.5</v>
      </c>
      <c r="AH24" s="54">
        <f t="shared" si="15"/>
        <v>0.36351439904768923</v>
      </c>
      <c r="AI24" s="54">
        <v>2.9</v>
      </c>
      <c r="AJ24" s="54">
        <f t="shared" si="16"/>
        <v>1.0541917572382988</v>
      </c>
      <c r="AL24" s="45">
        <v>38.200000000000003</v>
      </c>
      <c r="AM24" s="45">
        <v>31</v>
      </c>
      <c r="AN24" s="45">
        <f t="shared" si="17"/>
        <v>7.2000000000000028</v>
      </c>
      <c r="AO24" s="52">
        <f t="shared" si="18"/>
        <v>8.2646331995825388</v>
      </c>
      <c r="AP24" s="52">
        <f t="shared" si="19"/>
        <v>22.735366800417459</v>
      </c>
      <c r="AQ24" s="54">
        <f t="shared" si="20"/>
        <v>0.36351439904768929</v>
      </c>
      <c r="AR24" s="45">
        <v>5.2</v>
      </c>
      <c r="AS24" s="52">
        <f t="shared" si="21"/>
        <v>1.8902748750479843</v>
      </c>
      <c r="AU24" s="52">
        <v>85.1</v>
      </c>
      <c r="AV24" s="52">
        <v>57.6</v>
      </c>
      <c r="AW24" s="52">
        <f t="shared" si="22"/>
        <v>27.499999999999993</v>
      </c>
      <c r="AX24" s="52">
        <f t="shared" si="23"/>
        <v>15.356221686966265</v>
      </c>
      <c r="AY24" s="52">
        <f t="shared" si="24"/>
        <v>42.243778313033737</v>
      </c>
      <c r="AZ24" s="54">
        <f t="shared" si="25"/>
        <v>0.36351439904768923</v>
      </c>
      <c r="BA24" s="52">
        <v>14.5</v>
      </c>
      <c r="BB24" s="52">
        <f t="shared" si="26"/>
        <v>5.2709587861914935</v>
      </c>
      <c r="BE24" s="1" t="s">
        <v>17</v>
      </c>
    </row>
    <row r="25" spans="1:57" ht="14.5" x14ac:dyDescent="0.35">
      <c r="A25" s="45" t="s">
        <v>36</v>
      </c>
      <c r="B25" s="46" t="s">
        <v>15</v>
      </c>
      <c r="C25" s="45" t="str">
        <f t="shared" si="0"/>
        <v>MCS2_9-23_G</v>
      </c>
      <c r="D25" s="47">
        <v>45196</v>
      </c>
      <c r="E25" s="47" t="s">
        <v>109</v>
      </c>
      <c r="F25" s="47">
        <v>45275</v>
      </c>
      <c r="G25" s="45"/>
      <c r="H25" s="45" t="str">
        <f t="shared" si="1"/>
        <v>C,N,S</v>
      </c>
      <c r="I25" s="45">
        <v>133.4</v>
      </c>
      <c r="J25" s="45"/>
      <c r="K25" s="45">
        <v>155.9</v>
      </c>
      <c r="L25" s="45">
        <f>K25-I25</f>
        <v>22.5</v>
      </c>
      <c r="M25" s="45">
        <f t="shared" si="2"/>
        <v>114.4</v>
      </c>
      <c r="O25" s="45">
        <f t="shared" si="3"/>
        <v>27.97202797202797</v>
      </c>
      <c r="P25" s="45">
        <f t="shared" si="4"/>
        <v>5.5014915154775288</v>
      </c>
      <c r="Q25" s="94"/>
      <c r="R25" s="45">
        <f t="shared" si="5"/>
        <v>21.15384615384615</v>
      </c>
      <c r="S25" s="45">
        <f t="shared" si="6"/>
        <v>4.1605029585798805</v>
      </c>
      <c r="T25" s="94"/>
      <c r="U25" s="45">
        <f t="shared" si="7"/>
        <v>50.874125874125873</v>
      </c>
      <c r="V25" s="45">
        <f t="shared" si="8"/>
        <v>10.005837693774756</v>
      </c>
      <c r="W25" s="94"/>
      <c r="X25" s="54">
        <v>40.6</v>
      </c>
      <c r="Y25" s="54">
        <v>32</v>
      </c>
      <c r="Z25" s="54">
        <f t="shared" si="9"/>
        <v>8.6000000000000014</v>
      </c>
      <c r="AA25" s="54">
        <f t="shared" si="10"/>
        <v>5.5014915154775288</v>
      </c>
      <c r="AB25" s="54">
        <f t="shared" si="11"/>
        <v>26.498508484522471</v>
      </c>
      <c r="AC25" s="54">
        <f t="shared" si="12"/>
        <v>0.20761513874227669</v>
      </c>
      <c r="AD25" s="54">
        <v>16.5</v>
      </c>
      <c r="AE25" s="54">
        <f t="shared" si="28"/>
        <v>3.4256497892475655</v>
      </c>
      <c r="AF25" s="54">
        <f t="shared" si="29"/>
        <v>13.074350210752435</v>
      </c>
      <c r="AG25" s="54">
        <v>21.7</v>
      </c>
      <c r="AH25" s="54">
        <f t="shared" si="15"/>
        <v>0.20761513874227669</v>
      </c>
      <c r="AI25" s="54">
        <v>4.4000000000000004</v>
      </c>
      <c r="AJ25" s="54">
        <f t="shared" si="16"/>
        <v>0.91350661046601755</v>
      </c>
      <c r="AL25" s="45">
        <v>36.9</v>
      </c>
      <c r="AM25" s="45">
        <v>24.2</v>
      </c>
      <c r="AN25" s="45">
        <f t="shared" si="17"/>
        <v>12.7</v>
      </c>
      <c r="AO25" s="52">
        <f t="shared" si="18"/>
        <v>4.1605029585798805</v>
      </c>
      <c r="AP25" s="52">
        <f t="shared" si="19"/>
        <v>20.03949704142012</v>
      </c>
      <c r="AQ25" s="54">
        <f t="shared" si="20"/>
        <v>0.20761513874227663</v>
      </c>
      <c r="AR25" s="45">
        <v>8.1999999999999993</v>
      </c>
      <c r="AS25" s="52">
        <f t="shared" si="21"/>
        <v>1.7024441376866684</v>
      </c>
      <c r="AU25" s="52">
        <v>77.099999999999994</v>
      </c>
      <c r="AV25" s="52">
        <v>58.2</v>
      </c>
      <c r="AW25" s="52">
        <f t="shared" si="22"/>
        <v>18.899999999999991</v>
      </c>
      <c r="AX25" s="52">
        <f t="shared" si="23"/>
        <v>10.005837693774756</v>
      </c>
      <c r="AY25" s="52">
        <f t="shared" si="24"/>
        <v>48.194162306225245</v>
      </c>
      <c r="AZ25" s="54">
        <f t="shared" si="25"/>
        <v>0.20761513874227672</v>
      </c>
      <c r="BA25" s="52">
        <v>26.1</v>
      </c>
      <c r="BB25" s="52">
        <f t="shared" si="26"/>
        <v>5.4187551211734224</v>
      </c>
      <c r="BE25" s="1" t="s">
        <v>17</v>
      </c>
    </row>
    <row r="26" spans="1:57" ht="14.5" x14ac:dyDescent="0.35">
      <c r="A26" s="45" t="s">
        <v>47</v>
      </c>
      <c r="B26" s="46" t="s">
        <v>15</v>
      </c>
      <c r="C26" s="45" t="str">
        <f t="shared" si="0"/>
        <v>TSM4_9-23_G</v>
      </c>
      <c r="D26" s="47">
        <v>45199</v>
      </c>
      <c r="E26" s="47" t="s">
        <v>17</v>
      </c>
      <c r="F26" s="47">
        <v>45538</v>
      </c>
      <c r="G26" s="45"/>
      <c r="H26" s="45" t="str">
        <f t="shared" si="1"/>
        <v>C,N,S</v>
      </c>
      <c r="I26" s="45">
        <v>128.69999999999999</v>
      </c>
      <c r="J26" s="45"/>
      <c r="K26" s="45">
        <v>155.80000000000001</v>
      </c>
      <c r="L26" s="45">
        <f>K26-I26</f>
        <v>27.100000000000023</v>
      </c>
      <c r="M26" s="45">
        <f t="shared" si="2"/>
        <v>117.7</v>
      </c>
      <c r="O26" s="45">
        <f t="shared" si="3"/>
        <v>24.808836023789294</v>
      </c>
      <c r="P26" s="45">
        <f t="shared" si="4"/>
        <v>5.7121449128690776</v>
      </c>
      <c r="Q26" s="94"/>
      <c r="R26" s="45">
        <f t="shared" si="5"/>
        <v>26.338147833474935</v>
      </c>
      <c r="S26" s="45">
        <f t="shared" si="6"/>
        <v>6.0642634348952535</v>
      </c>
      <c r="T26" s="94"/>
      <c r="U26" s="45">
        <f t="shared" si="7"/>
        <v>48.853016142735768</v>
      </c>
      <c r="V26" s="45">
        <f t="shared" si="8"/>
        <v>11.248230564725066</v>
      </c>
      <c r="W26" s="94"/>
      <c r="X26" s="54">
        <v>39.9</v>
      </c>
      <c r="Y26" s="54">
        <v>29.2</v>
      </c>
      <c r="Z26" s="54">
        <f t="shared" si="9"/>
        <v>10.7</v>
      </c>
      <c r="AA26" s="54">
        <f t="shared" si="10"/>
        <v>5.7121449128690776</v>
      </c>
      <c r="AB26" s="54">
        <f t="shared" si="11"/>
        <v>23.487855087130921</v>
      </c>
      <c r="AC26" s="54">
        <f t="shared" si="12"/>
        <v>0.24319568098829009</v>
      </c>
      <c r="AD26" s="54">
        <v>23.7</v>
      </c>
      <c r="AE26" s="54">
        <f t="shared" si="28"/>
        <v>5.7637376394224749</v>
      </c>
      <c r="AF26" s="54">
        <f t="shared" si="29"/>
        <v>17.936262360577523</v>
      </c>
      <c r="AG26" s="54">
        <v>26.8</v>
      </c>
      <c r="AH26" s="54">
        <f t="shared" si="15"/>
        <v>0.24319568098829009</v>
      </c>
      <c r="AI26" s="54">
        <v>4.0999999999999996</v>
      </c>
      <c r="AJ26" s="54">
        <f t="shared" si="16"/>
        <v>0.9971022920519893</v>
      </c>
      <c r="AL26" s="45">
        <v>40.700000000000003</v>
      </c>
      <c r="AM26" s="45">
        <v>31</v>
      </c>
      <c r="AN26" s="45">
        <f t="shared" si="17"/>
        <v>9.7000000000000028</v>
      </c>
      <c r="AO26" s="52">
        <f t="shared" si="18"/>
        <v>6.0642634348952535</v>
      </c>
      <c r="AP26" s="52">
        <f t="shared" si="19"/>
        <v>24.935736565104747</v>
      </c>
      <c r="AQ26" s="54">
        <f t="shared" si="20"/>
        <v>0.24319568098829006</v>
      </c>
      <c r="AR26" s="45">
        <v>6.8</v>
      </c>
      <c r="AS26" s="52">
        <f t="shared" si="21"/>
        <v>1.6537306307203723</v>
      </c>
      <c r="AU26" s="52">
        <v>74.900000000000006</v>
      </c>
      <c r="AV26" s="52">
        <v>57.5</v>
      </c>
      <c r="AW26" s="52">
        <f t="shared" si="22"/>
        <v>17.400000000000006</v>
      </c>
      <c r="AX26" s="52">
        <f t="shared" si="23"/>
        <v>11.248230564725066</v>
      </c>
      <c r="AY26" s="52">
        <f t="shared" si="24"/>
        <v>46.251769435274937</v>
      </c>
      <c r="AZ26" s="54">
        <f t="shared" si="25"/>
        <v>0.24319568098829</v>
      </c>
      <c r="BA26" s="52">
        <v>22.2</v>
      </c>
      <c r="BB26" s="52">
        <f t="shared" si="26"/>
        <v>5.3989441179400375</v>
      </c>
      <c r="BE26" s="1" t="s">
        <v>17</v>
      </c>
    </row>
    <row r="27" spans="1:57" ht="14.5" x14ac:dyDescent="0.35">
      <c r="A27" s="48" t="s">
        <v>48</v>
      </c>
      <c r="B27" s="49" t="s">
        <v>15</v>
      </c>
      <c r="C27" s="48" t="str">
        <f t="shared" si="0"/>
        <v>SBT1_9-23_G</v>
      </c>
      <c r="D27" s="50">
        <v>45199</v>
      </c>
      <c r="E27" s="50" t="s">
        <v>17</v>
      </c>
      <c r="F27" s="50">
        <v>45568</v>
      </c>
      <c r="G27" s="48"/>
      <c r="H27" s="48" t="str">
        <f t="shared" si="1"/>
        <v>C,N,S</v>
      </c>
      <c r="I27" s="48"/>
      <c r="J27" s="48">
        <v>130.50101010101005</v>
      </c>
      <c r="K27" s="48">
        <v>155.4</v>
      </c>
      <c r="L27" s="48">
        <f>K27-J27</f>
        <v>24.898989898989953</v>
      </c>
      <c r="M27" s="48">
        <f t="shared" si="2"/>
        <v>106.4</v>
      </c>
      <c r="O27" s="48">
        <f t="shared" si="3"/>
        <v>29.229323308270676</v>
      </c>
      <c r="P27" s="48">
        <f t="shared" si="4"/>
        <v>6.840043475629165</v>
      </c>
      <c r="Q27" s="94"/>
      <c r="R27" s="48">
        <f t="shared" si="5"/>
        <v>22.744360902255636</v>
      </c>
      <c r="S27" s="48">
        <f t="shared" si="6"/>
        <v>5.3224775598143328</v>
      </c>
      <c r="T27" s="94"/>
      <c r="U27" s="48">
        <f t="shared" si="7"/>
        <v>48.026315789473685</v>
      </c>
      <c r="V27" s="48">
        <f t="shared" si="8"/>
        <v>11.238785260599688</v>
      </c>
      <c r="W27" s="94"/>
      <c r="X27" s="55">
        <v>39.4</v>
      </c>
      <c r="Y27" s="55">
        <v>31.1</v>
      </c>
      <c r="Z27" s="55">
        <f t="shared" si="9"/>
        <v>8.2999999999999972</v>
      </c>
      <c r="AA27" s="55">
        <f t="shared" si="10"/>
        <v>6.840043475629165</v>
      </c>
      <c r="AB27" s="55">
        <f t="shared" si="11"/>
        <v>24.259956524370835</v>
      </c>
      <c r="AC27" s="55">
        <f t="shared" si="12"/>
        <v>0.28194788678857935</v>
      </c>
      <c r="AD27" s="55">
        <v>23.5</v>
      </c>
      <c r="AE27" s="55">
        <f t="shared" si="28"/>
        <v>6.6257753395316143</v>
      </c>
      <c r="AF27" s="55">
        <f t="shared" si="29"/>
        <v>16.874224660468386</v>
      </c>
      <c r="AG27" s="55">
        <v>21.8</v>
      </c>
      <c r="AH27" s="55">
        <f t="shared" si="15"/>
        <v>0.28194788678857935</v>
      </c>
      <c r="AI27" s="55">
        <v>4.0999999999999996</v>
      </c>
      <c r="AJ27" s="55">
        <f t="shared" si="16"/>
        <v>1.1559863358331752</v>
      </c>
      <c r="AL27" s="48">
        <v>39.799999999999997</v>
      </c>
      <c r="AM27" s="48">
        <v>24.2</v>
      </c>
      <c r="AN27" s="48">
        <f t="shared" si="17"/>
        <v>15.599999999999998</v>
      </c>
      <c r="AO27" s="53">
        <f t="shared" si="18"/>
        <v>5.3224775598143328</v>
      </c>
      <c r="AP27" s="53">
        <f t="shared" si="19"/>
        <v>18.877522440185665</v>
      </c>
      <c r="AQ27" s="55">
        <f t="shared" si="20"/>
        <v>0.28194788678857929</v>
      </c>
      <c r="AR27" s="48">
        <v>5.7</v>
      </c>
      <c r="AS27" s="53">
        <f t="shared" si="21"/>
        <v>1.6071029546949021</v>
      </c>
      <c r="AU27" s="53">
        <v>75.400000000000006</v>
      </c>
      <c r="AV27" s="53">
        <v>51.1</v>
      </c>
      <c r="AW27" s="53">
        <f t="shared" si="22"/>
        <v>24.300000000000004</v>
      </c>
      <c r="AX27" s="53">
        <f t="shared" si="23"/>
        <v>11.238785260599688</v>
      </c>
      <c r="AY27" s="53">
        <f t="shared" si="24"/>
        <v>39.86121473940031</v>
      </c>
      <c r="AZ27" s="55">
        <f t="shared" si="25"/>
        <v>0.28194788678857929</v>
      </c>
      <c r="BA27" s="53">
        <v>18.899999999999999</v>
      </c>
      <c r="BB27" s="53">
        <f t="shared" si="26"/>
        <v>5.328815060304148</v>
      </c>
      <c r="BE27" s="1" t="s">
        <v>17</v>
      </c>
    </row>
    <row r="28" spans="1:57" ht="14.5" x14ac:dyDescent="0.35">
      <c r="A28" s="45" t="s">
        <v>46</v>
      </c>
      <c r="B28" s="46" t="s">
        <v>15</v>
      </c>
      <c r="C28" s="45" t="str">
        <f t="shared" si="0"/>
        <v>TSM3_9-23_G</v>
      </c>
      <c r="D28" s="47">
        <v>45199</v>
      </c>
      <c r="E28" s="47" t="s">
        <v>17</v>
      </c>
      <c r="F28" s="47">
        <v>45538</v>
      </c>
      <c r="G28" s="45"/>
      <c r="H28" s="45" t="str">
        <f t="shared" si="1"/>
        <v>C,N,S</v>
      </c>
      <c r="I28" s="45">
        <v>130</v>
      </c>
      <c r="J28" s="45"/>
      <c r="K28" s="45">
        <v>152.4</v>
      </c>
      <c r="L28" s="45">
        <f>K28-I28</f>
        <v>22.400000000000006</v>
      </c>
      <c r="M28" s="45">
        <f t="shared" si="2"/>
        <v>114.3</v>
      </c>
      <c r="O28" s="45">
        <f t="shared" si="3"/>
        <v>23.272090988626424</v>
      </c>
      <c r="P28" s="45">
        <f t="shared" si="4"/>
        <v>4.56075973880343</v>
      </c>
      <c r="Q28" s="94"/>
      <c r="R28" s="45">
        <f t="shared" si="5"/>
        <v>25.54680664916885</v>
      </c>
      <c r="S28" s="45">
        <f t="shared" si="6"/>
        <v>5.006548284701509</v>
      </c>
      <c r="T28" s="94"/>
      <c r="U28" s="45">
        <f t="shared" si="7"/>
        <v>51.181102362204726</v>
      </c>
      <c r="V28" s="45">
        <f t="shared" si="8"/>
        <v>10.030242282706791</v>
      </c>
      <c r="W28" s="94"/>
      <c r="X28" s="54">
        <v>33.200000000000003</v>
      </c>
      <c r="Y28" s="54">
        <v>26.6</v>
      </c>
      <c r="Z28" s="54">
        <f t="shared" si="9"/>
        <v>6.6000000000000014</v>
      </c>
      <c r="AA28" s="54">
        <f t="shared" si="10"/>
        <v>4.56075973880343</v>
      </c>
      <c r="AB28" s="54">
        <f t="shared" si="11"/>
        <v>22.039240261196571</v>
      </c>
      <c r="AC28" s="54">
        <f t="shared" si="12"/>
        <v>0.2069381559777875</v>
      </c>
      <c r="AD28" s="54">
        <v>18.2</v>
      </c>
      <c r="AE28" s="54">
        <f t="shared" si="28"/>
        <v>3.7662744387957323</v>
      </c>
      <c r="AF28" s="54">
        <f t="shared" si="29"/>
        <v>14.433725561204266</v>
      </c>
      <c r="AG28" s="54">
        <v>19.3</v>
      </c>
      <c r="AH28" s="54">
        <f t="shared" si="15"/>
        <v>0.2069381559777875</v>
      </c>
      <c r="AI28" s="54">
        <v>4.2</v>
      </c>
      <c r="AJ28" s="54">
        <f t="shared" si="16"/>
        <v>0.86914025510670756</v>
      </c>
      <c r="AL28" s="45">
        <v>41.4</v>
      </c>
      <c r="AM28" s="45">
        <v>29.2</v>
      </c>
      <c r="AN28" s="45">
        <f t="shared" si="17"/>
        <v>12.2</v>
      </c>
      <c r="AO28" s="52">
        <f t="shared" si="18"/>
        <v>5.006548284701509</v>
      </c>
      <c r="AP28" s="52">
        <f t="shared" si="19"/>
        <v>24.19345171529849</v>
      </c>
      <c r="AQ28" s="54">
        <f t="shared" si="20"/>
        <v>0.20693815597778747</v>
      </c>
      <c r="AR28" s="45">
        <v>5.8</v>
      </c>
      <c r="AS28" s="52">
        <f t="shared" si="21"/>
        <v>1.2002413046711673</v>
      </c>
      <c r="AU28" s="52">
        <v>77.7</v>
      </c>
      <c r="AV28" s="52">
        <v>58.5</v>
      </c>
      <c r="AW28" s="52">
        <f t="shared" si="22"/>
        <v>19.200000000000003</v>
      </c>
      <c r="AX28" s="52">
        <f t="shared" si="23"/>
        <v>10.030242282706791</v>
      </c>
      <c r="AY28" s="52">
        <f t="shared" si="24"/>
        <v>48.469757717293206</v>
      </c>
      <c r="AZ28" s="54">
        <f t="shared" si="25"/>
        <v>0.2069381559777875</v>
      </c>
      <c r="BA28" s="52">
        <v>23.5</v>
      </c>
      <c r="BB28" s="52">
        <f t="shared" si="26"/>
        <v>4.8630466654780067</v>
      </c>
      <c r="BE28" s="1" t="s">
        <v>17</v>
      </c>
    </row>
    <row r="29" spans="1:57" ht="14.5" x14ac:dyDescent="0.35">
      <c r="A29" s="45" t="s">
        <v>45</v>
      </c>
      <c r="B29" s="46" t="s">
        <v>15</v>
      </c>
      <c r="C29" s="45" t="str">
        <f t="shared" si="0"/>
        <v>TSM1_9-23_G</v>
      </c>
      <c r="D29" s="47">
        <v>45199</v>
      </c>
      <c r="E29" s="47" t="s">
        <v>17</v>
      </c>
      <c r="F29" s="47">
        <v>45538</v>
      </c>
      <c r="G29" s="45"/>
      <c r="H29" s="45" t="str">
        <f t="shared" si="1"/>
        <v>C,N,S</v>
      </c>
      <c r="I29" s="45">
        <v>129.19999999999999</v>
      </c>
      <c r="J29" s="45"/>
      <c r="K29" s="45">
        <v>146.4</v>
      </c>
      <c r="L29" s="45">
        <f>K29-I29</f>
        <v>17.200000000000017</v>
      </c>
      <c r="M29" s="45">
        <f t="shared" si="2"/>
        <v>108.7</v>
      </c>
      <c r="O29" s="45">
        <f t="shared" si="3"/>
        <v>25.390984360625573</v>
      </c>
      <c r="P29" s="45">
        <f t="shared" si="4"/>
        <v>4.0177086568791198</v>
      </c>
      <c r="Q29" s="94"/>
      <c r="R29" s="45">
        <f t="shared" si="5"/>
        <v>25.390984360625573</v>
      </c>
      <c r="S29" s="45">
        <f t="shared" si="6"/>
        <v>4.0177086568791198</v>
      </c>
      <c r="T29" s="94"/>
      <c r="U29" s="45">
        <f t="shared" si="7"/>
        <v>49.218031278748846</v>
      </c>
      <c r="V29" s="45">
        <f t="shared" si="8"/>
        <v>7.7879497515591627</v>
      </c>
      <c r="W29" s="94"/>
      <c r="X29" s="54">
        <v>40.9</v>
      </c>
      <c r="Y29" s="54">
        <v>27.6</v>
      </c>
      <c r="Z29" s="54">
        <f t="shared" si="9"/>
        <v>13.299999999999997</v>
      </c>
      <c r="AA29" s="54">
        <f t="shared" si="10"/>
        <v>4.0177086568791198</v>
      </c>
      <c r="AB29" s="54">
        <f t="shared" si="11"/>
        <v>23.582291343120882</v>
      </c>
      <c r="AC29" s="54">
        <f t="shared" si="12"/>
        <v>0.17036973203416525</v>
      </c>
      <c r="AD29" s="54">
        <v>20.399999999999999</v>
      </c>
      <c r="AE29" s="54">
        <f t="shared" si="28"/>
        <v>3.475542533496971</v>
      </c>
      <c r="AF29" s="54">
        <f t="shared" si="29"/>
        <v>16.924457466503029</v>
      </c>
      <c r="AG29" s="54">
        <v>18.100000000000001</v>
      </c>
      <c r="AH29" s="54">
        <f t="shared" si="15"/>
        <v>0.17036973203416525</v>
      </c>
      <c r="AI29" s="54">
        <v>5.2</v>
      </c>
      <c r="AJ29" s="54">
        <f t="shared" si="16"/>
        <v>0.88592260657765931</v>
      </c>
      <c r="AL29" s="45">
        <v>31.4</v>
      </c>
      <c r="AM29" s="45">
        <v>27.6</v>
      </c>
      <c r="AN29" s="45">
        <f t="shared" si="17"/>
        <v>3.7999999999999972</v>
      </c>
      <c r="AO29" s="52">
        <f t="shared" si="18"/>
        <v>4.0177086568791198</v>
      </c>
      <c r="AP29" s="52">
        <f t="shared" si="19"/>
        <v>23.582291343120882</v>
      </c>
      <c r="AQ29" s="54">
        <f t="shared" si="20"/>
        <v>0.17036973203416525</v>
      </c>
      <c r="AR29" s="45">
        <v>6.3</v>
      </c>
      <c r="AS29" s="52">
        <f t="shared" si="21"/>
        <v>1.0733293118152409</v>
      </c>
      <c r="AU29" s="52">
        <v>74</v>
      </c>
      <c r="AV29" s="52">
        <v>53.5</v>
      </c>
      <c r="AW29" s="52">
        <f t="shared" si="22"/>
        <v>20.5</v>
      </c>
      <c r="AX29" s="52">
        <f t="shared" si="23"/>
        <v>7.7879497515591627</v>
      </c>
      <c r="AY29" s="52">
        <f t="shared" si="24"/>
        <v>45.712050248440839</v>
      </c>
      <c r="AZ29" s="54">
        <f t="shared" si="25"/>
        <v>0.17036973203416525</v>
      </c>
      <c r="BA29" s="52">
        <v>31.2</v>
      </c>
      <c r="BB29" s="52">
        <f t="shared" si="26"/>
        <v>5.3155356394659554</v>
      </c>
      <c r="BE29" s="1" t="s">
        <v>17</v>
      </c>
    </row>
    <row r="30" spans="1:57" ht="14.5" x14ac:dyDescent="0.35">
      <c r="A30" s="64" t="s">
        <v>55</v>
      </c>
      <c r="B30" s="65" t="s">
        <v>15</v>
      </c>
      <c r="C30" s="64" t="str">
        <f t="shared" si="0"/>
        <v>JB_9-23_G</v>
      </c>
      <c r="D30" s="66">
        <v>45204</v>
      </c>
      <c r="E30" s="66" t="s">
        <v>17</v>
      </c>
      <c r="F30" s="66">
        <v>45275</v>
      </c>
      <c r="G30" s="64"/>
      <c r="H30" s="64" t="str">
        <f t="shared" si="1"/>
        <v>C,N,S</v>
      </c>
      <c r="I30" s="64"/>
      <c r="J30" s="64">
        <v>130.50101010101005</v>
      </c>
      <c r="K30" s="64">
        <v>208.5</v>
      </c>
      <c r="L30" s="64">
        <f t="shared" ref="L30:L36" si="30">K30-J30</f>
        <v>77.998989898989947</v>
      </c>
      <c r="M30" s="64">
        <f t="shared" si="2"/>
        <v>135.4</v>
      </c>
      <c r="O30" s="64">
        <f t="shared" si="3"/>
        <v>25.997045790251111</v>
      </c>
      <c r="P30" s="64">
        <f t="shared" si="4"/>
        <v>14.975947651383866</v>
      </c>
      <c r="Q30" s="94"/>
      <c r="R30" s="64">
        <f t="shared" si="5"/>
        <v>28.508124076809455</v>
      </c>
      <c r="S30" s="64">
        <f t="shared" si="6"/>
        <v>16.422488049528898</v>
      </c>
      <c r="T30" s="94"/>
      <c r="U30" s="64">
        <f t="shared" si="7"/>
        <v>45.494830132939441</v>
      </c>
      <c r="V30" s="64">
        <f t="shared" si="8"/>
        <v>26.207908389921762</v>
      </c>
      <c r="W30" s="94"/>
      <c r="X30" s="67">
        <v>52</v>
      </c>
      <c r="Y30" s="67">
        <v>35.200000000000003</v>
      </c>
      <c r="Z30" s="67">
        <f t="shared" si="9"/>
        <v>16.799999999999997</v>
      </c>
      <c r="AA30" s="67">
        <f t="shared" si="10"/>
        <v>14.975947651383866</v>
      </c>
      <c r="AB30" s="67">
        <f t="shared" si="11"/>
        <v>20.224052348616137</v>
      </c>
      <c r="AC30" s="67">
        <f t="shared" si="12"/>
        <v>0.74050182392890307</v>
      </c>
      <c r="AD30" s="67">
        <v>29.4</v>
      </c>
      <c r="AE30" s="67">
        <f t="shared" si="28"/>
        <v>21.770753623509748</v>
      </c>
      <c r="AF30" s="67">
        <f t="shared" si="29"/>
        <v>7.6292463764902507</v>
      </c>
      <c r="AG30" s="67">
        <v>27.2</v>
      </c>
      <c r="AH30" s="67">
        <f t="shared" si="15"/>
        <v>0.74050182392890307</v>
      </c>
      <c r="AI30" s="67">
        <v>1.3</v>
      </c>
      <c r="AJ30" s="67">
        <f t="shared" si="16"/>
        <v>0.96265237110757407</v>
      </c>
      <c r="AL30" s="64">
        <v>55.2</v>
      </c>
      <c r="AM30" s="64">
        <v>38.6</v>
      </c>
      <c r="AN30" s="64">
        <f t="shared" si="17"/>
        <v>16.600000000000001</v>
      </c>
      <c r="AO30" s="68">
        <f t="shared" si="18"/>
        <v>16.422488049528898</v>
      </c>
      <c r="AP30" s="68">
        <f t="shared" si="19"/>
        <v>22.177511950471104</v>
      </c>
      <c r="AQ30" s="67">
        <f t="shared" si="20"/>
        <v>0.74050182392890307</v>
      </c>
      <c r="AR30" s="64">
        <v>2.4</v>
      </c>
      <c r="AS30" s="68">
        <f t="shared" si="21"/>
        <v>1.7772043774293673</v>
      </c>
      <c r="AU30" s="68">
        <v>100.2</v>
      </c>
      <c r="AV30" s="68">
        <v>61.6</v>
      </c>
      <c r="AW30" s="68">
        <f t="shared" si="22"/>
        <v>38.6</v>
      </c>
      <c r="AX30" s="68">
        <f t="shared" si="23"/>
        <v>26.207908389921762</v>
      </c>
      <c r="AY30" s="68">
        <f t="shared" si="24"/>
        <v>35.392091610078239</v>
      </c>
      <c r="AZ30" s="67">
        <f t="shared" si="25"/>
        <v>0.74050182392890307</v>
      </c>
      <c r="BA30" s="68">
        <v>7.6</v>
      </c>
      <c r="BB30" s="68">
        <f t="shared" si="26"/>
        <v>5.6278138618596634</v>
      </c>
      <c r="BE30" s="1" t="s">
        <v>17</v>
      </c>
    </row>
    <row r="31" spans="1:57" ht="14.5" x14ac:dyDescent="0.35">
      <c r="A31" s="48" t="s">
        <v>54</v>
      </c>
      <c r="B31" s="49" t="s">
        <v>15</v>
      </c>
      <c r="C31" s="48" t="str">
        <f t="shared" si="0"/>
        <v>TKB_9-23_G</v>
      </c>
      <c r="D31" s="50">
        <v>45204</v>
      </c>
      <c r="E31" s="50" t="s">
        <v>17</v>
      </c>
      <c r="F31" s="50">
        <v>45275</v>
      </c>
      <c r="G31" s="48"/>
      <c r="H31" s="48" t="str">
        <f t="shared" si="1"/>
        <v>C,N,S</v>
      </c>
      <c r="I31" s="48"/>
      <c r="J31" s="48">
        <v>130.50101010101005</v>
      </c>
      <c r="K31" s="48">
        <v>176.3</v>
      </c>
      <c r="L31" s="48">
        <f t="shared" si="30"/>
        <v>45.798989898989959</v>
      </c>
      <c r="M31" s="48">
        <f t="shared" si="2"/>
        <v>109</v>
      </c>
      <c r="O31" s="48">
        <f t="shared" si="3"/>
        <v>22.201834862385319</v>
      </c>
      <c r="P31" s="48">
        <f t="shared" si="4"/>
        <v>9.3286386293709018</v>
      </c>
      <c r="Q31" s="94"/>
      <c r="R31" s="48">
        <f t="shared" si="5"/>
        <v>24.86238532110092</v>
      </c>
      <c r="S31" s="48">
        <f t="shared" si="6"/>
        <v>10.446533341155021</v>
      </c>
      <c r="T31" s="94"/>
      <c r="U31" s="48">
        <f t="shared" si="7"/>
        <v>52.935779816513758</v>
      </c>
      <c r="V31" s="48">
        <f t="shared" si="8"/>
        <v>22.242249955152939</v>
      </c>
      <c r="W31" s="94"/>
      <c r="X31" s="55">
        <v>40.200000000000003</v>
      </c>
      <c r="Y31" s="55">
        <v>24.2</v>
      </c>
      <c r="Z31" s="55">
        <f t="shared" si="9"/>
        <v>16.000000000000004</v>
      </c>
      <c r="AA31" s="55">
        <f t="shared" si="10"/>
        <v>9.3286386293709018</v>
      </c>
      <c r="AB31" s="55">
        <f t="shared" si="11"/>
        <v>14.871361370629097</v>
      </c>
      <c r="AC31" s="55">
        <f t="shared" si="12"/>
        <v>0.62728881350398358</v>
      </c>
      <c r="AD31" s="55">
        <v>18.8</v>
      </c>
      <c r="AE31" s="55">
        <f t="shared" si="28"/>
        <v>11.793029693874892</v>
      </c>
      <c r="AF31" s="55">
        <f t="shared" si="29"/>
        <v>7.0069703061251083</v>
      </c>
      <c r="AG31" s="55">
        <v>18.899999999999999</v>
      </c>
      <c r="AH31" s="55">
        <f t="shared" si="15"/>
        <v>0.62728881350398358</v>
      </c>
      <c r="AI31" s="55">
        <v>1.6</v>
      </c>
      <c r="AJ31" s="55">
        <f t="shared" si="16"/>
        <v>1.0036621016063738</v>
      </c>
      <c r="AL31" s="48">
        <v>43.5</v>
      </c>
      <c r="AM31" s="48">
        <v>27.1</v>
      </c>
      <c r="AN31" s="48">
        <f t="shared" si="17"/>
        <v>16.399999999999999</v>
      </c>
      <c r="AO31" s="53">
        <f t="shared" si="18"/>
        <v>10.446533341155021</v>
      </c>
      <c r="AP31" s="53">
        <f t="shared" si="19"/>
        <v>16.65346665884498</v>
      </c>
      <c r="AQ31" s="55">
        <f t="shared" si="20"/>
        <v>0.6272888135039838</v>
      </c>
      <c r="AR31" s="48">
        <v>2.7</v>
      </c>
      <c r="AS31" s="53">
        <f t="shared" si="21"/>
        <v>1.6936797964607564</v>
      </c>
      <c r="AU31" s="53">
        <v>90.5</v>
      </c>
      <c r="AV31" s="53">
        <v>57.7</v>
      </c>
      <c r="AW31" s="53">
        <f t="shared" si="22"/>
        <v>32.799999999999997</v>
      </c>
      <c r="AX31" s="53">
        <f t="shared" si="23"/>
        <v>22.242249955152939</v>
      </c>
      <c r="AY31" s="53">
        <f t="shared" si="24"/>
        <v>35.45775004484706</v>
      </c>
      <c r="AZ31" s="55">
        <f t="shared" si="25"/>
        <v>0.6272888135039838</v>
      </c>
      <c r="BA31" s="53">
        <v>8.3000000000000007</v>
      </c>
      <c r="BB31" s="53">
        <f t="shared" si="26"/>
        <v>5.2064971520830658</v>
      </c>
      <c r="BE31" s="1" t="s">
        <v>17</v>
      </c>
    </row>
    <row r="32" spans="1:57" ht="14.5" x14ac:dyDescent="0.35">
      <c r="A32" s="48" t="s">
        <v>49</v>
      </c>
      <c r="B32" s="49" t="s">
        <v>15</v>
      </c>
      <c r="C32" s="48" t="str">
        <f t="shared" si="0"/>
        <v>SBT2_9-23_G</v>
      </c>
      <c r="D32" s="50">
        <v>45204</v>
      </c>
      <c r="E32" s="50" t="s">
        <v>17</v>
      </c>
      <c r="F32" s="50">
        <v>45275</v>
      </c>
      <c r="G32" s="48"/>
      <c r="H32" s="48" t="str">
        <f t="shared" si="1"/>
        <v>C,N,S</v>
      </c>
      <c r="I32" s="48"/>
      <c r="J32" s="48">
        <v>130.50101010101005</v>
      </c>
      <c r="K32" s="48">
        <v>174.7</v>
      </c>
      <c r="L32" s="48">
        <f t="shared" si="30"/>
        <v>44.198989898989936</v>
      </c>
      <c r="M32" s="48">
        <f t="shared" si="2"/>
        <v>106.19999999999999</v>
      </c>
      <c r="O32" s="48">
        <f t="shared" si="3"/>
        <v>27.401129943502827</v>
      </c>
      <c r="P32" s="48">
        <f t="shared" si="4"/>
        <v>11.403976135534766</v>
      </c>
      <c r="Q32" s="94"/>
      <c r="R32" s="48">
        <f t="shared" si="5"/>
        <v>27.495291902071568</v>
      </c>
      <c r="S32" s="48">
        <f t="shared" si="6"/>
        <v>11.443165056962723</v>
      </c>
      <c r="T32" s="94"/>
      <c r="U32" s="48">
        <f t="shared" si="7"/>
        <v>45.10357815442562</v>
      </c>
      <c r="V32" s="48">
        <f t="shared" si="8"/>
        <v>18.771493363990221</v>
      </c>
      <c r="W32" s="94"/>
      <c r="X32" s="55">
        <v>43.1</v>
      </c>
      <c r="Y32" s="55">
        <v>29.1</v>
      </c>
      <c r="Z32" s="55">
        <f t="shared" si="9"/>
        <v>14</v>
      </c>
      <c r="AA32" s="55">
        <f t="shared" si="10"/>
        <v>11.403976135534766</v>
      </c>
      <c r="AB32" s="55">
        <f t="shared" si="11"/>
        <v>17.696023864465236</v>
      </c>
      <c r="AC32" s="55">
        <f t="shared" si="12"/>
        <v>0.64443720368363033</v>
      </c>
      <c r="AD32" s="55">
        <v>20.9</v>
      </c>
      <c r="AE32" s="55">
        <f t="shared" si="28"/>
        <v>13.468737556987874</v>
      </c>
      <c r="AF32" s="55">
        <f t="shared" si="29"/>
        <v>7.431262443012125</v>
      </c>
      <c r="AG32" s="55"/>
      <c r="AH32" s="55">
        <f t="shared" si="15"/>
        <v>0.64443720368363033</v>
      </c>
      <c r="AI32" s="55">
        <v>1.4</v>
      </c>
      <c r="AJ32" s="55">
        <f t="shared" si="16"/>
        <v>0.9022120851570824</v>
      </c>
      <c r="AL32" s="48">
        <v>48.6</v>
      </c>
      <c r="AM32" s="48">
        <v>29.2</v>
      </c>
      <c r="AN32" s="48">
        <f t="shared" si="17"/>
        <v>19.400000000000002</v>
      </c>
      <c r="AO32" s="53">
        <f t="shared" si="18"/>
        <v>11.443165056962723</v>
      </c>
      <c r="AP32" s="53">
        <f t="shared" si="19"/>
        <v>17.756834943037276</v>
      </c>
      <c r="AQ32" s="55">
        <f t="shared" si="20"/>
        <v>0.64443720368363067</v>
      </c>
      <c r="AR32" s="48">
        <v>2.9</v>
      </c>
      <c r="AS32" s="53">
        <f t="shared" si="21"/>
        <v>1.8688678906825289</v>
      </c>
      <c r="AU32" s="53">
        <v>83.1</v>
      </c>
      <c r="AV32" s="53">
        <v>47.9</v>
      </c>
      <c r="AW32" s="53">
        <f t="shared" si="22"/>
        <v>35.199999999999996</v>
      </c>
      <c r="AX32" s="53">
        <f t="shared" si="23"/>
        <v>18.771493363990221</v>
      </c>
      <c r="AY32" s="53">
        <f t="shared" si="24"/>
        <v>29.128506636009778</v>
      </c>
      <c r="AZ32" s="55">
        <f t="shared" si="25"/>
        <v>0.64443720368363067</v>
      </c>
      <c r="BA32" s="53">
        <v>8.9</v>
      </c>
      <c r="BB32" s="53">
        <f t="shared" si="26"/>
        <v>5.7354911127843131</v>
      </c>
      <c r="BE32" s="1" t="s">
        <v>17</v>
      </c>
    </row>
    <row r="33" spans="1:57" ht="14.5" x14ac:dyDescent="0.35">
      <c r="A33" s="48" t="s">
        <v>56</v>
      </c>
      <c r="B33" s="49" t="s">
        <v>15</v>
      </c>
      <c r="C33" s="48" t="str">
        <f t="shared" si="0"/>
        <v>CC_9-23_G</v>
      </c>
      <c r="D33" s="50">
        <v>45204</v>
      </c>
      <c r="E33" s="50" t="s">
        <v>17</v>
      </c>
      <c r="F33" s="50">
        <v>45275</v>
      </c>
      <c r="G33" s="48"/>
      <c r="H33" s="48" t="str">
        <f t="shared" si="1"/>
        <v>C,N,S</v>
      </c>
      <c r="I33" s="48"/>
      <c r="J33" s="48">
        <v>130.50101010101005</v>
      </c>
      <c r="K33" s="48">
        <v>174.2</v>
      </c>
      <c r="L33" s="48">
        <f t="shared" si="30"/>
        <v>43.698989898989936</v>
      </c>
      <c r="M33" s="48">
        <f t="shared" si="2"/>
        <v>118.69999999999999</v>
      </c>
      <c r="O33" s="48">
        <f t="shared" si="3"/>
        <v>26.368997472620055</v>
      </c>
      <c r="P33" s="48">
        <f t="shared" si="4"/>
        <v>9.7076542055814237</v>
      </c>
      <c r="Q33" s="94"/>
      <c r="R33" s="48">
        <f t="shared" si="5"/>
        <v>25.273799494524013</v>
      </c>
      <c r="S33" s="48">
        <f t="shared" si="6"/>
        <v>9.3044608999182987</v>
      </c>
      <c r="T33" s="94"/>
      <c r="U33" s="48">
        <f t="shared" si="7"/>
        <v>48.357203032855942</v>
      </c>
      <c r="V33" s="48">
        <f t="shared" si="8"/>
        <v>17.80253518851034</v>
      </c>
      <c r="W33" s="94"/>
      <c r="X33" s="55">
        <v>47.4</v>
      </c>
      <c r="Y33" s="55">
        <v>31.3</v>
      </c>
      <c r="Z33" s="55">
        <f t="shared" si="9"/>
        <v>16.099999999999998</v>
      </c>
      <c r="AA33" s="55">
        <f t="shared" si="10"/>
        <v>9.7076542055814237</v>
      </c>
      <c r="AB33" s="55">
        <f t="shared" si="11"/>
        <v>21.592345794418577</v>
      </c>
      <c r="AC33" s="55">
        <f t="shared" si="12"/>
        <v>0.44958775197508938</v>
      </c>
      <c r="AD33" s="55">
        <v>22.7</v>
      </c>
      <c r="AE33" s="55">
        <f t="shared" si="28"/>
        <v>10.205641969834529</v>
      </c>
      <c r="AF33" s="55">
        <f t="shared" si="29"/>
        <v>12.49435803016547</v>
      </c>
      <c r="AG33" s="55">
        <v>23.9</v>
      </c>
      <c r="AH33" s="55">
        <f t="shared" si="15"/>
        <v>0.44958775197508938</v>
      </c>
      <c r="AI33" s="55">
        <v>2.2000000000000002</v>
      </c>
      <c r="AJ33" s="55">
        <f t="shared" si="16"/>
        <v>0.98909305434519668</v>
      </c>
      <c r="AL33" s="48">
        <v>44.7</v>
      </c>
      <c r="AM33" s="48">
        <v>30</v>
      </c>
      <c r="AN33" s="48">
        <f t="shared" si="17"/>
        <v>14.700000000000003</v>
      </c>
      <c r="AO33" s="53">
        <f t="shared" si="18"/>
        <v>9.3044608999182987</v>
      </c>
      <c r="AP33" s="53">
        <f t="shared" si="19"/>
        <v>20.695539100081703</v>
      </c>
      <c r="AQ33" s="55">
        <f t="shared" si="20"/>
        <v>0.44958775197508943</v>
      </c>
      <c r="AR33" s="48">
        <v>4.0999999999999996</v>
      </c>
      <c r="AS33" s="53">
        <f t="shared" si="21"/>
        <v>1.8433097830978664</v>
      </c>
      <c r="AU33" s="53">
        <v>82.8</v>
      </c>
      <c r="AV33" s="53">
        <v>57.4</v>
      </c>
      <c r="AW33" s="53">
        <f t="shared" si="22"/>
        <v>25.4</v>
      </c>
      <c r="AX33" s="53">
        <f t="shared" si="23"/>
        <v>17.80253518851034</v>
      </c>
      <c r="AY33" s="53">
        <f t="shared" si="24"/>
        <v>39.597464811489658</v>
      </c>
      <c r="AZ33" s="55">
        <f t="shared" si="25"/>
        <v>0.44958775197508932</v>
      </c>
      <c r="BA33" s="53">
        <v>10.8</v>
      </c>
      <c r="BB33" s="53">
        <f t="shared" si="26"/>
        <v>4.8555477213309652</v>
      </c>
      <c r="BE33" s="1" t="s">
        <v>17</v>
      </c>
    </row>
    <row r="34" spans="1:57" ht="14.5" x14ac:dyDescent="0.35">
      <c r="A34" s="48" t="s">
        <v>53</v>
      </c>
      <c r="B34" s="49" t="s">
        <v>15</v>
      </c>
      <c r="C34" s="48" t="str">
        <f t="shared" ref="C34:C65" si="31">A34&amp;"_"&amp;B34&amp;"_G"</f>
        <v>WB2_9-23_G</v>
      </c>
      <c r="D34" s="50">
        <v>45204</v>
      </c>
      <c r="E34" s="50" t="s">
        <v>17</v>
      </c>
      <c r="F34" s="50">
        <v>45275</v>
      </c>
      <c r="G34" s="48"/>
      <c r="H34" s="48" t="str">
        <f t="shared" ref="H34:H65" si="32">IF(OR(AI34&lt;&gt;"", AR34&lt;&gt;"", BA34&lt;&gt;""),
    IF(AI34&lt;&gt;"", "C", "") &amp;
    IF(BA34&lt;&gt;"", IF(AI34&lt;&gt;"", ",N", "N"), "") &amp;
    IF(BA34&lt;&gt;"", IF(OR(AI34&lt;&gt;"", AR34&lt;&gt;""), ",S", "S"), ""),
"")</f>
        <v>C,N,S</v>
      </c>
      <c r="I34" s="48"/>
      <c r="J34" s="48">
        <v>130.50101010101005</v>
      </c>
      <c r="K34" s="48">
        <v>152.30000000000001</v>
      </c>
      <c r="L34" s="48">
        <f t="shared" si="30"/>
        <v>21.798989898989959</v>
      </c>
      <c r="M34" s="48">
        <f t="shared" ref="M34:M65" si="33">Y34+AM34+AV34</f>
        <v>97.300000000000011</v>
      </c>
      <c r="O34" s="48">
        <f t="shared" ref="O34:O65" si="34">(Y34/M34)*100</f>
        <v>26.824254881808834</v>
      </c>
      <c r="P34" s="48">
        <f t="shared" ref="P34:P65" si="35">((O34/M34)*L34)</f>
        <v>6.0096779158939642</v>
      </c>
      <c r="Q34" s="94"/>
      <c r="R34" s="48">
        <f t="shared" ref="R34:R65" si="36">(AM34/M34)*100</f>
        <v>26.207605344295988</v>
      </c>
      <c r="S34" s="48">
        <f t="shared" ref="S34:S65" si="37">((R34/M34)*L34)</f>
        <v>5.8715244005860576</v>
      </c>
      <c r="T34" s="94"/>
      <c r="U34" s="48">
        <f t="shared" ref="U34:U65" si="38">(AV34/M34)*100</f>
        <v>46.968139773895167</v>
      </c>
      <c r="V34" s="48">
        <f t="shared" ref="V34:V65" si="39">((U34/M34)*L34)</f>
        <v>10.522692749285603</v>
      </c>
      <c r="W34" s="94"/>
      <c r="X34" s="55">
        <v>39.299999999999997</v>
      </c>
      <c r="Y34" s="55">
        <v>26.1</v>
      </c>
      <c r="Z34" s="55">
        <f t="shared" ref="Z34:Z65" si="40">X34-Y34</f>
        <v>13.199999999999996</v>
      </c>
      <c r="AA34" s="55">
        <f t="shared" ref="AA34:AA65" si="41">P34</f>
        <v>6.0096779158939642</v>
      </c>
      <c r="AB34" s="55">
        <f t="shared" ref="AB34:AB65" si="42">Y34-AA34</f>
        <v>20.090322084106038</v>
      </c>
      <c r="AC34" s="55">
        <f t="shared" ref="AC34:AC65" si="43">AA34/AB34</f>
        <v>0.29913298008539008</v>
      </c>
      <c r="AD34" s="55">
        <v>20.100000000000001</v>
      </c>
      <c r="AE34" s="55">
        <f t="shared" si="28"/>
        <v>6.012572899716341</v>
      </c>
      <c r="AF34" s="55">
        <f t="shared" si="29"/>
        <v>14.08742710028366</v>
      </c>
      <c r="AG34" s="55">
        <v>19.3</v>
      </c>
      <c r="AH34" s="55">
        <f t="shared" ref="AH34:AH65" si="44">AC34</f>
        <v>0.29913298008539008</v>
      </c>
      <c r="AI34" s="55">
        <v>3.5</v>
      </c>
      <c r="AJ34" s="55">
        <f t="shared" ref="AJ34:AJ65" si="45">AI34*AH34</f>
        <v>1.0469654302988654</v>
      </c>
      <c r="AL34" s="48">
        <v>38</v>
      </c>
      <c r="AM34" s="48">
        <v>25.5</v>
      </c>
      <c r="AN34" s="48">
        <f t="shared" ref="AN34:AN65" si="46">AL34-AM34</f>
        <v>12.5</v>
      </c>
      <c r="AO34" s="53">
        <f t="shared" ref="AO34:AO65" si="47">S34</f>
        <v>5.8715244005860576</v>
      </c>
      <c r="AP34" s="53">
        <f t="shared" ref="AP34:AP65" si="48">AM34-AO34</f>
        <v>19.628475599413942</v>
      </c>
      <c r="AQ34" s="55">
        <f t="shared" ref="AQ34:AQ65" si="49">AO34/AP34</f>
        <v>0.29913298008539019</v>
      </c>
      <c r="AR34" s="48">
        <v>4.7</v>
      </c>
      <c r="AS34" s="53">
        <f t="shared" ref="AS34:AS65" si="50">AR34*AQ34</f>
        <v>1.405925006401334</v>
      </c>
      <c r="AU34" s="53">
        <v>74.8</v>
      </c>
      <c r="AV34" s="53">
        <v>45.7</v>
      </c>
      <c r="AW34" s="53">
        <f t="shared" ref="AW34:AW65" si="51">AU34-AV34</f>
        <v>29.099999999999994</v>
      </c>
      <c r="AX34" s="53">
        <f t="shared" ref="AX34:AX65" si="52">V34</f>
        <v>10.522692749285603</v>
      </c>
      <c r="AY34" s="53">
        <f t="shared" ref="AY34:AY65" si="53">AV34-AX34</f>
        <v>35.177307250714399</v>
      </c>
      <c r="AZ34" s="55">
        <f t="shared" ref="AZ34:AZ65" si="54">AX34/AY34</f>
        <v>0.29913298008539024</v>
      </c>
      <c r="BA34" s="53">
        <v>18.100000000000001</v>
      </c>
      <c r="BB34" s="53">
        <f t="shared" ref="BB34:BB65" si="55">BA34*AZ34</f>
        <v>5.4143069395455639</v>
      </c>
      <c r="BE34" s="1" t="s">
        <v>17</v>
      </c>
    </row>
    <row r="35" spans="1:57" ht="14.5" x14ac:dyDescent="0.35">
      <c r="A35" s="48" t="s">
        <v>52</v>
      </c>
      <c r="B35" s="49" t="s">
        <v>15</v>
      </c>
      <c r="C35" s="48" t="str">
        <f t="shared" si="31"/>
        <v>WB1_9-23_G</v>
      </c>
      <c r="D35" s="50">
        <v>45204</v>
      </c>
      <c r="E35" s="50" t="s">
        <v>17</v>
      </c>
      <c r="F35" s="50">
        <v>45275</v>
      </c>
      <c r="G35" s="48"/>
      <c r="H35" s="48" t="str">
        <f t="shared" si="32"/>
        <v>C,N,S</v>
      </c>
      <c r="I35" s="48"/>
      <c r="J35" s="48">
        <v>130.50101010101005</v>
      </c>
      <c r="K35" s="48">
        <v>151.69999999999999</v>
      </c>
      <c r="L35" s="48">
        <f t="shared" si="30"/>
        <v>21.198989898989936</v>
      </c>
      <c r="M35" s="48">
        <f t="shared" si="33"/>
        <v>104.69999999999999</v>
      </c>
      <c r="O35" s="48">
        <f t="shared" si="34"/>
        <v>27.698185291308501</v>
      </c>
      <c r="P35" s="48">
        <f t="shared" si="35"/>
        <v>5.6081523420324801</v>
      </c>
      <c r="Q35" s="94"/>
      <c r="R35" s="48">
        <f t="shared" si="36"/>
        <v>23.209169054441265</v>
      </c>
      <c r="S35" s="48">
        <f t="shared" si="37"/>
        <v>4.6992448934961821</v>
      </c>
      <c r="T35" s="94"/>
      <c r="U35" s="48">
        <f t="shared" si="38"/>
        <v>49.092645654250248</v>
      </c>
      <c r="V35" s="48">
        <f t="shared" si="39"/>
        <v>9.9399665648437754</v>
      </c>
      <c r="W35" s="94"/>
      <c r="X35" s="55">
        <v>37.799999999999997</v>
      </c>
      <c r="Y35" s="55">
        <v>29</v>
      </c>
      <c r="Z35" s="55">
        <f t="shared" si="40"/>
        <v>8.7999999999999972</v>
      </c>
      <c r="AA35" s="55">
        <f t="shared" si="41"/>
        <v>5.6081523420324801</v>
      </c>
      <c r="AB35" s="55">
        <f t="shared" si="42"/>
        <v>23.391847657967521</v>
      </c>
      <c r="AC35" s="55">
        <f t="shared" si="43"/>
        <v>0.23974815602572896</v>
      </c>
      <c r="AD35" s="55">
        <v>21.4</v>
      </c>
      <c r="AE35" s="55">
        <f t="shared" si="28"/>
        <v>5.1306105389505996</v>
      </c>
      <c r="AF35" s="55">
        <f t="shared" si="29"/>
        <v>16.2693894610494</v>
      </c>
      <c r="AG35" s="55">
        <v>21.5</v>
      </c>
      <c r="AH35" s="55">
        <f t="shared" si="44"/>
        <v>0.23974815602572896</v>
      </c>
      <c r="AI35" s="55">
        <v>4.0999999999999996</v>
      </c>
      <c r="AJ35" s="55">
        <f t="shared" si="45"/>
        <v>0.98296743970548872</v>
      </c>
      <c r="AL35" s="48">
        <v>36.1</v>
      </c>
      <c r="AM35" s="48">
        <v>24.3</v>
      </c>
      <c r="AN35" s="48">
        <f t="shared" si="46"/>
        <v>11.8</v>
      </c>
      <c r="AO35" s="53">
        <f t="shared" si="47"/>
        <v>4.6992448934961821</v>
      </c>
      <c r="AP35" s="53">
        <f t="shared" si="48"/>
        <v>19.600755106503819</v>
      </c>
      <c r="AQ35" s="55">
        <f t="shared" si="49"/>
        <v>0.23974815602572902</v>
      </c>
      <c r="AR35" s="48">
        <v>6.6</v>
      </c>
      <c r="AS35" s="53">
        <f t="shared" si="50"/>
        <v>1.5823378297698114</v>
      </c>
      <c r="AU35" s="53">
        <v>77.599999999999994</v>
      </c>
      <c r="AV35" s="53">
        <v>51.4</v>
      </c>
      <c r="AW35" s="53">
        <f t="shared" si="51"/>
        <v>26.199999999999996</v>
      </c>
      <c r="AX35" s="53">
        <f t="shared" si="52"/>
        <v>9.9399665648437754</v>
      </c>
      <c r="AY35" s="53">
        <f t="shared" si="53"/>
        <v>41.46003343515622</v>
      </c>
      <c r="AZ35" s="55">
        <f t="shared" si="54"/>
        <v>0.23974815602572902</v>
      </c>
      <c r="BA35" s="53">
        <v>22</v>
      </c>
      <c r="BB35" s="53">
        <f t="shared" si="55"/>
        <v>5.2744594325660383</v>
      </c>
      <c r="BE35" s="1" t="s">
        <v>17</v>
      </c>
    </row>
    <row r="36" spans="1:57" ht="14.5" x14ac:dyDescent="0.35">
      <c r="A36" s="48" t="s">
        <v>34</v>
      </c>
      <c r="B36" s="49" t="s">
        <v>110</v>
      </c>
      <c r="C36" s="48" t="str">
        <f t="shared" si="31"/>
        <v>GB1_1123E_G</v>
      </c>
      <c r="D36" s="50">
        <v>45258</v>
      </c>
      <c r="E36" s="50" t="s">
        <v>17</v>
      </c>
      <c r="F36" s="50">
        <v>45258</v>
      </c>
      <c r="G36" s="48"/>
      <c r="H36" s="48" t="str">
        <f t="shared" si="32"/>
        <v>C,N,S</v>
      </c>
      <c r="I36" s="48"/>
      <c r="J36" s="48">
        <v>130.50101010101005</v>
      </c>
      <c r="K36" s="48">
        <v>143.69999999999999</v>
      </c>
      <c r="L36" s="48">
        <f t="shared" si="30"/>
        <v>13.198989898989936</v>
      </c>
      <c r="M36" s="48">
        <f t="shared" si="33"/>
        <v>99.4</v>
      </c>
      <c r="O36" s="48">
        <f t="shared" si="34"/>
        <v>27.162977867203221</v>
      </c>
      <c r="P36" s="48">
        <f t="shared" si="35"/>
        <v>3.6068799848662225</v>
      </c>
      <c r="Q36" s="94"/>
      <c r="R36" s="48">
        <f t="shared" si="36"/>
        <v>26.458752515090545</v>
      </c>
      <c r="S36" s="48">
        <f t="shared" si="37"/>
        <v>3.5133682815548757</v>
      </c>
      <c r="T36" s="94"/>
      <c r="U36" s="48">
        <f t="shared" si="38"/>
        <v>46.378269617706238</v>
      </c>
      <c r="V36" s="48">
        <f t="shared" si="39"/>
        <v>6.1584136037901045</v>
      </c>
      <c r="W36" s="94"/>
      <c r="X36" s="55">
        <v>36.9</v>
      </c>
      <c r="Y36" s="55">
        <v>27</v>
      </c>
      <c r="Z36" s="55">
        <f t="shared" si="40"/>
        <v>9.8999999999999986</v>
      </c>
      <c r="AA36" s="55">
        <f t="shared" si="41"/>
        <v>3.6068799848662225</v>
      </c>
      <c r="AB36" s="55">
        <f t="shared" si="42"/>
        <v>23.393120015133778</v>
      </c>
      <c r="AC36" s="55">
        <f t="shared" si="43"/>
        <v>0.1541855033673496</v>
      </c>
      <c r="AD36" s="55">
        <v>17.5</v>
      </c>
      <c r="AE36" s="55">
        <f t="shared" si="28"/>
        <v>2.6982463089286179</v>
      </c>
      <c r="AF36" s="55">
        <f t="shared" si="29"/>
        <v>14.801753691071383</v>
      </c>
      <c r="AG36" s="55">
        <v>18.3</v>
      </c>
      <c r="AH36" s="55">
        <f t="shared" si="44"/>
        <v>0.1541855033673496</v>
      </c>
      <c r="AI36" s="55">
        <v>6.1</v>
      </c>
      <c r="AJ36" s="55">
        <f t="shared" si="45"/>
        <v>0.94053157054083247</v>
      </c>
      <c r="AL36" s="48">
        <v>36.6</v>
      </c>
      <c r="AM36" s="48">
        <v>26.3</v>
      </c>
      <c r="AN36" s="48">
        <f t="shared" si="46"/>
        <v>10.3</v>
      </c>
      <c r="AO36" s="53">
        <f t="shared" si="47"/>
        <v>3.5133682815548757</v>
      </c>
      <c r="AP36" s="53">
        <f t="shared" si="48"/>
        <v>22.786631718445125</v>
      </c>
      <c r="AQ36" s="55">
        <f t="shared" si="49"/>
        <v>0.15418550336734957</v>
      </c>
      <c r="AR36" s="48">
        <v>12.9</v>
      </c>
      <c r="AS36" s="53">
        <f t="shared" si="50"/>
        <v>1.9889929934388095</v>
      </c>
      <c r="AU36" s="53">
        <v>70</v>
      </c>
      <c r="AV36" s="53">
        <v>46.1</v>
      </c>
      <c r="AW36" s="53">
        <f t="shared" si="51"/>
        <v>23.9</v>
      </c>
      <c r="AX36" s="53">
        <f t="shared" si="52"/>
        <v>6.1584136037901045</v>
      </c>
      <c r="AY36" s="53">
        <f t="shared" si="53"/>
        <v>39.9415863962099</v>
      </c>
      <c r="AZ36" s="55">
        <f t="shared" si="54"/>
        <v>0.15418550336734954</v>
      </c>
      <c r="BA36" s="53">
        <v>35.200000000000003</v>
      </c>
      <c r="BB36" s="53">
        <f t="shared" si="55"/>
        <v>5.4273297185307046</v>
      </c>
      <c r="BE36" s="1" t="s">
        <v>17</v>
      </c>
    </row>
    <row r="37" spans="1:57" ht="14.5" x14ac:dyDescent="0.35">
      <c r="A37" s="45" t="s">
        <v>24</v>
      </c>
      <c r="B37" s="46" t="s">
        <v>110</v>
      </c>
      <c r="C37" s="45" t="str">
        <f t="shared" si="31"/>
        <v>ACS1_1123E_G</v>
      </c>
      <c r="D37" s="47">
        <v>45258</v>
      </c>
      <c r="E37" s="47" t="s">
        <v>109</v>
      </c>
      <c r="F37" s="47">
        <v>45258</v>
      </c>
      <c r="G37" s="45"/>
      <c r="H37" s="45" t="str">
        <f t="shared" si="32"/>
        <v>C,N,S</v>
      </c>
      <c r="I37" s="45">
        <v>134.80000000000001</v>
      </c>
      <c r="J37" s="45"/>
      <c r="K37" s="45">
        <v>152.80000000000001</v>
      </c>
      <c r="L37" s="45">
        <f t="shared" ref="L37:L44" si="56">K37-I37</f>
        <v>18</v>
      </c>
      <c r="M37" s="45">
        <f t="shared" si="33"/>
        <v>109.4</v>
      </c>
      <c r="O37" s="45">
        <f t="shared" si="34"/>
        <v>25.502742230347348</v>
      </c>
      <c r="P37" s="45">
        <f t="shared" si="35"/>
        <v>4.1960636210809161</v>
      </c>
      <c r="Q37" s="94"/>
      <c r="R37" s="45">
        <f t="shared" si="36"/>
        <v>23.400365630712979</v>
      </c>
      <c r="S37" s="45">
        <f t="shared" si="37"/>
        <v>3.8501515662964683</v>
      </c>
      <c r="T37" s="94"/>
      <c r="U37" s="45">
        <f t="shared" si="38"/>
        <v>51.096892138939666</v>
      </c>
      <c r="V37" s="45">
        <f t="shared" si="39"/>
        <v>8.407166896717678</v>
      </c>
      <c r="W37" s="94"/>
      <c r="X37" s="54">
        <v>40.9</v>
      </c>
      <c r="Y37" s="54">
        <v>27.9</v>
      </c>
      <c r="Z37" s="54">
        <f t="shared" si="40"/>
        <v>13</v>
      </c>
      <c r="AA37" s="54">
        <f t="shared" si="41"/>
        <v>4.1960636210809161</v>
      </c>
      <c r="AB37" s="54">
        <f t="shared" si="42"/>
        <v>23.703936378919082</v>
      </c>
      <c r="AC37" s="54">
        <f t="shared" si="43"/>
        <v>0.17701969639155182</v>
      </c>
      <c r="AD37" s="54">
        <v>15.1</v>
      </c>
      <c r="AE37" s="54">
        <f t="shared" si="28"/>
        <v>2.6729974155124325</v>
      </c>
      <c r="AF37" s="54">
        <f t="shared" si="29"/>
        <v>12.427002584487568</v>
      </c>
      <c r="AG37" s="54">
        <v>15.6</v>
      </c>
      <c r="AH37" s="54">
        <f t="shared" si="44"/>
        <v>0.17701969639155182</v>
      </c>
      <c r="AI37" s="54">
        <v>5.6</v>
      </c>
      <c r="AJ37" s="54">
        <f t="shared" si="45"/>
        <v>0.99131029979269014</v>
      </c>
      <c r="AL37" s="45">
        <v>37.9</v>
      </c>
      <c r="AM37" s="45">
        <v>25.6</v>
      </c>
      <c r="AN37" s="45">
        <f t="shared" si="46"/>
        <v>12.299999999999997</v>
      </c>
      <c r="AO37" s="52">
        <f t="shared" si="47"/>
        <v>3.8501515662964683</v>
      </c>
      <c r="AP37" s="52">
        <f t="shared" si="48"/>
        <v>21.749848433703534</v>
      </c>
      <c r="AQ37" s="54">
        <f t="shared" si="49"/>
        <v>0.17701969639155182</v>
      </c>
      <c r="AR37" s="45">
        <v>8.9</v>
      </c>
      <c r="AS37" s="52">
        <f t="shared" si="50"/>
        <v>1.5754752978848112</v>
      </c>
      <c r="AU37" s="52">
        <v>76.099999999999994</v>
      </c>
      <c r="AV37" s="52">
        <v>55.9</v>
      </c>
      <c r="AW37" s="52">
        <f t="shared" si="51"/>
        <v>20.199999999999996</v>
      </c>
      <c r="AX37" s="52">
        <f t="shared" si="52"/>
        <v>8.407166896717678</v>
      </c>
      <c r="AY37" s="52">
        <f t="shared" si="53"/>
        <v>47.492833103282322</v>
      </c>
      <c r="AZ37" s="54">
        <f t="shared" si="54"/>
        <v>0.17701969639155182</v>
      </c>
      <c r="BA37" s="52">
        <v>26.7</v>
      </c>
      <c r="BB37" s="52">
        <f t="shared" si="55"/>
        <v>4.7264258936544339</v>
      </c>
      <c r="BE37" s="1" t="s">
        <v>17</v>
      </c>
    </row>
    <row r="38" spans="1:57" ht="14.5" x14ac:dyDescent="0.35">
      <c r="A38" s="45" t="s">
        <v>14</v>
      </c>
      <c r="B38" s="46" t="s">
        <v>57</v>
      </c>
      <c r="C38" s="45" t="str">
        <f t="shared" si="31"/>
        <v>P37_11_23_G</v>
      </c>
      <c r="D38" s="47">
        <v>45259</v>
      </c>
      <c r="E38" s="47" t="s">
        <v>17</v>
      </c>
      <c r="F38" s="47">
        <v>45544</v>
      </c>
      <c r="G38" s="45"/>
      <c r="H38" s="45" t="str">
        <f t="shared" si="32"/>
        <v>C,N,S</v>
      </c>
      <c r="I38" s="45">
        <v>130.4</v>
      </c>
      <c r="J38" s="45"/>
      <c r="K38" s="45">
        <v>179.9</v>
      </c>
      <c r="L38" s="45">
        <f t="shared" si="56"/>
        <v>49.5</v>
      </c>
      <c r="M38" s="45">
        <f t="shared" si="33"/>
        <v>130.1</v>
      </c>
      <c r="O38" s="45">
        <f t="shared" si="34"/>
        <v>24.135280553420447</v>
      </c>
      <c r="P38" s="45">
        <f t="shared" si="35"/>
        <v>9.182908435006242</v>
      </c>
      <c r="Q38" s="94"/>
      <c r="R38" s="45">
        <f t="shared" si="36"/>
        <v>22.982321291314374</v>
      </c>
      <c r="S38" s="45">
        <f t="shared" si="37"/>
        <v>8.744234465181103</v>
      </c>
      <c r="T38" s="94"/>
      <c r="U38" s="45">
        <f t="shared" si="38"/>
        <v>52.882398155265179</v>
      </c>
      <c r="V38" s="45">
        <f t="shared" si="39"/>
        <v>20.12051274931304</v>
      </c>
      <c r="W38" s="94"/>
      <c r="X38" s="54">
        <v>42.2</v>
      </c>
      <c r="Y38" s="54">
        <v>31.4</v>
      </c>
      <c r="Z38" s="54">
        <f t="shared" si="40"/>
        <v>10.800000000000004</v>
      </c>
      <c r="AA38" s="54">
        <f t="shared" si="41"/>
        <v>9.182908435006242</v>
      </c>
      <c r="AB38" s="54">
        <f t="shared" si="42"/>
        <v>22.217091564993758</v>
      </c>
      <c r="AC38" s="54">
        <f t="shared" si="43"/>
        <v>0.41332630817776539</v>
      </c>
      <c r="AD38" s="54">
        <v>22.4</v>
      </c>
      <c r="AE38" s="54">
        <f t="shared" si="28"/>
        <v>9.2585093031819437</v>
      </c>
      <c r="AF38" s="54">
        <f t="shared" si="29"/>
        <v>13.141490696818055</v>
      </c>
      <c r="AG38" s="54">
        <v>25.9</v>
      </c>
      <c r="AH38" s="54">
        <f t="shared" si="44"/>
        <v>0.41332630817776539</v>
      </c>
      <c r="AI38" s="54">
        <v>2.1</v>
      </c>
      <c r="AJ38" s="54">
        <f t="shared" si="45"/>
        <v>0.86798524717330738</v>
      </c>
      <c r="AL38" s="45">
        <v>41.9</v>
      </c>
      <c r="AM38" s="45">
        <v>29.9</v>
      </c>
      <c r="AN38" s="45">
        <f t="shared" si="46"/>
        <v>12</v>
      </c>
      <c r="AO38" s="52">
        <f t="shared" si="47"/>
        <v>8.744234465181103</v>
      </c>
      <c r="AP38" s="52">
        <f t="shared" si="48"/>
        <v>21.155765534818897</v>
      </c>
      <c r="AQ38" s="54">
        <f t="shared" si="49"/>
        <v>0.41332630817776539</v>
      </c>
      <c r="AR38" s="45">
        <v>3.4</v>
      </c>
      <c r="AS38" s="52">
        <f t="shared" si="50"/>
        <v>1.4053094478044024</v>
      </c>
      <c r="AU38" s="52">
        <v>93.9</v>
      </c>
      <c r="AV38" s="52">
        <v>68.8</v>
      </c>
      <c r="AW38" s="52">
        <f t="shared" si="51"/>
        <v>25.100000000000009</v>
      </c>
      <c r="AX38" s="52">
        <f t="shared" si="52"/>
        <v>20.12051274931304</v>
      </c>
      <c r="AY38" s="52">
        <f t="shared" si="53"/>
        <v>48.679487250686961</v>
      </c>
      <c r="AZ38" s="54">
        <f t="shared" si="54"/>
        <v>0.41332630817776539</v>
      </c>
      <c r="BA38" s="52">
        <v>11.9</v>
      </c>
      <c r="BB38" s="52">
        <f t="shared" si="55"/>
        <v>4.9185830673154083</v>
      </c>
      <c r="BE38" s="1" t="s">
        <v>17</v>
      </c>
    </row>
    <row r="39" spans="1:57" ht="14.5" x14ac:dyDescent="0.35">
      <c r="A39" s="45" t="s">
        <v>21</v>
      </c>
      <c r="B39" s="46" t="s">
        <v>57</v>
      </c>
      <c r="C39" s="45" t="str">
        <f t="shared" si="31"/>
        <v>EP146_11_23_G</v>
      </c>
      <c r="D39" s="47">
        <v>45259</v>
      </c>
      <c r="E39" s="47" t="s">
        <v>17</v>
      </c>
      <c r="F39" s="47">
        <v>45544</v>
      </c>
      <c r="G39" s="45"/>
      <c r="H39" s="45" t="str">
        <f t="shared" si="32"/>
        <v>C,N,S</v>
      </c>
      <c r="I39" s="45">
        <v>127.1</v>
      </c>
      <c r="J39" s="45"/>
      <c r="K39" s="45">
        <v>164</v>
      </c>
      <c r="L39" s="45">
        <f t="shared" si="56"/>
        <v>36.900000000000006</v>
      </c>
      <c r="M39" s="45">
        <f t="shared" si="33"/>
        <v>119.69999999999999</v>
      </c>
      <c r="O39" s="45">
        <f t="shared" si="34"/>
        <v>21.888053467000837</v>
      </c>
      <c r="P39" s="45">
        <f t="shared" si="35"/>
        <v>6.7474450537371027</v>
      </c>
      <c r="Q39" s="94"/>
      <c r="R39" s="45">
        <f t="shared" si="36"/>
        <v>23.30827067669173</v>
      </c>
      <c r="S39" s="45">
        <f t="shared" si="37"/>
        <v>7.1852563740177535</v>
      </c>
      <c r="T39" s="94"/>
      <c r="U39" s="45">
        <f t="shared" si="38"/>
        <v>54.803675856307436</v>
      </c>
      <c r="V39" s="45">
        <f t="shared" si="39"/>
        <v>16.894366241418084</v>
      </c>
      <c r="W39" s="94"/>
      <c r="X39" s="54">
        <v>41.7</v>
      </c>
      <c r="Y39" s="54">
        <v>26.2</v>
      </c>
      <c r="Z39" s="54">
        <f t="shared" si="40"/>
        <v>15.500000000000004</v>
      </c>
      <c r="AA39" s="54">
        <f t="shared" si="41"/>
        <v>6.7474450537371027</v>
      </c>
      <c r="AB39" s="54">
        <f t="shared" si="42"/>
        <v>19.452554946262897</v>
      </c>
      <c r="AC39" s="54">
        <f t="shared" si="43"/>
        <v>0.346866777776838</v>
      </c>
      <c r="AD39" s="54">
        <v>22.7</v>
      </c>
      <c r="AE39" s="54">
        <f t="shared" si="28"/>
        <v>7.8738758555342221</v>
      </c>
      <c r="AF39" s="54">
        <f t="shared" si="29"/>
        <v>14.826124144465776</v>
      </c>
      <c r="AG39" s="54">
        <v>24.6</v>
      </c>
      <c r="AH39" s="54">
        <f t="shared" si="44"/>
        <v>0.346866777776838</v>
      </c>
      <c r="AI39" s="54">
        <v>2.5</v>
      </c>
      <c r="AJ39" s="54">
        <f t="shared" si="45"/>
        <v>0.86716694444209497</v>
      </c>
      <c r="AL39" s="45">
        <v>39.4</v>
      </c>
      <c r="AM39" s="45">
        <v>27.9</v>
      </c>
      <c r="AN39" s="45">
        <f t="shared" si="46"/>
        <v>11.5</v>
      </c>
      <c r="AO39" s="52">
        <f t="shared" si="47"/>
        <v>7.1852563740177535</v>
      </c>
      <c r="AP39" s="52">
        <f t="shared" si="48"/>
        <v>20.714743625982244</v>
      </c>
      <c r="AQ39" s="54">
        <f t="shared" si="49"/>
        <v>0.34686677777683794</v>
      </c>
      <c r="AR39" s="45">
        <v>4.8</v>
      </c>
      <c r="AS39" s="52">
        <f t="shared" si="50"/>
        <v>1.664960533328822</v>
      </c>
      <c r="AU39" s="52">
        <v>82</v>
      </c>
      <c r="AV39" s="52">
        <v>65.599999999999994</v>
      </c>
      <c r="AW39" s="52">
        <f t="shared" si="51"/>
        <v>16.400000000000006</v>
      </c>
      <c r="AX39" s="52">
        <f t="shared" si="52"/>
        <v>16.894366241418084</v>
      </c>
      <c r="AY39" s="52">
        <f t="shared" si="53"/>
        <v>48.705633758581911</v>
      </c>
      <c r="AZ39" s="54">
        <f t="shared" si="54"/>
        <v>0.34686677777683783</v>
      </c>
      <c r="BA39" s="52">
        <v>15.2</v>
      </c>
      <c r="BB39" s="52">
        <f t="shared" si="55"/>
        <v>5.2723750222079344</v>
      </c>
      <c r="BE39" s="1" t="s">
        <v>17</v>
      </c>
    </row>
    <row r="40" spans="1:57" ht="14.5" x14ac:dyDescent="0.35">
      <c r="A40" s="45" t="s">
        <v>20</v>
      </c>
      <c r="B40" s="46" t="s">
        <v>57</v>
      </c>
      <c r="C40" s="45" t="str">
        <f t="shared" si="31"/>
        <v>CP_11_23_G</v>
      </c>
      <c r="D40" s="47">
        <v>45259</v>
      </c>
      <c r="E40" s="47" t="s">
        <v>17</v>
      </c>
      <c r="F40" s="47">
        <v>45544</v>
      </c>
      <c r="G40" s="45"/>
      <c r="H40" s="45" t="str">
        <f t="shared" si="32"/>
        <v>C,N,S</v>
      </c>
      <c r="I40" s="45">
        <v>128</v>
      </c>
      <c r="J40" s="45"/>
      <c r="K40" s="45">
        <v>156.1</v>
      </c>
      <c r="L40" s="45">
        <f t="shared" si="56"/>
        <v>28.099999999999994</v>
      </c>
      <c r="M40" s="45">
        <f t="shared" si="33"/>
        <v>116.4</v>
      </c>
      <c r="O40" s="45">
        <f t="shared" si="34"/>
        <v>27.40549828178694</v>
      </c>
      <c r="P40" s="45">
        <f t="shared" si="35"/>
        <v>6.6159321453454716</v>
      </c>
      <c r="Q40" s="94"/>
      <c r="R40" s="45">
        <f t="shared" si="36"/>
        <v>23.024054982817869</v>
      </c>
      <c r="S40" s="45">
        <f t="shared" si="37"/>
        <v>5.5582125860582643</v>
      </c>
      <c r="T40" s="94"/>
      <c r="U40" s="45">
        <f t="shared" si="38"/>
        <v>49.570446735395194</v>
      </c>
      <c r="V40" s="45">
        <f t="shared" si="39"/>
        <v>11.966748739386638</v>
      </c>
      <c r="W40" s="94"/>
      <c r="X40" s="54">
        <v>44.8</v>
      </c>
      <c r="Y40" s="54">
        <v>31.9</v>
      </c>
      <c r="Z40" s="54">
        <f t="shared" si="40"/>
        <v>12.899999999999999</v>
      </c>
      <c r="AA40" s="54">
        <f t="shared" si="41"/>
        <v>6.6159321453454716</v>
      </c>
      <c r="AB40" s="54">
        <f t="shared" si="42"/>
        <v>25.284067854654527</v>
      </c>
      <c r="AC40" s="54">
        <f t="shared" si="43"/>
        <v>0.26166407175368933</v>
      </c>
      <c r="AD40" s="54">
        <v>19.3</v>
      </c>
      <c r="AE40" s="54">
        <f t="shared" si="28"/>
        <v>5.0501165848462044</v>
      </c>
      <c r="AF40" s="54">
        <f t="shared" si="29"/>
        <v>14.249883415153796</v>
      </c>
      <c r="AG40" s="54">
        <v>19.7</v>
      </c>
      <c r="AH40" s="54">
        <f t="shared" si="44"/>
        <v>0.26166407175368933</v>
      </c>
      <c r="AI40" s="54">
        <v>3.9</v>
      </c>
      <c r="AJ40" s="54">
        <f t="shared" si="45"/>
        <v>1.0204898798393884</v>
      </c>
      <c r="AL40" s="45">
        <v>42.6</v>
      </c>
      <c r="AM40" s="45">
        <v>26.8</v>
      </c>
      <c r="AN40" s="45">
        <f t="shared" si="46"/>
        <v>15.8</v>
      </c>
      <c r="AO40" s="52">
        <f t="shared" si="47"/>
        <v>5.5582125860582643</v>
      </c>
      <c r="AP40" s="52">
        <f t="shared" si="48"/>
        <v>21.241787413941736</v>
      </c>
      <c r="AQ40" s="54">
        <f t="shared" si="49"/>
        <v>0.26166407175368928</v>
      </c>
      <c r="AR40" s="45">
        <v>5.3</v>
      </c>
      <c r="AS40" s="52">
        <f t="shared" si="50"/>
        <v>1.3868195802945531</v>
      </c>
      <c r="AU40" s="52">
        <v>68.5</v>
      </c>
      <c r="AV40" s="52">
        <v>57.7</v>
      </c>
      <c r="AW40" s="52">
        <f t="shared" si="51"/>
        <v>10.799999999999997</v>
      </c>
      <c r="AX40" s="52">
        <f t="shared" si="52"/>
        <v>11.966748739386638</v>
      </c>
      <c r="AY40" s="52">
        <f t="shared" si="53"/>
        <v>45.733251260613365</v>
      </c>
      <c r="AZ40" s="54">
        <f t="shared" si="54"/>
        <v>0.26166407175368933</v>
      </c>
      <c r="BA40" s="52">
        <v>20.6</v>
      </c>
      <c r="BB40" s="52">
        <f t="shared" si="55"/>
        <v>5.3902798781260008</v>
      </c>
      <c r="BE40" s="1" t="s">
        <v>17</v>
      </c>
    </row>
    <row r="41" spans="1:57" ht="14.5" x14ac:dyDescent="0.35">
      <c r="A41" s="45" t="s">
        <v>22</v>
      </c>
      <c r="B41" s="46" t="s">
        <v>57</v>
      </c>
      <c r="C41" s="45" t="str">
        <f t="shared" si="31"/>
        <v>OL_11_23_G</v>
      </c>
      <c r="D41" s="47">
        <v>45259</v>
      </c>
      <c r="E41" s="47" t="s">
        <v>17</v>
      </c>
      <c r="F41" s="47">
        <v>45544</v>
      </c>
      <c r="G41" s="45"/>
      <c r="H41" s="45" t="str">
        <f t="shared" si="32"/>
        <v>C,N,S</v>
      </c>
      <c r="I41" s="45">
        <v>128.6</v>
      </c>
      <c r="J41" s="45"/>
      <c r="K41" s="45">
        <v>154.6</v>
      </c>
      <c r="L41" s="45">
        <f t="shared" si="56"/>
        <v>26</v>
      </c>
      <c r="M41" s="45">
        <f t="shared" si="33"/>
        <v>115.3</v>
      </c>
      <c r="O41" s="45">
        <f t="shared" si="34"/>
        <v>24.544666088464876</v>
      </c>
      <c r="P41" s="45">
        <f t="shared" si="35"/>
        <v>5.5347902714664947</v>
      </c>
      <c r="Q41" s="94"/>
      <c r="R41" s="45">
        <f t="shared" si="36"/>
        <v>25.585429314830876</v>
      </c>
      <c r="S41" s="45">
        <f t="shared" si="37"/>
        <v>5.7694810250269111</v>
      </c>
      <c r="T41" s="94"/>
      <c r="U41" s="45">
        <f t="shared" si="38"/>
        <v>49.869904596704252</v>
      </c>
      <c r="V41" s="45">
        <f t="shared" si="39"/>
        <v>11.2455986081033</v>
      </c>
      <c r="W41" s="94"/>
      <c r="X41" s="54">
        <v>39.6</v>
      </c>
      <c r="Y41" s="54">
        <v>28.3</v>
      </c>
      <c r="Z41" s="54">
        <f t="shared" si="40"/>
        <v>11.3</v>
      </c>
      <c r="AA41" s="54">
        <f t="shared" si="41"/>
        <v>5.5347902714664947</v>
      </c>
      <c r="AB41" s="54">
        <f t="shared" si="42"/>
        <v>22.765209728533506</v>
      </c>
      <c r="AC41" s="54">
        <f t="shared" si="43"/>
        <v>0.24312494097206966</v>
      </c>
      <c r="AD41" s="54">
        <v>19.600000000000001</v>
      </c>
      <c r="AE41" s="54">
        <f t="shared" si="28"/>
        <v>4.7652488430525652</v>
      </c>
      <c r="AF41" s="54">
        <f t="shared" si="29"/>
        <v>14.834751156947437</v>
      </c>
      <c r="AG41" s="54">
        <v>25.2</v>
      </c>
      <c r="AH41" s="54">
        <f t="shared" si="44"/>
        <v>0.24312494097206966</v>
      </c>
      <c r="AI41" s="54">
        <v>4.3</v>
      </c>
      <c r="AJ41" s="54">
        <f t="shared" si="45"/>
        <v>1.0454372461798995</v>
      </c>
      <c r="AL41" s="45">
        <v>41.8</v>
      </c>
      <c r="AM41" s="45">
        <v>29.5</v>
      </c>
      <c r="AN41" s="45">
        <f t="shared" si="46"/>
        <v>12.299999999999997</v>
      </c>
      <c r="AO41" s="52">
        <f t="shared" si="47"/>
        <v>5.7694810250269111</v>
      </c>
      <c r="AP41" s="52">
        <f t="shared" si="48"/>
        <v>23.730518974973087</v>
      </c>
      <c r="AQ41" s="54">
        <f t="shared" si="49"/>
        <v>0.24312494097206966</v>
      </c>
      <c r="AR41" s="45">
        <v>5.7</v>
      </c>
      <c r="AS41" s="52">
        <f t="shared" si="50"/>
        <v>1.3858121635407972</v>
      </c>
      <c r="AU41" s="52">
        <v>72.8</v>
      </c>
      <c r="AV41" s="52">
        <v>57.5</v>
      </c>
      <c r="AW41" s="52">
        <f t="shared" si="51"/>
        <v>15.299999999999997</v>
      </c>
      <c r="AX41" s="52">
        <f t="shared" si="52"/>
        <v>11.2455986081033</v>
      </c>
      <c r="AY41" s="52">
        <f t="shared" si="53"/>
        <v>46.2544013918967</v>
      </c>
      <c r="AZ41" s="54">
        <f t="shared" si="54"/>
        <v>0.24312494097206963</v>
      </c>
      <c r="BA41" s="52">
        <v>20.3</v>
      </c>
      <c r="BB41" s="52">
        <f t="shared" si="55"/>
        <v>4.9354363017330138</v>
      </c>
      <c r="BE41" s="1" t="s">
        <v>17</v>
      </c>
    </row>
    <row r="42" spans="1:57" ht="14.5" x14ac:dyDescent="0.35">
      <c r="A42" s="45" t="s">
        <v>23</v>
      </c>
      <c r="B42" s="46" t="s">
        <v>57</v>
      </c>
      <c r="C42" s="45" t="str">
        <f t="shared" si="31"/>
        <v>R127_11_23_G</v>
      </c>
      <c r="D42" s="47">
        <v>45259</v>
      </c>
      <c r="E42" s="47" t="s">
        <v>17</v>
      </c>
      <c r="F42" s="47">
        <v>45544</v>
      </c>
      <c r="G42" s="45"/>
      <c r="H42" s="45" t="str">
        <f t="shared" si="32"/>
        <v>C,N,S</v>
      </c>
      <c r="I42" s="45">
        <v>129.9</v>
      </c>
      <c r="J42" s="45"/>
      <c r="K42" s="45">
        <v>159.5</v>
      </c>
      <c r="L42" s="45">
        <f t="shared" si="56"/>
        <v>29.599999999999994</v>
      </c>
      <c r="M42" s="45">
        <f t="shared" si="33"/>
        <v>124.30000000000001</v>
      </c>
      <c r="O42" s="45">
        <f t="shared" si="34"/>
        <v>28.801287208366848</v>
      </c>
      <c r="P42" s="45">
        <f t="shared" si="35"/>
        <v>6.8585527060954021</v>
      </c>
      <c r="Q42" s="94"/>
      <c r="R42" s="45">
        <f t="shared" si="36"/>
        <v>27.43362831858407</v>
      </c>
      <c r="S42" s="45">
        <f t="shared" si="37"/>
        <v>6.5328672423981358</v>
      </c>
      <c r="T42" s="94"/>
      <c r="U42" s="45">
        <f t="shared" si="38"/>
        <v>43.765084473049072</v>
      </c>
      <c r="V42" s="45">
        <f t="shared" si="39"/>
        <v>10.421934838312568</v>
      </c>
      <c r="W42" s="94"/>
      <c r="X42" s="54">
        <v>43.9</v>
      </c>
      <c r="Y42" s="54">
        <v>35.799999999999997</v>
      </c>
      <c r="Z42" s="54">
        <f t="shared" si="40"/>
        <v>8.1000000000000014</v>
      </c>
      <c r="AA42" s="54">
        <f t="shared" si="41"/>
        <v>6.8585527060954021</v>
      </c>
      <c r="AB42" s="54">
        <f t="shared" si="42"/>
        <v>28.941447293904595</v>
      </c>
      <c r="AC42" s="54">
        <f t="shared" si="43"/>
        <v>0.23698029460813774</v>
      </c>
      <c r="AD42" s="54">
        <v>17.600000000000001</v>
      </c>
      <c r="AE42" s="54">
        <f t="shared" si="28"/>
        <v>4.1708531851032244</v>
      </c>
      <c r="AF42" s="54">
        <f t="shared" si="29"/>
        <v>13.429146814896777</v>
      </c>
      <c r="AG42" s="54">
        <v>20.8</v>
      </c>
      <c r="AH42" s="54">
        <f t="shared" si="44"/>
        <v>0.23698029460813774</v>
      </c>
      <c r="AI42" s="54">
        <v>4.0999999999999996</v>
      </c>
      <c r="AJ42" s="54">
        <f t="shared" si="45"/>
        <v>0.97161920789336464</v>
      </c>
      <c r="AL42" s="45">
        <v>40.5</v>
      </c>
      <c r="AM42" s="45">
        <v>34.1</v>
      </c>
      <c r="AN42" s="45">
        <f t="shared" si="46"/>
        <v>6.3999999999999986</v>
      </c>
      <c r="AO42" s="52">
        <f t="shared" si="47"/>
        <v>6.5328672423981358</v>
      </c>
      <c r="AP42" s="52">
        <f t="shared" si="48"/>
        <v>27.567132757601865</v>
      </c>
      <c r="AQ42" s="54">
        <f t="shared" si="49"/>
        <v>0.2369802946081378</v>
      </c>
      <c r="AR42" s="45">
        <v>7.3</v>
      </c>
      <c r="AS42" s="52">
        <f t="shared" si="50"/>
        <v>1.7299561506394059</v>
      </c>
      <c r="AU42" s="52">
        <v>76.2</v>
      </c>
      <c r="AV42" s="52">
        <v>54.4</v>
      </c>
      <c r="AW42" s="52">
        <f t="shared" si="51"/>
        <v>21.800000000000004</v>
      </c>
      <c r="AX42" s="52">
        <f t="shared" si="52"/>
        <v>10.421934838312568</v>
      </c>
      <c r="AY42" s="52">
        <f t="shared" si="53"/>
        <v>43.978065161687432</v>
      </c>
      <c r="AZ42" s="54">
        <f t="shared" si="54"/>
        <v>0.23698029460813777</v>
      </c>
      <c r="BA42" s="52">
        <v>23</v>
      </c>
      <c r="BB42" s="52">
        <f t="shared" si="55"/>
        <v>5.4505467759871689</v>
      </c>
      <c r="BE42" s="1" t="s">
        <v>17</v>
      </c>
    </row>
    <row r="43" spans="1:57" ht="14.5" x14ac:dyDescent="0.35">
      <c r="A43" s="45" t="s">
        <v>58</v>
      </c>
      <c r="B43" s="46" t="s">
        <v>57</v>
      </c>
      <c r="C43" s="45" t="str">
        <f t="shared" si="31"/>
        <v>TSH_11_23_G</v>
      </c>
      <c r="D43" s="47">
        <v>45259</v>
      </c>
      <c r="E43" s="47" t="s">
        <v>17</v>
      </c>
      <c r="F43" s="47">
        <v>45544</v>
      </c>
      <c r="G43" s="45"/>
      <c r="H43" s="45" t="str">
        <f t="shared" si="32"/>
        <v>C,N,S</v>
      </c>
      <c r="I43" s="45">
        <v>128.5</v>
      </c>
      <c r="J43" s="45"/>
      <c r="K43" s="45">
        <v>151.6</v>
      </c>
      <c r="L43" s="45">
        <f t="shared" si="56"/>
        <v>23.099999999999994</v>
      </c>
      <c r="M43" s="45">
        <f t="shared" si="33"/>
        <v>112.69999999999999</v>
      </c>
      <c r="O43" s="45">
        <f t="shared" si="34"/>
        <v>27.86157941437445</v>
      </c>
      <c r="P43" s="45">
        <f t="shared" si="35"/>
        <v>5.7107585135053212</v>
      </c>
      <c r="Q43" s="94"/>
      <c r="R43" s="45">
        <f t="shared" si="36"/>
        <v>26.530612244897959</v>
      </c>
      <c r="S43" s="45">
        <f t="shared" si="37"/>
        <v>5.4379515781467864</v>
      </c>
      <c r="T43" s="94"/>
      <c r="U43" s="45">
        <f t="shared" si="38"/>
        <v>45.607808340727601</v>
      </c>
      <c r="V43" s="45">
        <f t="shared" si="39"/>
        <v>9.3481843182857798</v>
      </c>
      <c r="W43" s="94"/>
      <c r="X43" s="54">
        <v>40.4</v>
      </c>
      <c r="Y43" s="54">
        <v>31.4</v>
      </c>
      <c r="Z43" s="54">
        <f t="shared" si="40"/>
        <v>9</v>
      </c>
      <c r="AA43" s="54">
        <f t="shared" si="41"/>
        <v>5.7107585135053212</v>
      </c>
      <c r="AB43" s="54">
        <f t="shared" si="42"/>
        <v>25.689241486494677</v>
      </c>
      <c r="AC43" s="54">
        <f t="shared" si="43"/>
        <v>0.22230156217370511</v>
      </c>
      <c r="AD43" s="54">
        <v>17.399999999999999</v>
      </c>
      <c r="AE43" s="54">
        <f t="shared" si="28"/>
        <v>3.8680471818224689</v>
      </c>
      <c r="AF43" s="54">
        <f t="shared" si="29"/>
        <v>13.53195281817753</v>
      </c>
      <c r="AG43" s="54">
        <v>18.899999999999999</v>
      </c>
      <c r="AH43" s="54">
        <f t="shared" si="44"/>
        <v>0.22230156217370511</v>
      </c>
      <c r="AI43" s="54">
        <v>4.3</v>
      </c>
      <c r="AJ43" s="54">
        <f t="shared" si="45"/>
        <v>0.95589671734693193</v>
      </c>
      <c r="AL43" s="45">
        <v>39.799999999999997</v>
      </c>
      <c r="AM43" s="45">
        <v>29.9</v>
      </c>
      <c r="AN43" s="45">
        <f t="shared" si="46"/>
        <v>9.8999999999999986</v>
      </c>
      <c r="AO43" s="52">
        <f t="shared" si="47"/>
        <v>5.4379515781467864</v>
      </c>
      <c r="AP43" s="52">
        <f t="shared" si="48"/>
        <v>24.462048421853211</v>
      </c>
      <c r="AQ43" s="54">
        <f t="shared" si="49"/>
        <v>0.22230156217370511</v>
      </c>
      <c r="AR43" s="45">
        <v>5.8</v>
      </c>
      <c r="AS43" s="52">
        <f t="shared" si="50"/>
        <v>1.2893490606074895</v>
      </c>
      <c r="AU43" s="52">
        <v>70.900000000000006</v>
      </c>
      <c r="AV43" s="52">
        <v>51.4</v>
      </c>
      <c r="AW43" s="52">
        <f t="shared" si="51"/>
        <v>19.500000000000007</v>
      </c>
      <c r="AX43" s="52">
        <f t="shared" si="52"/>
        <v>9.3481843182857798</v>
      </c>
      <c r="AY43" s="52">
        <f t="shared" si="53"/>
        <v>42.051815681714217</v>
      </c>
      <c r="AZ43" s="54">
        <f t="shared" si="54"/>
        <v>0.22230156217370509</v>
      </c>
      <c r="BA43" s="52">
        <v>23.6</v>
      </c>
      <c r="BB43" s="52">
        <f t="shared" si="55"/>
        <v>5.2463168672994405</v>
      </c>
      <c r="BE43" s="1" t="s">
        <v>17</v>
      </c>
    </row>
    <row r="44" spans="1:57" ht="14.5" x14ac:dyDescent="0.35">
      <c r="A44" s="45" t="s">
        <v>19</v>
      </c>
      <c r="B44" s="46" t="s">
        <v>57</v>
      </c>
      <c r="C44" s="45" t="str">
        <f t="shared" si="31"/>
        <v>NCL_11_23_G</v>
      </c>
      <c r="D44" s="47">
        <v>45259</v>
      </c>
      <c r="E44" s="47" t="s">
        <v>17</v>
      </c>
      <c r="F44" s="47">
        <v>45544</v>
      </c>
      <c r="G44" s="45"/>
      <c r="H44" s="45" t="str">
        <f t="shared" si="32"/>
        <v>C,N,S</v>
      </c>
      <c r="I44" s="45">
        <v>128.19999999999999</v>
      </c>
      <c r="J44" s="45"/>
      <c r="K44" s="45">
        <v>149.9</v>
      </c>
      <c r="L44" s="45">
        <f t="shared" si="56"/>
        <v>21.700000000000017</v>
      </c>
      <c r="M44" s="45">
        <f t="shared" si="33"/>
        <v>107.5</v>
      </c>
      <c r="O44" s="45">
        <f t="shared" si="34"/>
        <v>21.953488372093023</v>
      </c>
      <c r="P44" s="45">
        <f t="shared" si="35"/>
        <v>4.4315413737155254</v>
      </c>
      <c r="Q44" s="94"/>
      <c r="R44" s="45">
        <f t="shared" si="36"/>
        <v>32.744186046511629</v>
      </c>
      <c r="S44" s="45">
        <f t="shared" si="37"/>
        <v>6.6097566252028175</v>
      </c>
      <c r="T44" s="94"/>
      <c r="U44" s="45">
        <f t="shared" si="38"/>
        <v>45.302325581395351</v>
      </c>
      <c r="V44" s="45">
        <f t="shared" si="39"/>
        <v>9.1447485127095796</v>
      </c>
      <c r="W44" s="94"/>
      <c r="X44" s="54">
        <v>33.299999999999997</v>
      </c>
      <c r="Y44" s="54">
        <v>23.6</v>
      </c>
      <c r="Z44" s="54">
        <f t="shared" si="40"/>
        <v>9.6999999999999957</v>
      </c>
      <c r="AA44" s="54">
        <f t="shared" si="41"/>
        <v>4.4315413737155254</v>
      </c>
      <c r="AB44" s="54">
        <f t="shared" si="42"/>
        <v>19.168458626284476</v>
      </c>
      <c r="AC44" s="54">
        <f t="shared" si="43"/>
        <v>0.23118923957917187</v>
      </c>
      <c r="AD44" s="54">
        <v>20</v>
      </c>
      <c r="AE44" s="54">
        <f t="shared" si="28"/>
        <v>4.6237847915834376</v>
      </c>
      <c r="AF44" s="54">
        <f t="shared" si="29"/>
        <v>15.376215208416562</v>
      </c>
      <c r="AG44" s="54">
        <v>25.3</v>
      </c>
      <c r="AH44" s="54">
        <f t="shared" si="44"/>
        <v>0.23118923957917187</v>
      </c>
      <c r="AI44" s="54">
        <v>4</v>
      </c>
      <c r="AJ44" s="54">
        <f t="shared" si="45"/>
        <v>0.92475695831668747</v>
      </c>
      <c r="AL44" s="45">
        <v>42</v>
      </c>
      <c r="AM44" s="45">
        <v>35.200000000000003</v>
      </c>
      <c r="AN44" s="45">
        <f t="shared" si="46"/>
        <v>6.7999999999999972</v>
      </c>
      <c r="AO44" s="52">
        <f t="shared" si="47"/>
        <v>6.6097566252028175</v>
      </c>
      <c r="AP44" s="52">
        <f t="shared" si="48"/>
        <v>28.590243374797186</v>
      </c>
      <c r="AQ44" s="54">
        <f t="shared" si="49"/>
        <v>0.23118923957917184</v>
      </c>
      <c r="AR44" s="45">
        <v>5.5</v>
      </c>
      <c r="AS44" s="52">
        <f t="shared" si="50"/>
        <v>1.271540817685445</v>
      </c>
      <c r="AU44" s="52">
        <v>74.599999999999994</v>
      </c>
      <c r="AV44" s="52">
        <v>48.7</v>
      </c>
      <c r="AW44" s="52">
        <f t="shared" si="51"/>
        <v>25.899999999999991</v>
      </c>
      <c r="AX44" s="52">
        <f t="shared" si="52"/>
        <v>9.1447485127095796</v>
      </c>
      <c r="AY44" s="52">
        <f t="shared" si="53"/>
        <v>39.55525148729042</v>
      </c>
      <c r="AZ44" s="54">
        <f t="shared" si="54"/>
        <v>0.23118923957917187</v>
      </c>
      <c r="BA44" s="52">
        <v>21</v>
      </c>
      <c r="BB44" s="52">
        <f t="shared" si="55"/>
        <v>4.8549740311626088</v>
      </c>
      <c r="BE44" s="1" t="s">
        <v>17</v>
      </c>
    </row>
    <row r="45" spans="1:57" ht="14.5" x14ac:dyDescent="0.35">
      <c r="A45" s="48" t="s">
        <v>49</v>
      </c>
      <c r="B45" s="49" t="s">
        <v>110</v>
      </c>
      <c r="C45" s="48" t="str">
        <f t="shared" si="31"/>
        <v>SBT2_1123E_G</v>
      </c>
      <c r="D45" s="50">
        <v>45260</v>
      </c>
      <c r="E45" s="50" t="s">
        <v>17</v>
      </c>
      <c r="F45" s="50">
        <v>45320</v>
      </c>
      <c r="G45" s="48"/>
      <c r="H45" s="48" t="str">
        <f t="shared" si="32"/>
        <v>C,N,S</v>
      </c>
      <c r="I45" s="48"/>
      <c r="J45" s="48">
        <v>130.50101010101005</v>
      </c>
      <c r="K45" s="48">
        <v>160</v>
      </c>
      <c r="L45" s="48">
        <f>K45-J45</f>
        <v>29.498989898989947</v>
      </c>
      <c r="M45" s="48">
        <f t="shared" si="33"/>
        <v>108.39999999999999</v>
      </c>
      <c r="O45" s="48">
        <f t="shared" si="34"/>
        <v>26.199261992619927</v>
      </c>
      <c r="P45" s="48">
        <f t="shared" si="35"/>
        <v>7.1296288273181414</v>
      </c>
      <c r="Q45" s="94"/>
      <c r="R45" s="48">
        <f t="shared" si="36"/>
        <v>24.169741697416974</v>
      </c>
      <c r="S45" s="48">
        <f t="shared" si="37"/>
        <v>6.5773336364695529</v>
      </c>
      <c r="T45" s="94"/>
      <c r="U45" s="48">
        <f t="shared" si="38"/>
        <v>49.630996309963102</v>
      </c>
      <c r="V45" s="48">
        <f t="shared" si="39"/>
        <v>13.506127848933662</v>
      </c>
      <c r="W45" s="94"/>
      <c r="X45" s="55">
        <v>45.2</v>
      </c>
      <c r="Y45" s="55">
        <v>28.4</v>
      </c>
      <c r="Z45" s="55">
        <f t="shared" si="40"/>
        <v>16.800000000000004</v>
      </c>
      <c r="AA45" s="55">
        <f t="shared" si="41"/>
        <v>7.1296288273181414</v>
      </c>
      <c r="AB45" s="55">
        <f t="shared" si="42"/>
        <v>21.270371172681855</v>
      </c>
      <c r="AC45" s="55">
        <f t="shared" si="43"/>
        <v>0.33519061653587534</v>
      </c>
      <c r="AD45" s="55">
        <v>17</v>
      </c>
      <c r="AE45" s="55">
        <f t="shared" si="28"/>
        <v>5.698240481109881</v>
      </c>
      <c r="AF45" s="55">
        <f t="shared" si="29"/>
        <v>11.301759518890119</v>
      </c>
      <c r="AG45" s="55">
        <v>17</v>
      </c>
      <c r="AH45" s="55">
        <f t="shared" si="44"/>
        <v>0.33519061653587534</v>
      </c>
      <c r="AI45" s="55">
        <v>3</v>
      </c>
      <c r="AJ45" s="55">
        <f t="shared" si="45"/>
        <v>1.005571849607626</v>
      </c>
      <c r="AL45" s="48">
        <v>38.6</v>
      </c>
      <c r="AM45" s="48">
        <v>26.2</v>
      </c>
      <c r="AN45" s="48">
        <f t="shared" si="46"/>
        <v>12.400000000000002</v>
      </c>
      <c r="AO45" s="53">
        <f t="shared" si="47"/>
        <v>6.5773336364695529</v>
      </c>
      <c r="AP45" s="53">
        <f t="shared" si="48"/>
        <v>19.622666363530445</v>
      </c>
      <c r="AQ45" s="55">
        <f t="shared" si="49"/>
        <v>0.33519061653587534</v>
      </c>
      <c r="AR45" s="48">
        <v>4.8</v>
      </c>
      <c r="AS45" s="53">
        <f t="shared" si="50"/>
        <v>1.6089149593722016</v>
      </c>
      <c r="AU45" s="53">
        <v>76.3</v>
      </c>
      <c r="AV45" s="53">
        <v>53.8</v>
      </c>
      <c r="AW45" s="53">
        <f t="shared" si="51"/>
        <v>22.5</v>
      </c>
      <c r="AX45" s="53">
        <f t="shared" si="52"/>
        <v>13.506127848933662</v>
      </c>
      <c r="AY45" s="53">
        <f t="shared" si="53"/>
        <v>40.293872151066338</v>
      </c>
      <c r="AZ45" s="55">
        <f t="shared" si="54"/>
        <v>0.33519061653587529</v>
      </c>
      <c r="BA45" s="53">
        <v>15.3</v>
      </c>
      <c r="BB45" s="53">
        <f t="shared" si="55"/>
        <v>5.1284164329988924</v>
      </c>
      <c r="BE45" s="1" t="s">
        <v>17</v>
      </c>
    </row>
    <row r="46" spans="1:57" ht="14.5" x14ac:dyDescent="0.35">
      <c r="A46" s="48" t="s">
        <v>55</v>
      </c>
      <c r="B46" s="49" t="s">
        <v>110</v>
      </c>
      <c r="C46" s="48" t="str">
        <f t="shared" si="31"/>
        <v>JB_1123E_G</v>
      </c>
      <c r="D46" s="50">
        <v>45260</v>
      </c>
      <c r="E46" s="50" t="s">
        <v>17</v>
      </c>
      <c r="F46" s="50">
        <v>45320</v>
      </c>
      <c r="G46" s="48"/>
      <c r="H46" s="48" t="str">
        <f t="shared" si="32"/>
        <v>C,N,S</v>
      </c>
      <c r="I46" s="48"/>
      <c r="J46" s="48">
        <v>130.50101010101005</v>
      </c>
      <c r="K46" s="48">
        <v>156.30000000000001</v>
      </c>
      <c r="L46" s="48">
        <f>K46-J46</f>
        <v>25.798989898989959</v>
      </c>
      <c r="M46" s="48">
        <f t="shared" si="33"/>
        <v>108.9</v>
      </c>
      <c r="O46" s="48">
        <f t="shared" si="34"/>
        <v>27.731864095500459</v>
      </c>
      <c r="P46" s="48">
        <f t="shared" si="35"/>
        <v>6.5698262780530641</v>
      </c>
      <c r="Q46" s="94"/>
      <c r="R46" s="48">
        <f t="shared" si="36"/>
        <v>23.140495867768593</v>
      </c>
      <c r="S46" s="48">
        <f t="shared" si="37"/>
        <v>5.4821066955939459</v>
      </c>
      <c r="T46" s="94"/>
      <c r="U46" s="48">
        <f t="shared" si="38"/>
        <v>49.127640036730938</v>
      </c>
      <c r="V46" s="48">
        <f t="shared" si="39"/>
        <v>11.638599532312545</v>
      </c>
      <c r="W46" s="94"/>
      <c r="X46" s="55">
        <v>43.4</v>
      </c>
      <c r="Y46" s="55">
        <v>30.2</v>
      </c>
      <c r="Z46" s="55">
        <f t="shared" si="40"/>
        <v>13.2</v>
      </c>
      <c r="AA46" s="55">
        <f t="shared" si="41"/>
        <v>6.5698262780530641</v>
      </c>
      <c r="AB46" s="55">
        <f t="shared" si="42"/>
        <v>23.630173721946935</v>
      </c>
      <c r="AC46" s="55">
        <f t="shared" si="43"/>
        <v>0.27802699867378561</v>
      </c>
      <c r="AD46" s="55">
        <v>20.8</v>
      </c>
      <c r="AE46" s="55">
        <f t="shared" si="28"/>
        <v>5.7829615724147407</v>
      </c>
      <c r="AF46" s="55">
        <f t="shared" si="29"/>
        <v>15.017038427585259</v>
      </c>
      <c r="AG46" s="55">
        <v>21.1</v>
      </c>
      <c r="AH46" s="55">
        <f t="shared" si="44"/>
        <v>0.27802699867378561</v>
      </c>
      <c r="AI46" s="55">
        <v>3.6</v>
      </c>
      <c r="AJ46" s="55">
        <f t="shared" si="45"/>
        <v>1.0008971952256283</v>
      </c>
      <c r="AL46" s="48">
        <v>36</v>
      </c>
      <c r="AM46" s="48">
        <v>25.2</v>
      </c>
      <c r="AN46" s="48">
        <f t="shared" si="46"/>
        <v>10.8</v>
      </c>
      <c r="AO46" s="53">
        <f t="shared" si="47"/>
        <v>5.4821066955939459</v>
      </c>
      <c r="AP46" s="53">
        <f t="shared" si="48"/>
        <v>19.717893304406054</v>
      </c>
      <c r="AQ46" s="55">
        <f t="shared" si="49"/>
        <v>0.2780269986737855</v>
      </c>
      <c r="AR46" s="48">
        <v>4.9000000000000004</v>
      </c>
      <c r="AS46" s="53">
        <f t="shared" si="50"/>
        <v>1.3623322935015489</v>
      </c>
      <c r="AU46" s="53">
        <v>76.5</v>
      </c>
      <c r="AV46" s="53">
        <v>53.5</v>
      </c>
      <c r="AW46" s="53">
        <f t="shared" si="51"/>
        <v>23</v>
      </c>
      <c r="AX46" s="53">
        <f t="shared" si="52"/>
        <v>11.638599532312545</v>
      </c>
      <c r="AY46" s="53">
        <f t="shared" si="53"/>
        <v>41.861400467687453</v>
      </c>
      <c r="AZ46" s="55">
        <f t="shared" si="54"/>
        <v>0.27802699867378555</v>
      </c>
      <c r="BA46" s="53">
        <v>20.2</v>
      </c>
      <c r="BB46" s="53">
        <f t="shared" si="55"/>
        <v>5.6161453732104683</v>
      </c>
      <c r="BE46" s="1" t="s">
        <v>17</v>
      </c>
    </row>
    <row r="47" spans="1:57" ht="14.5" x14ac:dyDescent="0.35">
      <c r="A47" s="48" t="s">
        <v>44</v>
      </c>
      <c r="B47" s="49" t="s">
        <v>110</v>
      </c>
      <c r="C47" s="48" t="str">
        <f t="shared" si="31"/>
        <v>RB_1123E_G</v>
      </c>
      <c r="D47" s="50">
        <v>45260</v>
      </c>
      <c r="E47" s="50" t="s">
        <v>17</v>
      </c>
      <c r="F47" s="50">
        <v>45320</v>
      </c>
      <c r="G47" s="48"/>
      <c r="H47" s="48" t="str">
        <f t="shared" si="32"/>
        <v>C,N,S</v>
      </c>
      <c r="I47" s="48"/>
      <c r="J47" s="48">
        <v>130.50101010101005</v>
      </c>
      <c r="K47" s="48">
        <v>152.1</v>
      </c>
      <c r="L47" s="48">
        <f>K47-J47</f>
        <v>21.598989898989942</v>
      </c>
      <c r="M47" s="48">
        <f t="shared" si="33"/>
        <v>96.6</v>
      </c>
      <c r="O47" s="48">
        <f t="shared" si="34"/>
        <v>19.668737060041408</v>
      </c>
      <c r="P47" s="48">
        <f t="shared" si="35"/>
        <v>4.3977728062704298</v>
      </c>
      <c r="Q47" s="94"/>
      <c r="R47" s="48">
        <f t="shared" si="36"/>
        <v>31.780538302277435</v>
      </c>
      <c r="S47" s="48">
        <f t="shared" si="37"/>
        <v>7.1058750080264321</v>
      </c>
      <c r="T47" s="94"/>
      <c r="U47" s="48">
        <f t="shared" si="38"/>
        <v>48.550724637681157</v>
      </c>
      <c r="V47" s="48">
        <f t="shared" si="39"/>
        <v>10.855554979688588</v>
      </c>
      <c r="W47" s="94"/>
      <c r="X47" s="55">
        <v>36.1</v>
      </c>
      <c r="Y47" s="55">
        <v>19</v>
      </c>
      <c r="Z47" s="55">
        <f t="shared" si="40"/>
        <v>17.100000000000001</v>
      </c>
      <c r="AA47" s="55">
        <f t="shared" si="41"/>
        <v>4.3977728062704298</v>
      </c>
      <c r="AB47" s="55">
        <f t="shared" si="42"/>
        <v>14.60222719372957</v>
      </c>
      <c r="AC47" s="55">
        <f t="shared" si="43"/>
        <v>0.30117137255328447</v>
      </c>
      <c r="AD47" s="55">
        <v>16.3</v>
      </c>
      <c r="AE47" s="55">
        <f t="shared" ref="AE47:AE78" si="57">AD47*AC47</f>
        <v>4.9090933726185373</v>
      </c>
      <c r="AF47" s="55">
        <f t="shared" ref="AF47:AF78" si="58">AD47-AE47</f>
        <v>11.390906627381463</v>
      </c>
      <c r="AG47" s="55">
        <v>16.2</v>
      </c>
      <c r="AH47" s="55">
        <f t="shared" si="44"/>
        <v>0.30117137255328447</v>
      </c>
      <c r="AI47" s="55">
        <v>2.5</v>
      </c>
      <c r="AJ47" s="55">
        <f t="shared" si="45"/>
        <v>0.75292843138321119</v>
      </c>
      <c r="AL47" s="48">
        <v>42.9</v>
      </c>
      <c r="AM47" s="48">
        <v>30.7</v>
      </c>
      <c r="AN47" s="48">
        <f t="shared" si="46"/>
        <v>12.2</v>
      </c>
      <c r="AO47" s="53">
        <f t="shared" si="47"/>
        <v>7.1058750080264321</v>
      </c>
      <c r="AP47" s="53">
        <f t="shared" si="48"/>
        <v>23.594124991973565</v>
      </c>
      <c r="AQ47" s="55">
        <f t="shared" si="49"/>
        <v>0.30117137255328452</v>
      </c>
      <c r="AR47" s="48">
        <v>6.4</v>
      </c>
      <c r="AS47" s="53">
        <f t="shared" si="50"/>
        <v>1.9274967843410211</v>
      </c>
      <c r="AU47" s="53">
        <v>71.400000000000006</v>
      </c>
      <c r="AV47" s="53">
        <v>46.9</v>
      </c>
      <c r="AW47" s="53">
        <f t="shared" si="51"/>
        <v>24.500000000000007</v>
      </c>
      <c r="AX47" s="53">
        <f t="shared" si="52"/>
        <v>10.855554979688588</v>
      </c>
      <c r="AY47" s="53">
        <f t="shared" si="53"/>
        <v>36.044445020311414</v>
      </c>
      <c r="AZ47" s="55">
        <f t="shared" si="54"/>
        <v>0.30117137255328447</v>
      </c>
      <c r="BA47" s="53">
        <v>17.3</v>
      </c>
      <c r="BB47" s="53">
        <f t="shared" si="55"/>
        <v>5.2102647451718216</v>
      </c>
      <c r="BE47" s="1" t="s">
        <v>17</v>
      </c>
    </row>
    <row r="48" spans="1:57" ht="14.5" x14ac:dyDescent="0.35">
      <c r="A48" s="48" t="s">
        <v>54</v>
      </c>
      <c r="B48" s="49" t="s">
        <v>110</v>
      </c>
      <c r="C48" s="48" t="str">
        <f t="shared" si="31"/>
        <v>TKB_1123E_G</v>
      </c>
      <c r="D48" s="50">
        <v>45260</v>
      </c>
      <c r="E48" s="50" t="s">
        <v>17</v>
      </c>
      <c r="F48" s="50">
        <v>45320</v>
      </c>
      <c r="G48" s="48"/>
      <c r="H48" s="48" t="str">
        <f t="shared" si="32"/>
        <v>C,N,S</v>
      </c>
      <c r="I48" s="48"/>
      <c r="J48" s="48">
        <v>130.50101010101005</v>
      </c>
      <c r="K48" s="48">
        <v>148</v>
      </c>
      <c r="L48" s="48">
        <f>K48-J48</f>
        <v>17.498989898989947</v>
      </c>
      <c r="M48" s="48">
        <f t="shared" si="33"/>
        <v>107.8</v>
      </c>
      <c r="O48" s="48">
        <f t="shared" si="34"/>
        <v>26.90166975881262</v>
      </c>
      <c r="P48" s="48">
        <f t="shared" si="35"/>
        <v>4.3669021092340019</v>
      </c>
      <c r="Q48" s="94"/>
      <c r="R48" s="48">
        <f t="shared" si="36"/>
        <v>25.324675324675326</v>
      </c>
      <c r="S48" s="48">
        <f t="shared" si="37"/>
        <v>4.110911295934077</v>
      </c>
      <c r="T48" s="94"/>
      <c r="U48" s="48">
        <f t="shared" si="38"/>
        <v>47.773654916512058</v>
      </c>
      <c r="V48" s="48">
        <f t="shared" si="39"/>
        <v>7.7550158146741737</v>
      </c>
      <c r="W48" s="94"/>
      <c r="X48" s="55">
        <v>38</v>
      </c>
      <c r="Y48" s="55">
        <v>29</v>
      </c>
      <c r="Z48" s="55">
        <f t="shared" si="40"/>
        <v>9</v>
      </c>
      <c r="AA48" s="55">
        <f t="shared" si="41"/>
        <v>4.3669021092340019</v>
      </c>
      <c r="AB48" s="55">
        <f t="shared" si="42"/>
        <v>24.633097890765999</v>
      </c>
      <c r="AC48" s="55">
        <f t="shared" si="43"/>
        <v>0.17727782874077669</v>
      </c>
      <c r="AD48" s="55">
        <v>19.100000000000001</v>
      </c>
      <c r="AE48" s="55">
        <f t="shared" si="57"/>
        <v>3.386006528948835</v>
      </c>
      <c r="AF48" s="55">
        <f t="shared" si="58"/>
        <v>15.713993471051166</v>
      </c>
      <c r="AG48" s="55">
        <v>19.2</v>
      </c>
      <c r="AH48" s="55">
        <f t="shared" si="44"/>
        <v>0.17727782874077669</v>
      </c>
      <c r="AI48" s="55">
        <v>4.5</v>
      </c>
      <c r="AJ48" s="55">
        <f t="shared" si="45"/>
        <v>0.79775022933349504</v>
      </c>
      <c r="AL48" s="48">
        <v>37.700000000000003</v>
      </c>
      <c r="AM48" s="48">
        <v>27.3</v>
      </c>
      <c r="AN48" s="48">
        <f t="shared" si="46"/>
        <v>10.400000000000002</v>
      </c>
      <c r="AO48" s="53">
        <f t="shared" si="47"/>
        <v>4.110911295934077</v>
      </c>
      <c r="AP48" s="53">
        <f t="shared" si="48"/>
        <v>23.189088704065924</v>
      </c>
      <c r="AQ48" s="55">
        <f t="shared" si="49"/>
        <v>0.17727782874077663</v>
      </c>
      <c r="AR48" s="48">
        <v>8.5</v>
      </c>
      <c r="AS48" s="53">
        <f t="shared" si="50"/>
        <v>1.5068615442966014</v>
      </c>
      <c r="AU48" s="53">
        <v>74</v>
      </c>
      <c r="AV48" s="53">
        <v>51.5</v>
      </c>
      <c r="AW48" s="53">
        <f t="shared" si="51"/>
        <v>22.5</v>
      </c>
      <c r="AX48" s="53">
        <f t="shared" si="52"/>
        <v>7.7550158146741737</v>
      </c>
      <c r="AY48" s="53">
        <f t="shared" si="53"/>
        <v>43.744984185325826</v>
      </c>
      <c r="AZ48" s="55">
        <f t="shared" si="54"/>
        <v>0.17727782874077663</v>
      </c>
      <c r="BA48" s="53">
        <v>28.9</v>
      </c>
      <c r="BB48" s="53">
        <f t="shared" si="55"/>
        <v>5.1233292506084442</v>
      </c>
      <c r="BE48" s="1" t="s">
        <v>17</v>
      </c>
    </row>
    <row r="49" spans="1:58" ht="14.5" x14ac:dyDescent="0.35">
      <c r="A49" s="48" t="s">
        <v>52</v>
      </c>
      <c r="B49" s="49" t="s">
        <v>110</v>
      </c>
      <c r="C49" s="48" t="str">
        <f t="shared" si="31"/>
        <v>WB1_1123E_G</v>
      </c>
      <c r="D49" s="50">
        <v>45260</v>
      </c>
      <c r="E49" s="50" t="s">
        <v>17</v>
      </c>
      <c r="F49" s="50">
        <v>45320</v>
      </c>
      <c r="G49" s="48"/>
      <c r="H49" s="48" t="str">
        <f t="shared" si="32"/>
        <v>C,N,S</v>
      </c>
      <c r="I49" s="48"/>
      <c r="J49" s="48">
        <v>130.50101010101005</v>
      </c>
      <c r="K49" s="48">
        <v>145.9</v>
      </c>
      <c r="L49" s="48">
        <f>K49-J49</f>
        <v>15.398989898989953</v>
      </c>
      <c r="M49" s="48">
        <f t="shared" si="33"/>
        <v>100.9</v>
      </c>
      <c r="O49" s="48">
        <f t="shared" si="34"/>
        <v>26.5609514370664</v>
      </c>
      <c r="P49" s="48">
        <f t="shared" si="35"/>
        <v>4.0536355092859084</v>
      </c>
      <c r="Q49" s="94"/>
      <c r="R49" s="48">
        <f t="shared" si="36"/>
        <v>26.5609514370664</v>
      </c>
      <c r="S49" s="48">
        <f t="shared" si="37"/>
        <v>4.0536355092859084</v>
      </c>
      <c r="T49" s="94"/>
      <c r="U49" s="48">
        <f t="shared" si="38"/>
        <v>46.878097125867193</v>
      </c>
      <c r="V49" s="48">
        <f t="shared" si="39"/>
        <v>7.1543641637769948</v>
      </c>
      <c r="W49" s="94"/>
      <c r="X49" s="55">
        <v>38.799999999999997</v>
      </c>
      <c r="Y49" s="55">
        <v>26.8</v>
      </c>
      <c r="Z49" s="55">
        <f t="shared" si="40"/>
        <v>11.999999999999996</v>
      </c>
      <c r="AA49" s="55">
        <f t="shared" si="41"/>
        <v>4.0536355092859084</v>
      </c>
      <c r="AB49" s="55">
        <f t="shared" si="42"/>
        <v>22.746364490714093</v>
      </c>
      <c r="AC49" s="55">
        <f t="shared" si="43"/>
        <v>0.17821025909176616</v>
      </c>
      <c r="AD49" s="55">
        <v>21</v>
      </c>
      <c r="AE49" s="55">
        <f t="shared" si="57"/>
        <v>3.7424154409270893</v>
      </c>
      <c r="AF49" s="55">
        <f t="shared" si="58"/>
        <v>17.25758455907291</v>
      </c>
      <c r="AG49" s="55">
        <v>21</v>
      </c>
      <c r="AH49" s="55">
        <f t="shared" si="44"/>
        <v>0.17821025909176616</v>
      </c>
      <c r="AI49" s="55">
        <v>5.3</v>
      </c>
      <c r="AJ49" s="55">
        <f t="shared" si="45"/>
        <v>0.94451437318636067</v>
      </c>
      <c r="AL49" s="48">
        <v>36.799999999999997</v>
      </c>
      <c r="AM49" s="48">
        <v>26.8</v>
      </c>
      <c r="AN49" s="48">
        <f t="shared" si="46"/>
        <v>9.9999999999999964</v>
      </c>
      <c r="AO49" s="53">
        <f t="shared" si="47"/>
        <v>4.0536355092859084</v>
      </c>
      <c r="AP49" s="53">
        <f t="shared" si="48"/>
        <v>22.746364490714093</v>
      </c>
      <c r="AQ49" s="55">
        <f t="shared" si="49"/>
        <v>0.17821025909176616</v>
      </c>
      <c r="AR49" s="48">
        <v>8.4</v>
      </c>
      <c r="AS49" s="53">
        <f t="shared" si="50"/>
        <v>1.4969661763708357</v>
      </c>
      <c r="AU49" s="53">
        <v>70.5</v>
      </c>
      <c r="AV49" s="53">
        <v>47.3</v>
      </c>
      <c r="AW49" s="53">
        <f t="shared" si="51"/>
        <v>23.200000000000003</v>
      </c>
      <c r="AX49" s="53">
        <f t="shared" si="52"/>
        <v>7.1543641637769948</v>
      </c>
      <c r="AY49" s="53">
        <f t="shared" si="53"/>
        <v>40.145635836223001</v>
      </c>
      <c r="AZ49" s="55">
        <f t="shared" si="54"/>
        <v>0.17821025909176619</v>
      </c>
      <c r="BA49" s="53">
        <v>30.3</v>
      </c>
      <c r="BB49" s="53">
        <f t="shared" si="55"/>
        <v>5.3997708504805155</v>
      </c>
      <c r="BE49" s="1" t="s">
        <v>17</v>
      </c>
    </row>
    <row r="50" spans="1:58" ht="14.5" x14ac:dyDescent="0.35">
      <c r="A50" s="45" t="s">
        <v>43</v>
      </c>
      <c r="B50" s="46" t="s">
        <v>110</v>
      </c>
      <c r="C50" s="45" t="str">
        <f t="shared" si="31"/>
        <v>GB2_1123E_G</v>
      </c>
      <c r="D50" s="47">
        <v>45260</v>
      </c>
      <c r="E50" s="47" t="s">
        <v>17</v>
      </c>
      <c r="F50" s="47">
        <v>45320</v>
      </c>
      <c r="G50" s="45"/>
      <c r="H50" s="45" t="str">
        <f t="shared" si="32"/>
        <v>C,N,S</v>
      </c>
      <c r="I50" s="45">
        <v>129.69999999999999</v>
      </c>
      <c r="J50" s="45"/>
      <c r="K50" s="45">
        <v>142.9</v>
      </c>
      <c r="L50" s="45">
        <f>K50-I50</f>
        <v>13.200000000000017</v>
      </c>
      <c r="M50" s="45">
        <f t="shared" si="33"/>
        <v>100.5</v>
      </c>
      <c r="O50" s="45">
        <f t="shared" si="34"/>
        <v>22.786069651741293</v>
      </c>
      <c r="P50" s="45">
        <f t="shared" si="35"/>
        <v>2.9927972079899052</v>
      </c>
      <c r="Q50" s="94"/>
      <c r="R50" s="45">
        <f t="shared" si="36"/>
        <v>24.278606965174131</v>
      </c>
      <c r="S50" s="45">
        <f t="shared" si="37"/>
        <v>3.1888319596049644</v>
      </c>
      <c r="T50" s="94"/>
      <c r="U50" s="45">
        <f t="shared" si="38"/>
        <v>52.93532338308458</v>
      </c>
      <c r="V50" s="45">
        <f t="shared" si="39"/>
        <v>6.9526991906141022</v>
      </c>
      <c r="W50" s="94"/>
      <c r="X50" s="54">
        <v>34.1</v>
      </c>
      <c r="Y50" s="54">
        <v>22.9</v>
      </c>
      <c r="Z50" s="54">
        <f t="shared" si="40"/>
        <v>11.200000000000003</v>
      </c>
      <c r="AA50" s="54">
        <f t="shared" si="41"/>
        <v>2.9927972079899052</v>
      </c>
      <c r="AB50" s="54">
        <f t="shared" si="42"/>
        <v>19.907202792010093</v>
      </c>
      <c r="AC50" s="54">
        <f t="shared" si="43"/>
        <v>0.1503374049713849</v>
      </c>
      <c r="AD50" s="54">
        <v>20.7</v>
      </c>
      <c r="AE50" s="54">
        <f t="shared" si="57"/>
        <v>3.1119842829076672</v>
      </c>
      <c r="AF50" s="54">
        <f t="shared" si="58"/>
        <v>17.588015717092333</v>
      </c>
      <c r="AG50" s="54"/>
      <c r="AH50" s="54">
        <f t="shared" si="44"/>
        <v>0.1503374049713849</v>
      </c>
      <c r="AI50" s="54">
        <v>5.6</v>
      </c>
      <c r="AJ50" s="54">
        <f t="shared" si="45"/>
        <v>0.84188946783975538</v>
      </c>
      <c r="AL50" s="45">
        <v>36.299999999999997</v>
      </c>
      <c r="AM50" s="45">
        <v>24.4</v>
      </c>
      <c r="AN50" s="45">
        <f t="shared" si="46"/>
        <v>11.899999999999999</v>
      </c>
      <c r="AO50" s="52">
        <f t="shared" si="47"/>
        <v>3.1888319596049644</v>
      </c>
      <c r="AP50" s="52">
        <f t="shared" si="48"/>
        <v>21.211168040395034</v>
      </c>
      <c r="AQ50" s="54">
        <f t="shared" si="49"/>
        <v>0.15033740497138487</v>
      </c>
      <c r="AR50" s="45">
        <v>11</v>
      </c>
      <c r="AS50" s="52">
        <f t="shared" si="50"/>
        <v>1.6537114546852336</v>
      </c>
      <c r="AU50" s="52">
        <v>72.7</v>
      </c>
      <c r="AV50" s="52">
        <v>53.2</v>
      </c>
      <c r="AW50" s="52">
        <f t="shared" si="51"/>
        <v>19.5</v>
      </c>
      <c r="AX50" s="52">
        <f t="shared" si="52"/>
        <v>6.9526991906141022</v>
      </c>
      <c r="AY50" s="52">
        <f t="shared" si="53"/>
        <v>46.247300809385898</v>
      </c>
      <c r="AZ50" s="54">
        <f t="shared" si="54"/>
        <v>0.15033740497138484</v>
      </c>
      <c r="BA50" s="52">
        <v>33.299999999999997</v>
      </c>
      <c r="BB50" s="52">
        <f t="shared" si="55"/>
        <v>5.006235585547115</v>
      </c>
      <c r="BE50" s="1" t="s">
        <v>17</v>
      </c>
    </row>
    <row r="51" spans="1:58" ht="14.5" x14ac:dyDescent="0.35">
      <c r="A51" s="64" t="s">
        <v>43</v>
      </c>
      <c r="B51" s="65" t="s">
        <v>61</v>
      </c>
      <c r="C51" s="64" t="str">
        <f t="shared" si="31"/>
        <v>GB2_1-24_G</v>
      </c>
      <c r="D51" s="66">
        <v>45297</v>
      </c>
      <c r="E51" s="47" t="s">
        <v>17</v>
      </c>
      <c r="F51" s="64"/>
      <c r="G51" s="64"/>
      <c r="H51" s="64" t="str">
        <f t="shared" si="32"/>
        <v>C,N,S</v>
      </c>
      <c r="I51" s="64">
        <v>132.4</v>
      </c>
      <c r="J51" s="64">
        <v>130.50101010101005</v>
      </c>
      <c r="K51" s="64">
        <v>144.69999999999999</v>
      </c>
      <c r="L51" s="64">
        <f>K51-I51</f>
        <v>12.299999999999983</v>
      </c>
      <c r="M51" s="64">
        <f t="shared" si="33"/>
        <v>104</v>
      </c>
      <c r="O51" s="64">
        <f t="shared" si="34"/>
        <v>26.53846153846154</v>
      </c>
      <c r="P51" s="64">
        <f t="shared" si="35"/>
        <v>3.1386834319526584</v>
      </c>
      <c r="Q51" s="94"/>
      <c r="R51" s="64">
        <f t="shared" si="36"/>
        <v>22.403846153846153</v>
      </c>
      <c r="S51" s="64">
        <f t="shared" si="37"/>
        <v>2.6496856508875704</v>
      </c>
      <c r="T51" s="94"/>
      <c r="U51" s="64">
        <f t="shared" si="38"/>
        <v>51.057692307692307</v>
      </c>
      <c r="V51" s="64">
        <f t="shared" si="39"/>
        <v>6.0385539940828323</v>
      </c>
      <c r="W51" s="94"/>
      <c r="X51" s="67">
        <v>37.200000000000003</v>
      </c>
      <c r="Y51" s="67">
        <v>27.6</v>
      </c>
      <c r="Z51" s="67">
        <f t="shared" si="40"/>
        <v>9.6000000000000014</v>
      </c>
      <c r="AA51" s="67">
        <f t="shared" si="41"/>
        <v>3.1386834319526584</v>
      </c>
      <c r="AB51" s="67">
        <f t="shared" si="42"/>
        <v>24.461316568047344</v>
      </c>
      <c r="AC51" s="67">
        <f t="shared" si="43"/>
        <v>0.12831212184435614</v>
      </c>
      <c r="AD51" s="67">
        <v>16.5</v>
      </c>
      <c r="AE51" s="67">
        <f t="shared" si="57"/>
        <v>2.1171500104318763</v>
      </c>
      <c r="AF51" s="67">
        <f t="shared" si="58"/>
        <v>14.382849989568124</v>
      </c>
      <c r="AG51" s="67">
        <v>17.8</v>
      </c>
      <c r="AH51" s="67">
        <f t="shared" si="44"/>
        <v>0.12831212184435614</v>
      </c>
      <c r="AI51" s="67">
        <v>7.4</v>
      </c>
      <c r="AJ51" s="67">
        <f t="shared" si="45"/>
        <v>0.94950970164823545</v>
      </c>
      <c r="AL51" s="64">
        <v>32.9</v>
      </c>
      <c r="AM51" s="64">
        <v>23.3</v>
      </c>
      <c r="AN51" s="64">
        <f t="shared" si="46"/>
        <v>9.5999999999999979</v>
      </c>
      <c r="AO51" s="68">
        <f t="shared" si="47"/>
        <v>2.6496856508875704</v>
      </c>
      <c r="AP51" s="68">
        <f t="shared" si="48"/>
        <v>20.650314349112431</v>
      </c>
      <c r="AQ51" s="67">
        <f t="shared" si="49"/>
        <v>0.12831212184435614</v>
      </c>
      <c r="AR51" s="64">
        <v>15</v>
      </c>
      <c r="AS51" s="68">
        <f t="shared" si="50"/>
        <v>1.9246818276653421</v>
      </c>
      <c r="AU51" s="68">
        <v>75.8</v>
      </c>
      <c r="AV51" s="68">
        <v>53.1</v>
      </c>
      <c r="AW51" s="68">
        <f t="shared" si="51"/>
        <v>22.699999999999996</v>
      </c>
      <c r="AX51" s="68">
        <f t="shared" si="52"/>
        <v>6.0385539940828323</v>
      </c>
      <c r="AY51" s="68">
        <f t="shared" si="53"/>
        <v>47.061446005917169</v>
      </c>
      <c r="AZ51" s="67">
        <f t="shared" si="54"/>
        <v>0.12831212184435617</v>
      </c>
      <c r="BA51" s="68">
        <v>37.200000000000003</v>
      </c>
      <c r="BB51" s="68">
        <f t="shared" si="55"/>
        <v>4.7732109326100502</v>
      </c>
      <c r="BE51" s="1" t="s">
        <v>17</v>
      </c>
    </row>
    <row r="52" spans="1:58" ht="14.5" x14ac:dyDescent="0.35">
      <c r="A52" s="45" t="s">
        <v>44</v>
      </c>
      <c r="B52" s="46" t="s">
        <v>61</v>
      </c>
      <c r="C52" s="45" t="str">
        <f t="shared" si="31"/>
        <v>RB_1-24_G</v>
      </c>
      <c r="D52" s="47">
        <v>45297</v>
      </c>
      <c r="E52" s="47" t="s">
        <v>17</v>
      </c>
      <c r="F52" s="45"/>
      <c r="G52" s="45"/>
      <c r="H52" s="45" t="str">
        <f t="shared" si="32"/>
        <v>C,N,S</v>
      </c>
      <c r="I52" s="45">
        <v>133</v>
      </c>
      <c r="J52" s="45"/>
      <c r="K52" s="45">
        <v>170</v>
      </c>
      <c r="L52" s="45">
        <f>K52-I52</f>
        <v>37</v>
      </c>
      <c r="M52" s="45">
        <f t="shared" si="33"/>
        <v>140.19999999999999</v>
      </c>
      <c r="O52" s="45">
        <f t="shared" si="34"/>
        <v>26.462196861626254</v>
      </c>
      <c r="P52" s="45">
        <f t="shared" si="35"/>
        <v>6.9836040219698399</v>
      </c>
      <c r="Q52" s="94"/>
      <c r="R52" s="45">
        <f t="shared" si="36"/>
        <v>23.965763195435098</v>
      </c>
      <c r="S52" s="45">
        <f t="shared" si="37"/>
        <v>6.3247734538594775</v>
      </c>
      <c r="T52" s="94"/>
      <c r="U52" s="45">
        <f t="shared" si="38"/>
        <v>49.572039942938659</v>
      </c>
      <c r="V52" s="45">
        <f t="shared" si="39"/>
        <v>13.082492709620045</v>
      </c>
      <c r="W52" s="94"/>
      <c r="X52" s="54">
        <v>43.3</v>
      </c>
      <c r="Y52" s="54">
        <v>37.1</v>
      </c>
      <c r="Z52" s="54">
        <f t="shared" si="40"/>
        <v>6.1999999999999957</v>
      </c>
      <c r="AA52" s="54">
        <f t="shared" si="41"/>
        <v>6.9836040219698399</v>
      </c>
      <c r="AB52" s="54">
        <f t="shared" si="42"/>
        <v>30.116395978030162</v>
      </c>
      <c r="AC52" s="54">
        <f t="shared" si="43"/>
        <v>0.23188710983426974</v>
      </c>
      <c r="AD52" s="54">
        <v>22.6</v>
      </c>
      <c r="AE52" s="54">
        <f t="shared" si="57"/>
        <v>5.2406486822544966</v>
      </c>
      <c r="AF52" s="54">
        <f t="shared" si="58"/>
        <v>17.359351317745507</v>
      </c>
      <c r="AG52" s="54">
        <v>24.1</v>
      </c>
      <c r="AH52" s="54">
        <f t="shared" si="44"/>
        <v>0.23188710983426974</v>
      </c>
      <c r="AI52" s="54">
        <v>3.9</v>
      </c>
      <c r="AJ52" s="54">
        <f t="shared" si="45"/>
        <v>0.90435972835365197</v>
      </c>
      <c r="AL52" s="45">
        <v>43.1</v>
      </c>
      <c r="AM52" s="45">
        <v>33.6</v>
      </c>
      <c r="AN52" s="45">
        <f t="shared" si="46"/>
        <v>9.5</v>
      </c>
      <c r="AO52" s="52">
        <f t="shared" si="47"/>
        <v>6.3247734538594775</v>
      </c>
      <c r="AP52" s="52">
        <f t="shared" si="48"/>
        <v>27.275226546140523</v>
      </c>
      <c r="AQ52" s="54">
        <f t="shared" si="49"/>
        <v>0.23188710983426974</v>
      </c>
      <c r="AR52" s="45">
        <v>8.1999999999999993</v>
      </c>
      <c r="AS52" s="52">
        <f t="shared" si="50"/>
        <v>1.9014743006410117</v>
      </c>
      <c r="AU52" s="52">
        <v>83</v>
      </c>
      <c r="AV52" s="52">
        <v>69.5</v>
      </c>
      <c r="AW52" s="52">
        <f t="shared" si="51"/>
        <v>13.5</v>
      </c>
      <c r="AX52" s="52">
        <f t="shared" si="52"/>
        <v>13.082492709620045</v>
      </c>
      <c r="AY52" s="52">
        <f t="shared" si="53"/>
        <v>56.417507290379959</v>
      </c>
      <c r="AZ52" s="54">
        <f t="shared" si="54"/>
        <v>0.23188710983426963</v>
      </c>
      <c r="BA52" s="52">
        <v>22.9</v>
      </c>
      <c r="BB52" s="52">
        <f t="shared" si="55"/>
        <v>5.3102148152047741</v>
      </c>
      <c r="BE52" s="1" t="s">
        <v>17</v>
      </c>
    </row>
    <row r="53" spans="1:58" ht="14.5" x14ac:dyDescent="0.35">
      <c r="A53" s="48" t="s">
        <v>49</v>
      </c>
      <c r="B53" s="49" t="s">
        <v>61</v>
      </c>
      <c r="C53" s="48" t="str">
        <f t="shared" si="31"/>
        <v>SBT2_1-24_G</v>
      </c>
      <c r="D53" s="50">
        <v>45297</v>
      </c>
      <c r="E53" s="50" t="s">
        <v>17</v>
      </c>
      <c r="F53" s="50">
        <v>45320</v>
      </c>
      <c r="G53" s="48"/>
      <c r="H53" s="48" t="str">
        <f t="shared" si="32"/>
        <v>C,N,S</v>
      </c>
      <c r="I53" s="48"/>
      <c r="J53" s="48">
        <v>130.50101010101005</v>
      </c>
      <c r="K53" s="48">
        <v>158.5</v>
      </c>
      <c r="L53" s="48">
        <f>K53-J53</f>
        <v>27.998989898989947</v>
      </c>
      <c r="M53" s="48">
        <f t="shared" si="33"/>
        <v>107.8</v>
      </c>
      <c r="O53" s="48">
        <f t="shared" si="34"/>
        <v>26.159554730983302</v>
      </c>
      <c r="P53" s="48">
        <f t="shared" si="35"/>
        <v>6.7944444218448625</v>
      </c>
      <c r="Q53" s="94"/>
      <c r="R53" s="48">
        <f t="shared" si="36"/>
        <v>23.933209647495364</v>
      </c>
      <c r="S53" s="48">
        <f t="shared" si="37"/>
        <v>6.2161938327516832</v>
      </c>
      <c r="T53" s="94"/>
      <c r="U53" s="48">
        <f t="shared" si="38"/>
        <v>49.907235621521338</v>
      </c>
      <c r="V53" s="48">
        <f t="shared" si="39"/>
        <v>12.962450705505448</v>
      </c>
      <c r="W53" s="94"/>
      <c r="X53" s="55">
        <v>41.7</v>
      </c>
      <c r="Y53" s="55">
        <v>28.2</v>
      </c>
      <c r="Z53" s="55">
        <f t="shared" si="40"/>
        <v>13.500000000000004</v>
      </c>
      <c r="AA53" s="55">
        <f t="shared" si="41"/>
        <v>6.7944444218448625</v>
      </c>
      <c r="AB53" s="55">
        <f t="shared" si="42"/>
        <v>21.405555578155138</v>
      </c>
      <c r="AC53" s="55">
        <f t="shared" si="43"/>
        <v>0.31741499990678818</v>
      </c>
      <c r="AD53" s="55">
        <v>17.600000000000001</v>
      </c>
      <c r="AE53" s="55">
        <f t="shared" si="57"/>
        <v>5.586503998359472</v>
      </c>
      <c r="AF53" s="55">
        <f t="shared" si="58"/>
        <v>12.013496001640529</v>
      </c>
      <c r="AG53" s="55">
        <v>19.100000000000001</v>
      </c>
      <c r="AH53" s="55">
        <f t="shared" si="44"/>
        <v>0.31741499990678818</v>
      </c>
      <c r="AI53" s="55">
        <v>3.3</v>
      </c>
      <c r="AJ53" s="55">
        <f t="shared" si="45"/>
        <v>1.047469499692401</v>
      </c>
      <c r="AL53" s="48">
        <v>42.3</v>
      </c>
      <c r="AM53" s="48">
        <v>25.8</v>
      </c>
      <c r="AN53" s="48">
        <f t="shared" si="46"/>
        <v>16.499999999999996</v>
      </c>
      <c r="AO53" s="53">
        <f t="shared" si="47"/>
        <v>6.2161938327516832</v>
      </c>
      <c r="AP53" s="53">
        <f t="shared" si="48"/>
        <v>19.583806167248319</v>
      </c>
      <c r="AQ53" s="55">
        <f t="shared" si="49"/>
        <v>0.31741499990678818</v>
      </c>
      <c r="AR53" s="48">
        <v>4.9000000000000004</v>
      </c>
      <c r="AS53" s="53">
        <f t="shared" si="50"/>
        <v>1.5553334995432622</v>
      </c>
      <c r="AU53" s="53">
        <v>74.599999999999994</v>
      </c>
      <c r="AV53" s="53">
        <v>53.8</v>
      </c>
      <c r="AW53" s="53">
        <f t="shared" si="51"/>
        <v>20.799999999999997</v>
      </c>
      <c r="AX53" s="53">
        <f t="shared" si="52"/>
        <v>12.962450705505448</v>
      </c>
      <c r="AY53" s="53">
        <f t="shared" si="53"/>
        <v>40.837549294494551</v>
      </c>
      <c r="AZ53" s="55">
        <f t="shared" si="54"/>
        <v>0.31741499990678823</v>
      </c>
      <c r="BA53" s="53">
        <v>14.3</v>
      </c>
      <c r="BB53" s="53">
        <f t="shared" si="55"/>
        <v>4.5390344986670721</v>
      </c>
      <c r="BE53" s="1" t="s">
        <v>17</v>
      </c>
    </row>
    <row r="54" spans="1:58" ht="14.5" x14ac:dyDescent="0.35">
      <c r="A54" s="45" t="s">
        <v>55</v>
      </c>
      <c r="B54" s="46" t="s">
        <v>61</v>
      </c>
      <c r="C54" s="45" t="str">
        <f t="shared" si="31"/>
        <v>JB_1-24_G</v>
      </c>
      <c r="D54" s="47">
        <v>45297</v>
      </c>
      <c r="E54" s="47" t="s">
        <v>17</v>
      </c>
      <c r="F54" s="47">
        <v>45545</v>
      </c>
      <c r="G54" s="45"/>
      <c r="H54" s="45" t="str">
        <f t="shared" si="32"/>
        <v>C,N,S</v>
      </c>
      <c r="I54" s="45">
        <v>128.69999999999999</v>
      </c>
      <c r="J54" s="45"/>
      <c r="K54" s="45">
        <v>152</v>
      </c>
      <c r="L54" s="45">
        <f t="shared" ref="L54:L85" si="59">K54-I54</f>
        <v>23.300000000000011</v>
      </c>
      <c r="M54" s="45">
        <f t="shared" si="33"/>
        <v>113</v>
      </c>
      <c r="O54" s="45">
        <f t="shared" si="34"/>
        <v>26.371681415929203</v>
      </c>
      <c r="P54" s="45">
        <f t="shared" si="35"/>
        <v>5.437700681337617</v>
      </c>
      <c r="Q54" s="94"/>
      <c r="R54" s="45">
        <f t="shared" si="36"/>
        <v>25.309734513274339</v>
      </c>
      <c r="S54" s="45">
        <f t="shared" si="37"/>
        <v>5.2187328686663044</v>
      </c>
      <c r="T54" s="94"/>
      <c r="U54" s="45">
        <f t="shared" si="38"/>
        <v>48.318584070796462</v>
      </c>
      <c r="V54" s="45">
        <f t="shared" si="39"/>
        <v>9.9630354765447624</v>
      </c>
      <c r="W54" s="94"/>
      <c r="X54" s="54">
        <v>39.4</v>
      </c>
      <c r="Y54" s="54">
        <v>29.8</v>
      </c>
      <c r="Z54" s="54">
        <f t="shared" si="40"/>
        <v>9.5999999999999979</v>
      </c>
      <c r="AA54" s="54">
        <f t="shared" si="41"/>
        <v>5.437700681337617</v>
      </c>
      <c r="AB54" s="54">
        <f t="shared" si="42"/>
        <v>24.362299318662384</v>
      </c>
      <c r="AC54" s="54">
        <f t="shared" si="43"/>
        <v>0.22320145607816852</v>
      </c>
      <c r="AD54" s="54">
        <v>20.6</v>
      </c>
      <c r="AE54" s="54">
        <f t="shared" si="57"/>
        <v>4.5979499952102723</v>
      </c>
      <c r="AF54" s="54">
        <f t="shared" si="58"/>
        <v>16.00205000478973</v>
      </c>
      <c r="AG54" s="54">
        <v>20.7</v>
      </c>
      <c r="AH54" s="54">
        <f t="shared" si="44"/>
        <v>0.22320145607816852</v>
      </c>
      <c r="AI54" s="54">
        <v>3.8</v>
      </c>
      <c r="AJ54" s="54">
        <f t="shared" si="45"/>
        <v>0.84816553309704035</v>
      </c>
      <c r="AL54" s="45">
        <v>38.799999999999997</v>
      </c>
      <c r="AM54" s="45">
        <v>28.6</v>
      </c>
      <c r="AN54" s="45">
        <f t="shared" si="46"/>
        <v>10.199999999999996</v>
      </c>
      <c r="AO54" s="52">
        <f t="shared" si="47"/>
        <v>5.2187328686663044</v>
      </c>
      <c r="AP54" s="52">
        <f t="shared" si="48"/>
        <v>23.381267131333697</v>
      </c>
      <c r="AQ54" s="54">
        <f t="shared" si="49"/>
        <v>0.22320145607816855</v>
      </c>
      <c r="AR54" s="45">
        <v>7.5</v>
      </c>
      <c r="AS54" s="52">
        <f t="shared" si="50"/>
        <v>1.6740109205862641</v>
      </c>
      <c r="AU54" s="52">
        <v>74.5</v>
      </c>
      <c r="AV54" s="52">
        <v>54.6</v>
      </c>
      <c r="AW54" s="52">
        <f t="shared" si="51"/>
        <v>19.899999999999999</v>
      </c>
      <c r="AX54" s="52">
        <f t="shared" si="52"/>
        <v>9.9630354765447624</v>
      </c>
      <c r="AY54" s="52">
        <f t="shared" si="53"/>
        <v>44.636964523455241</v>
      </c>
      <c r="AZ54" s="54">
        <f t="shared" si="54"/>
        <v>0.22320145607816855</v>
      </c>
      <c r="BA54" s="52">
        <v>21.4</v>
      </c>
      <c r="BB54" s="52">
        <f t="shared" si="55"/>
        <v>4.7765111600728067</v>
      </c>
      <c r="BE54" s="1" t="s">
        <v>17</v>
      </c>
    </row>
    <row r="55" spans="1:58" ht="14.5" x14ac:dyDescent="0.35">
      <c r="A55" s="45" t="s">
        <v>56</v>
      </c>
      <c r="B55" s="46" t="s">
        <v>61</v>
      </c>
      <c r="C55" s="45" t="str">
        <f t="shared" si="31"/>
        <v>CC_1-24_G</v>
      </c>
      <c r="D55" s="47">
        <v>45297</v>
      </c>
      <c r="E55" s="47" t="s">
        <v>17</v>
      </c>
      <c r="F55" s="47">
        <v>45545</v>
      </c>
      <c r="G55" s="45"/>
      <c r="H55" s="45" t="str">
        <f t="shared" si="32"/>
        <v>C,N,S</v>
      </c>
      <c r="I55" s="45">
        <v>127.4</v>
      </c>
      <c r="J55" s="45"/>
      <c r="K55" s="45">
        <v>150.69999999999999</v>
      </c>
      <c r="L55" s="45">
        <f t="shared" si="59"/>
        <v>23.299999999999983</v>
      </c>
      <c r="M55" s="45">
        <f t="shared" si="33"/>
        <v>114.1</v>
      </c>
      <c r="O55" s="45">
        <f t="shared" si="34"/>
        <v>23.488168273444348</v>
      </c>
      <c r="P55" s="45">
        <f t="shared" si="35"/>
        <v>4.796444529108264</v>
      </c>
      <c r="Q55" s="94"/>
      <c r="R55" s="45">
        <f t="shared" si="36"/>
        <v>27.870289219982475</v>
      </c>
      <c r="S55" s="45">
        <f t="shared" si="37"/>
        <v>5.6913035830463734</v>
      </c>
      <c r="T55" s="94"/>
      <c r="U55" s="45">
        <f t="shared" si="38"/>
        <v>48.641542506573181</v>
      </c>
      <c r="V55" s="45">
        <f t="shared" si="39"/>
        <v>9.9329354987130092</v>
      </c>
      <c r="W55" s="94"/>
      <c r="X55" s="54">
        <v>36.799999999999997</v>
      </c>
      <c r="Y55" s="54">
        <v>26.8</v>
      </c>
      <c r="Z55" s="54">
        <f t="shared" si="40"/>
        <v>9.9999999999999964</v>
      </c>
      <c r="AA55" s="54">
        <f t="shared" si="41"/>
        <v>4.796444529108264</v>
      </c>
      <c r="AB55" s="54">
        <f t="shared" si="42"/>
        <v>22.003555470891737</v>
      </c>
      <c r="AC55" s="54">
        <f t="shared" si="43"/>
        <v>0.21798497681219875</v>
      </c>
      <c r="AD55" s="54">
        <v>17</v>
      </c>
      <c r="AE55" s="54">
        <f t="shared" si="57"/>
        <v>3.7057446058073786</v>
      </c>
      <c r="AF55" s="54">
        <f t="shared" si="58"/>
        <v>13.294255394192621</v>
      </c>
      <c r="AG55" s="54">
        <v>17.3</v>
      </c>
      <c r="AH55" s="54">
        <f t="shared" si="44"/>
        <v>0.21798497681219875</v>
      </c>
      <c r="AI55" s="54">
        <v>4.3</v>
      </c>
      <c r="AJ55" s="54">
        <f t="shared" si="45"/>
        <v>0.93733540029245455</v>
      </c>
      <c r="AL55" s="45">
        <v>39.9</v>
      </c>
      <c r="AM55" s="45">
        <v>31.8</v>
      </c>
      <c r="AN55" s="45">
        <f t="shared" si="46"/>
        <v>8.0999999999999979</v>
      </c>
      <c r="AO55" s="52">
        <f t="shared" si="47"/>
        <v>5.6913035830463734</v>
      </c>
      <c r="AP55" s="52">
        <f t="shared" si="48"/>
        <v>26.108696416953627</v>
      </c>
      <c r="AQ55" s="54">
        <f t="shared" si="49"/>
        <v>0.21798497681219878</v>
      </c>
      <c r="AR55" s="45">
        <v>6.9</v>
      </c>
      <c r="AS55" s="52">
        <f t="shared" si="50"/>
        <v>1.5040963400041716</v>
      </c>
      <c r="AU55" s="52">
        <v>74.3</v>
      </c>
      <c r="AV55" s="52">
        <v>55.5</v>
      </c>
      <c r="AW55" s="52">
        <f t="shared" si="51"/>
        <v>18.799999999999997</v>
      </c>
      <c r="AX55" s="52">
        <f t="shared" si="52"/>
        <v>9.9329354987130092</v>
      </c>
      <c r="AY55" s="52">
        <f t="shared" si="53"/>
        <v>45.567064501286993</v>
      </c>
      <c r="AZ55" s="54">
        <f t="shared" si="54"/>
        <v>0.21798497681219872</v>
      </c>
      <c r="BA55" s="52">
        <v>19.600000000000001</v>
      </c>
      <c r="BB55" s="52">
        <f t="shared" si="55"/>
        <v>4.2725055455190954</v>
      </c>
      <c r="BE55" s="1" t="s">
        <v>17</v>
      </c>
    </row>
    <row r="56" spans="1:58" ht="14.5" x14ac:dyDescent="0.35">
      <c r="A56" s="74" t="s">
        <v>54</v>
      </c>
      <c r="B56" s="75" t="s">
        <v>61</v>
      </c>
      <c r="C56" s="74" t="str">
        <f t="shared" si="31"/>
        <v>TKB_1-24_G</v>
      </c>
      <c r="D56" s="76">
        <v>45297</v>
      </c>
      <c r="E56" s="76" t="s">
        <v>17</v>
      </c>
      <c r="F56" s="74"/>
      <c r="G56" s="74"/>
      <c r="H56" s="74" t="str">
        <f t="shared" si="32"/>
        <v>C,N,S</v>
      </c>
      <c r="I56" s="74">
        <v>133.9</v>
      </c>
      <c r="J56" s="74"/>
      <c r="K56" s="74">
        <v>146.69999999999999</v>
      </c>
      <c r="L56" s="74">
        <f t="shared" si="59"/>
        <v>12.799999999999983</v>
      </c>
      <c r="M56" s="74">
        <f t="shared" si="33"/>
        <v>104.9</v>
      </c>
      <c r="O56" s="74">
        <f t="shared" si="34"/>
        <v>28.122020972354623</v>
      </c>
      <c r="P56" s="74">
        <f t="shared" si="35"/>
        <v>3.4314763436238191</v>
      </c>
      <c r="Q56" s="97"/>
      <c r="R56" s="74">
        <f t="shared" si="36"/>
        <v>24.499523355576738</v>
      </c>
      <c r="S56" s="74">
        <f t="shared" si="37"/>
        <v>2.9894556620722765</v>
      </c>
      <c r="T56" s="97"/>
      <c r="U56" s="74">
        <f t="shared" si="38"/>
        <v>47.37845567206864</v>
      </c>
      <c r="V56" s="74">
        <f t="shared" si="39"/>
        <v>5.7811652297662324</v>
      </c>
      <c r="W56" s="97"/>
      <c r="X56" s="77">
        <v>38.700000000000003</v>
      </c>
      <c r="Y56" s="77">
        <v>29.5</v>
      </c>
      <c r="Z56" s="77">
        <f t="shared" si="40"/>
        <v>9.2000000000000028</v>
      </c>
      <c r="AA56" s="77">
        <f t="shared" si="41"/>
        <v>3.4314763436238191</v>
      </c>
      <c r="AB56" s="77">
        <f t="shared" si="42"/>
        <v>26.068523656376179</v>
      </c>
      <c r="AC56" s="77">
        <f t="shared" si="43"/>
        <v>0.13163293744041787</v>
      </c>
      <c r="AD56" s="77">
        <v>19.600000000000001</v>
      </c>
      <c r="AE56" s="77">
        <f t="shared" si="57"/>
        <v>2.5800055738321905</v>
      </c>
      <c r="AF56" s="77">
        <f t="shared" si="58"/>
        <v>17.019994426167813</v>
      </c>
      <c r="AG56" s="77">
        <v>19.899999999999999</v>
      </c>
      <c r="AH56" s="77">
        <f t="shared" si="44"/>
        <v>0.13163293744041787</v>
      </c>
      <c r="AI56" s="77">
        <v>6.9</v>
      </c>
      <c r="AJ56" s="77">
        <f t="shared" si="45"/>
        <v>0.90826726833888338</v>
      </c>
      <c r="AK56" s="97"/>
      <c r="AL56" s="74">
        <v>34.799999999999997</v>
      </c>
      <c r="AM56" s="74">
        <v>25.7</v>
      </c>
      <c r="AN56" s="74">
        <f t="shared" si="46"/>
        <v>9.0999999999999979</v>
      </c>
      <c r="AO56" s="78">
        <f t="shared" si="47"/>
        <v>2.9894556620722765</v>
      </c>
      <c r="AP56" s="78">
        <f t="shared" si="48"/>
        <v>22.710544337927722</v>
      </c>
      <c r="AQ56" s="77">
        <f t="shared" si="49"/>
        <v>0.1316329374404179</v>
      </c>
      <c r="AR56" s="74">
        <v>11.7</v>
      </c>
      <c r="AS56" s="78">
        <f t="shared" si="50"/>
        <v>1.5401053680528893</v>
      </c>
      <c r="AT56" s="97"/>
      <c r="AU56" s="78">
        <v>73.3</v>
      </c>
      <c r="AV56" s="78">
        <v>49.7</v>
      </c>
      <c r="AW56" s="78">
        <f t="shared" si="51"/>
        <v>23.599999999999994</v>
      </c>
      <c r="AX56" s="78">
        <f t="shared" si="52"/>
        <v>5.7811652297662324</v>
      </c>
      <c r="AY56" s="78">
        <f t="shared" si="53"/>
        <v>43.918834770233772</v>
      </c>
      <c r="AZ56" s="77">
        <f t="shared" si="54"/>
        <v>0.1316329374404179</v>
      </c>
      <c r="BA56" s="78">
        <v>39.9</v>
      </c>
      <c r="BB56" s="78">
        <f t="shared" si="55"/>
        <v>5.2521542038726743</v>
      </c>
      <c r="BC56" s="97"/>
      <c r="BD56" s="121"/>
      <c r="BE56" s="1" t="s">
        <v>17</v>
      </c>
      <c r="BF56" s="121"/>
    </row>
    <row r="57" spans="1:58" ht="14.5" x14ac:dyDescent="0.35">
      <c r="A57" s="45" t="s">
        <v>52</v>
      </c>
      <c r="B57" s="46" t="s">
        <v>61</v>
      </c>
      <c r="C57" s="45" t="str">
        <f t="shared" si="31"/>
        <v>WB1_1-24_G</v>
      </c>
      <c r="D57" s="47">
        <v>45298</v>
      </c>
      <c r="E57" s="47" t="s">
        <v>17</v>
      </c>
      <c r="F57" s="45"/>
      <c r="G57" s="45"/>
      <c r="H57" s="45" t="str">
        <f t="shared" si="32"/>
        <v>C,N,S</v>
      </c>
      <c r="I57" s="45">
        <v>129.30000000000001</v>
      </c>
      <c r="J57" s="45"/>
      <c r="K57" s="45">
        <v>160.30000000000001</v>
      </c>
      <c r="L57" s="45">
        <f t="shared" si="59"/>
        <v>31</v>
      </c>
      <c r="M57" s="45">
        <f t="shared" si="33"/>
        <v>110.4</v>
      </c>
      <c r="O57" s="45">
        <f t="shared" si="34"/>
        <v>27.717391304347828</v>
      </c>
      <c r="P57" s="45">
        <f t="shared" si="35"/>
        <v>7.7829631379962203</v>
      </c>
      <c r="Q57" s="94"/>
      <c r="R57" s="45">
        <f t="shared" si="36"/>
        <v>24.637681159420289</v>
      </c>
      <c r="S57" s="45">
        <f t="shared" si="37"/>
        <v>6.9181894559966386</v>
      </c>
      <c r="T57" s="94"/>
      <c r="U57" s="45">
        <f t="shared" si="38"/>
        <v>47.644927536231883</v>
      </c>
      <c r="V57" s="45">
        <f t="shared" si="39"/>
        <v>13.378557550934676</v>
      </c>
      <c r="W57" s="94"/>
      <c r="X57" s="54">
        <v>42.1</v>
      </c>
      <c r="Y57" s="54">
        <v>30.6</v>
      </c>
      <c r="Z57" s="54">
        <f t="shared" si="40"/>
        <v>11.5</v>
      </c>
      <c r="AA57" s="54">
        <f t="shared" si="41"/>
        <v>7.7829631379962203</v>
      </c>
      <c r="AB57" s="54">
        <f t="shared" si="42"/>
        <v>22.817036862003782</v>
      </c>
      <c r="AC57" s="54">
        <f t="shared" si="43"/>
        <v>0.34110314959243676</v>
      </c>
      <c r="AD57" s="54">
        <v>18.7</v>
      </c>
      <c r="AE57" s="54">
        <f t="shared" si="57"/>
        <v>6.378628897378567</v>
      </c>
      <c r="AF57" s="54">
        <f t="shared" si="58"/>
        <v>12.321371102621432</v>
      </c>
      <c r="AG57" s="54">
        <v>21.1</v>
      </c>
      <c r="AH57" s="54">
        <f t="shared" si="44"/>
        <v>0.34110314959243676</v>
      </c>
      <c r="AI57" s="54">
        <v>2.5</v>
      </c>
      <c r="AJ57" s="54">
        <f t="shared" si="45"/>
        <v>0.85275787398109193</v>
      </c>
      <c r="AL57" s="45">
        <v>38.1</v>
      </c>
      <c r="AM57" s="45">
        <v>27.2</v>
      </c>
      <c r="AN57" s="45">
        <f t="shared" si="46"/>
        <v>10.900000000000002</v>
      </c>
      <c r="AO57" s="52">
        <f t="shared" si="47"/>
        <v>6.9181894559966386</v>
      </c>
      <c r="AP57" s="52">
        <f t="shared" si="48"/>
        <v>20.28181054400336</v>
      </c>
      <c r="AQ57" s="54">
        <f t="shared" si="49"/>
        <v>0.34110314959243671</v>
      </c>
      <c r="AR57" s="45">
        <v>4.7</v>
      </c>
      <c r="AS57" s="52">
        <f t="shared" si="50"/>
        <v>1.6031848030844527</v>
      </c>
      <c r="AU57" s="52">
        <v>79.400000000000006</v>
      </c>
      <c r="AV57" s="52">
        <v>52.6</v>
      </c>
      <c r="AW57" s="52">
        <f t="shared" si="51"/>
        <v>26.800000000000004</v>
      </c>
      <c r="AX57" s="52">
        <f t="shared" si="52"/>
        <v>13.378557550934676</v>
      </c>
      <c r="AY57" s="52">
        <f t="shared" si="53"/>
        <v>39.221442449065322</v>
      </c>
      <c r="AZ57" s="54">
        <f t="shared" si="54"/>
        <v>0.34110314959243671</v>
      </c>
      <c r="BA57" s="52">
        <v>15.3</v>
      </c>
      <c r="BB57" s="52">
        <f t="shared" si="55"/>
        <v>5.2188781887642817</v>
      </c>
      <c r="BE57" s="1" t="s">
        <v>17</v>
      </c>
    </row>
    <row r="58" spans="1:58" ht="14.5" x14ac:dyDescent="0.35">
      <c r="A58" s="45" t="s">
        <v>41</v>
      </c>
      <c r="B58" s="46" t="s">
        <v>61</v>
      </c>
      <c r="C58" s="45" t="str">
        <f t="shared" si="31"/>
        <v>TB1_1-24_G</v>
      </c>
      <c r="D58" s="47">
        <v>45298</v>
      </c>
      <c r="E58" s="47" t="s">
        <v>17</v>
      </c>
      <c r="F58" s="45"/>
      <c r="G58" s="45"/>
      <c r="H58" s="45" t="str">
        <f t="shared" si="32"/>
        <v>C,N,S</v>
      </c>
      <c r="I58" s="45">
        <v>132.69999999999999</v>
      </c>
      <c r="J58" s="45"/>
      <c r="K58" s="45">
        <v>146.5</v>
      </c>
      <c r="L58" s="45">
        <f t="shared" si="59"/>
        <v>13.800000000000011</v>
      </c>
      <c r="M58" s="45">
        <f t="shared" si="33"/>
        <v>115.5</v>
      </c>
      <c r="N58" s="94"/>
      <c r="O58" s="45">
        <f t="shared" si="34"/>
        <v>25.194805194805198</v>
      </c>
      <c r="P58" s="45">
        <f t="shared" si="35"/>
        <v>3.0102884128858181</v>
      </c>
      <c r="Q58" s="94"/>
      <c r="R58" s="45">
        <f t="shared" si="36"/>
        <v>25.194805194805198</v>
      </c>
      <c r="S58" s="45">
        <f t="shared" si="37"/>
        <v>3.0102884128858181</v>
      </c>
      <c r="T58" s="94"/>
      <c r="U58" s="45">
        <f t="shared" si="38"/>
        <v>49.61038961038961</v>
      </c>
      <c r="V58" s="45">
        <f t="shared" si="39"/>
        <v>5.9274751222803221</v>
      </c>
      <c r="W58" s="94"/>
      <c r="X58" s="54">
        <v>36.1</v>
      </c>
      <c r="Y58" s="54">
        <v>29.1</v>
      </c>
      <c r="Z58" s="54">
        <f t="shared" si="40"/>
        <v>7</v>
      </c>
      <c r="AA58" s="54">
        <f t="shared" si="41"/>
        <v>3.0102884128858181</v>
      </c>
      <c r="AB58" s="54">
        <f t="shared" si="42"/>
        <v>26.089711587114184</v>
      </c>
      <c r="AC58" s="54">
        <f t="shared" si="43"/>
        <v>0.11538220354925702</v>
      </c>
      <c r="AD58" s="54">
        <v>16.899999999999999</v>
      </c>
      <c r="AE58" s="54">
        <f t="shared" si="57"/>
        <v>1.9499592399824435</v>
      </c>
      <c r="AF58" s="54">
        <f t="shared" si="58"/>
        <v>14.950040760017554</v>
      </c>
      <c r="AG58" s="54">
        <v>17.3</v>
      </c>
      <c r="AH58" s="54">
        <f t="shared" si="44"/>
        <v>0.11538220354925702</v>
      </c>
      <c r="AI58" s="54">
        <v>6.9</v>
      </c>
      <c r="AJ58" s="54">
        <f t="shared" si="45"/>
        <v>0.79613720448987346</v>
      </c>
      <c r="AL58" s="45">
        <v>37.6</v>
      </c>
      <c r="AM58" s="45">
        <v>29.1</v>
      </c>
      <c r="AN58" s="45">
        <f t="shared" si="46"/>
        <v>8.5</v>
      </c>
      <c r="AO58" s="52">
        <f t="shared" si="47"/>
        <v>3.0102884128858181</v>
      </c>
      <c r="AP58" s="52">
        <f t="shared" si="48"/>
        <v>26.089711587114184</v>
      </c>
      <c r="AQ58" s="54">
        <f t="shared" si="49"/>
        <v>0.11538220354925702</v>
      </c>
      <c r="AR58" s="45">
        <v>13.5</v>
      </c>
      <c r="AS58" s="52">
        <f t="shared" si="50"/>
        <v>1.5576597479149696</v>
      </c>
      <c r="AU58" s="52">
        <v>72.099999999999994</v>
      </c>
      <c r="AV58" s="52">
        <v>57.3</v>
      </c>
      <c r="AW58" s="52">
        <f t="shared" si="51"/>
        <v>14.799999999999997</v>
      </c>
      <c r="AX58" s="52">
        <f t="shared" si="52"/>
        <v>5.9274751222803221</v>
      </c>
      <c r="AY58" s="52">
        <f t="shared" si="53"/>
        <v>51.372524877719677</v>
      </c>
      <c r="AZ58" s="54">
        <f t="shared" si="54"/>
        <v>0.11538220354925703</v>
      </c>
      <c r="BA58" s="52">
        <v>43.6</v>
      </c>
      <c r="BB58" s="52">
        <f t="shared" si="55"/>
        <v>5.030664074747607</v>
      </c>
      <c r="BE58" s="1" t="s">
        <v>17</v>
      </c>
    </row>
    <row r="59" spans="1:58" ht="14.5" x14ac:dyDescent="0.35">
      <c r="A59" s="45" t="s">
        <v>36</v>
      </c>
      <c r="B59" s="46" t="s">
        <v>61</v>
      </c>
      <c r="C59" s="45" t="str">
        <f t="shared" si="31"/>
        <v>MCS2_1-24_G</v>
      </c>
      <c r="D59" s="47">
        <v>45298</v>
      </c>
      <c r="E59" s="47" t="s">
        <v>17</v>
      </c>
      <c r="F59" s="45"/>
      <c r="G59" s="45"/>
      <c r="H59" s="45" t="str">
        <f t="shared" si="32"/>
        <v>C,N,S</v>
      </c>
      <c r="I59" s="45">
        <v>133.5</v>
      </c>
      <c r="J59" s="45"/>
      <c r="K59" s="45">
        <v>146.1</v>
      </c>
      <c r="L59" s="45">
        <f t="shared" si="59"/>
        <v>12.599999999999994</v>
      </c>
      <c r="M59" s="45">
        <f t="shared" si="33"/>
        <v>97.5</v>
      </c>
      <c r="O59" s="45">
        <f t="shared" si="34"/>
        <v>27.487179487179485</v>
      </c>
      <c r="P59" s="45">
        <f t="shared" si="35"/>
        <v>3.5521893491124241</v>
      </c>
      <c r="Q59" s="94"/>
      <c r="R59" s="45">
        <f t="shared" si="36"/>
        <v>27.384615384615387</v>
      </c>
      <c r="S59" s="45">
        <f t="shared" si="37"/>
        <v>3.5389349112426025</v>
      </c>
      <c r="T59" s="94"/>
      <c r="U59" s="45">
        <f t="shared" si="38"/>
        <v>45.128205128205131</v>
      </c>
      <c r="V59" s="45">
        <f t="shared" si="39"/>
        <v>5.8319526627218918</v>
      </c>
      <c r="W59" s="94"/>
      <c r="X59" s="54">
        <v>39</v>
      </c>
      <c r="Y59" s="54">
        <v>26.8</v>
      </c>
      <c r="Z59" s="54">
        <f t="shared" si="40"/>
        <v>12.2</v>
      </c>
      <c r="AA59" s="54">
        <f t="shared" si="41"/>
        <v>3.5521893491124241</v>
      </c>
      <c r="AB59" s="54">
        <f t="shared" si="42"/>
        <v>23.247810650887576</v>
      </c>
      <c r="AC59" s="54">
        <f t="shared" si="43"/>
        <v>0.15279672578444739</v>
      </c>
      <c r="AD59" s="54">
        <v>17.600000000000001</v>
      </c>
      <c r="AE59" s="54">
        <f t="shared" si="57"/>
        <v>2.6892223738062744</v>
      </c>
      <c r="AF59" s="54">
        <f t="shared" si="58"/>
        <v>14.910777626193727</v>
      </c>
      <c r="AG59" s="54">
        <v>19.7</v>
      </c>
      <c r="AH59" s="54">
        <f t="shared" si="44"/>
        <v>0.15279672578444739</v>
      </c>
      <c r="AI59" s="54">
        <v>5.2</v>
      </c>
      <c r="AJ59" s="54">
        <f t="shared" si="45"/>
        <v>0.79454297407912644</v>
      </c>
      <c r="AL59" s="45">
        <v>36.4</v>
      </c>
      <c r="AM59" s="45">
        <v>26.7</v>
      </c>
      <c r="AN59" s="45">
        <f t="shared" si="46"/>
        <v>9.6999999999999993</v>
      </c>
      <c r="AO59" s="52">
        <f t="shared" si="47"/>
        <v>3.5389349112426025</v>
      </c>
      <c r="AP59" s="52">
        <f t="shared" si="48"/>
        <v>23.161065088757397</v>
      </c>
      <c r="AQ59" s="54">
        <f t="shared" si="49"/>
        <v>0.15279672578444742</v>
      </c>
      <c r="AR59" s="45">
        <v>12.3</v>
      </c>
      <c r="AS59" s="52">
        <f t="shared" si="50"/>
        <v>1.8793997271487033</v>
      </c>
      <c r="AU59" s="52">
        <v>69.900000000000006</v>
      </c>
      <c r="AV59" s="52">
        <v>44</v>
      </c>
      <c r="AW59" s="52">
        <f t="shared" si="51"/>
        <v>25.900000000000006</v>
      </c>
      <c r="AX59" s="52">
        <f t="shared" si="52"/>
        <v>5.8319526627218918</v>
      </c>
      <c r="AY59" s="52">
        <f t="shared" si="53"/>
        <v>38.168047337278111</v>
      </c>
      <c r="AZ59" s="54">
        <f t="shared" si="54"/>
        <v>0.15279672578444742</v>
      </c>
      <c r="BA59" s="52">
        <v>32</v>
      </c>
      <c r="BB59" s="52">
        <f t="shared" si="55"/>
        <v>4.8894952251023174</v>
      </c>
      <c r="BE59" s="1" t="s">
        <v>17</v>
      </c>
    </row>
    <row r="60" spans="1:58" ht="14.5" x14ac:dyDescent="0.35">
      <c r="A60" s="45" t="s">
        <v>28</v>
      </c>
      <c r="B60" s="46" t="s">
        <v>61</v>
      </c>
      <c r="C60" s="45" t="str">
        <f t="shared" si="31"/>
        <v>ACS5_1-24_G</v>
      </c>
      <c r="D60" s="47">
        <v>45302</v>
      </c>
      <c r="E60" s="47" t="s">
        <v>17</v>
      </c>
      <c r="F60" s="45"/>
      <c r="G60" s="45"/>
      <c r="H60" s="45" t="str">
        <f t="shared" si="32"/>
        <v>C,N,S</v>
      </c>
      <c r="I60" s="45">
        <v>132.19999999999999</v>
      </c>
      <c r="J60" s="45"/>
      <c r="K60" s="45">
        <v>145.1</v>
      </c>
      <c r="L60" s="45">
        <f t="shared" si="59"/>
        <v>12.900000000000006</v>
      </c>
      <c r="M60" s="45">
        <f t="shared" si="33"/>
        <v>110.4</v>
      </c>
      <c r="O60" s="45">
        <f t="shared" si="34"/>
        <v>26.086956521739129</v>
      </c>
      <c r="P60" s="45">
        <f t="shared" si="35"/>
        <v>3.0482041587901714</v>
      </c>
      <c r="Q60" s="94"/>
      <c r="R60" s="45">
        <f t="shared" si="36"/>
        <v>24.275362318840578</v>
      </c>
      <c r="S60" s="45">
        <f t="shared" si="37"/>
        <v>2.8365233144297428</v>
      </c>
      <c r="T60" s="94"/>
      <c r="U60" s="45">
        <f t="shared" si="38"/>
        <v>49.637681159420282</v>
      </c>
      <c r="V60" s="45">
        <f t="shared" si="39"/>
        <v>5.8000551354757413</v>
      </c>
      <c r="W60" s="94"/>
      <c r="X60" s="54">
        <v>36.700000000000003</v>
      </c>
      <c r="Y60" s="54">
        <v>28.8</v>
      </c>
      <c r="Z60" s="54">
        <f t="shared" si="40"/>
        <v>7.9000000000000021</v>
      </c>
      <c r="AA60" s="54">
        <f t="shared" si="41"/>
        <v>3.0482041587901714</v>
      </c>
      <c r="AB60" s="54">
        <f t="shared" si="42"/>
        <v>25.75179584120983</v>
      </c>
      <c r="AC60" s="54">
        <f t="shared" si="43"/>
        <v>0.11836860534255328</v>
      </c>
      <c r="AD60" s="54">
        <v>22.7</v>
      </c>
      <c r="AE60" s="54">
        <f t="shared" si="57"/>
        <v>2.6869673412759592</v>
      </c>
      <c r="AF60" s="54">
        <f t="shared" si="58"/>
        <v>20.01303265872404</v>
      </c>
      <c r="AG60" s="54">
        <v>19.5</v>
      </c>
      <c r="AH60" s="54">
        <f t="shared" si="44"/>
        <v>0.11836860534255328</v>
      </c>
      <c r="AI60" s="54">
        <v>6.8</v>
      </c>
      <c r="AJ60" s="54">
        <f t="shared" si="45"/>
        <v>0.80490651632936228</v>
      </c>
      <c r="AL60" s="45">
        <v>37.200000000000003</v>
      </c>
      <c r="AM60" s="45">
        <v>26.8</v>
      </c>
      <c r="AN60" s="45">
        <f t="shared" si="46"/>
        <v>10.400000000000002</v>
      </c>
      <c r="AO60" s="52">
        <f t="shared" si="47"/>
        <v>2.8365233144297428</v>
      </c>
      <c r="AP60" s="52">
        <f t="shared" si="48"/>
        <v>23.963476685570257</v>
      </c>
      <c r="AQ60" s="54">
        <f t="shared" si="49"/>
        <v>0.11836860534255329</v>
      </c>
      <c r="AR60" s="45">
        <v>12.6</v>
      </c>
      <c r="AS60" s="52">
        <f t="shared" si="50"/>
        <v>1.4914444273161716</v>
      </c>
      <c r="AU60" s="52">
        <v>71.2</v>
      </c>
      <c r="AV60" s="52">
        <v>54.8</v>
      </c>
      <c r="AW60" s="52">
        <f t="shared" si="51"/>
        <v>16.400000000000006</v>
      </c>
      <c r="AX60" s="52">
        <f t="shared" si="52"/>
        <v>5.8000551354757413</v>
      </c>
      <c r="AY60" s="52">
        <f t="shared" si="53"/>
        <v>48.999944864524252</v>
      </c>
      <c r="AZ60" s="54">
        <f t="shared" si="54"/>
        <v>0.11836860534255328</v>
      </c>
      <c r="BA60" s="52">
        <v>40</v>
      </c>
      <c r="BB60" s="52">
        <f t="shared" si="55"/>
        <v>4.7347442137021307</v>
      </c>
      <c r="BE60" s="1" t="s">
        <v>17</v>
      </c>
    </row>
    <row r="61" spans="1:58" ht="14.5" x14ac:dyDescent="0.35">
      <c r="A61" s="45" t="s">
        <v>34</v>
      </c>
      <c r="B61" s="46" t="s">
        <v>61</v>
      </c>
      <c r="C61" s="45" t="str">
        <f t="shared" si="31"/>
        <v>GB1_1-24_G</v>
      </c>
      <c r="D61" s="47">
        <v>45302</v>
      </c>
      <c r="E61" s="47" t="s">
        <v>17</v>
      </c>
      <c r="F61" s="47">
        <v>45546</v>
      </c>
      <c r="G61" s="45"/>
      <c r="H61" s="45" t="str">
        <f t="shared" si="32"/>
        <v>C,N,S</v>
      </c>
      <c r="I61" s="45">
        <v>131.69999999999999</v>
      </c>
      <c r="J61" s="45"/>
      <c r="K61" s="45">
        <v>169.7</v>
      </c>
      <c r="L61" s="45">
        <f t="shared" si="59"/>
        <v>38</v>
      </c>
      <c r="M61" s="45">
        <f t="shared" si="33"/>
        <v>127.49999999999999</v>
      </c>
      <c r="O61" s="45">
        <f t="shared" si="34"/>
        <v>27.372549019607845</v>
      </c>
      <c r="P61" s="45">
        <f t="shared" si="35"/>
        <v>8.1580930411380255</v>
      </c>
      <c r="Q61" s="94"/>
      <c r="R61" s="45">
        <f t="shared" si="36"/>
        <v>26.117647058823529</v>
      </c>
      <c r="S61" s="45">
        <f t="shared" si="37"/>
        <v>7.7840830449827001</v>
      </c>
      <c r="T61" s="94"/>
      <c r="U61" s="45">
        <f t="shared" si="38"/>
        <v>46.509803921568633</v>
      </c>
      <c r="V61" s="45">
        <f t="shared" si="39"/>
        <v>13.861745482506731</v>
      </c>
      <c r="W61" s="94"/>
      <c r="X61" s="54">
        <v>42.6</v>
      </c>
      <c r="Y61" s="54">
        <v>34.9</v>
      </c>
      <c r="Z61" s="54">
        <f t="shared" si="40"/>
        <v>7.7000000000000028</v>
      </c>
      <c r="AA61" s="54">
        <f t="shared" si="41"/>
        <v>8.1580930411380255</v>
      </c>
      <c r="AB61" s="54">
        <f t="shared" si="42"/>
        <v>26.741906958861975</v>
      </c>
      <c r="AC61" s="54">
        <f t="shared" si="43"/>
        <v>0.3050677370797793</v>
      </c>
      <c r="AD61" s="54">
        <v>19.3</v>
      </c>
      <c r="AE61" s="54">
        <f t="shared" si="57"/>
        <v>5.8878073256397405</v>
      </c>
      <c r="AF61" s="54">
        <f t="shared" si="58"/>
        <v>13.412192674360259</v>
      </c>
      <c r="AG61" s="54">
        <v>21.9</v>
      </c>
      <c r="AH61" s="54">
        <f t="shared" si="44"/>
        <v>0.3050677370797793</v>
      </c>
      <c r="AI61" s="54">
        <v>2.8</v>
      </c>
      <c r="AJ61" s="54">
        <f t="shared" si="45"/>
        <v>0.85418966382338202</v>
      </c>
      <c r="AL61" s="45">
        <v>48.4</v>
      </c>
      <c r="AM61" s="45">
        <v>33.299999999999997</v>
      </c>
      <c r="AN61" s="45">
        <f t="shared" si="46"/>
        <v>15.100000000000001</v>
      </c>
      <c r="AO61" s="52">
        <f t="shared" si="47"/>
        <v>7.7840830449827001</v>
      </c>
      <c r="AP61" s="52">
        <f t="shared" si="48"/>
        <v>25.515916955017296</v>
      </c>
      <c r="AQ61" s="54">
        <f t="shared" si="49"/>
        <v>0.30506773707977936</v>
      </c>
      <c r="AR61" s="45">
        <v>4.5999999999999996</v>
      </c>
      <c r="AS61" s="52">
        <f t="shared" si="50"/>
        <v>1.4033115905669848</v>
      </c>
      <c r="AU61" s="52">
        <v>78.099999999999994</v>
      </c>
      <c r="AV61" s="52">
        <v>59.3</v>
      </c>
      <c r="AW61" s="52">
        <f t="shared" si="51"/>
        <v>18.799999999999997</v>
      </c>
      <c r="AX61" s="52">
        <f t="shared" si="52"/>
        <v>13.861745482506731</v>
      </c>
      <c r="AY61" s="52">
        <f t="shared" si="53"/>
        <v>45.438254517493263</v>
      </c>
      <c r="AZ61" s="54">
        <f t="shared" si="54"/>
        <v>0.30506773707977936</v>
      </c>
      <c r="BA61" s="52">
        <v>18</v>
      </c>
      <c r="BB61" s="52">
        <f t="shared" si="55"/>
        <v>5.4912192674360281</v>
      </c>
      <c r="BE61" s="1" t="s">
        <v>17</v>
      </c>
    </row>
    <row r="62" spans="1:58" ht="14.5" x14ac:dyDescent="0.35">
      <c r="A62" s="45" t="s">
        <v>26</v>
      </c>
      <c r="B62" s="46" t="s">
        <v>61</v>
      </c>
      <c r="C62" s="45" t="str">
        <f t="shared" si="31"/>
        <v>ACS3_1-24_G</v>
      </c>
      <c r="D62" s="47">
        <v>45302</v>
      </c>
      <c r="E62" s="47" t="s">
        <v>17</v>
      </c>
      <c r="F62" s="45"/>
      <c r="G62" s="45"/>
      <c r="H62" s="45" t="str">
        <f t="shared" si="32"/>
        <v>C,N,S</v>
      </c>
      <c r="I62" s="45">
        <v>133.69999999999999</v>
      </c>
      <c r="J62" s="45"/>
      <c r="K62" s="45">
        <v>156.1</v>
      </c>
      <c r="L62" s="45">
        <f t="shared" si="59"/>
        <v>22.400000000000006</v>
      </c>
      <c r="M62" s="45">
        <f t="shared" si="33"/>
        <v>119.5</v>
      </c>
      <c r="O62" s="45">
        <f t="shared" si="34"/>
        <v>23.682008368200837</v>
      </c>
      <c r="P62" s="45">
        <f t="shared" si="35"/>
        <v>4.4391379702736309</v>
      </c>
      <c r="Q62" s="94"/>
      <c r="R62" s="45">
        <f t="shared" si="36"/>
        <v>26.694560669456063</v>
      </c>
      <c r="S62" s="45">
        <f t="shared" si="37"/>
        <v>5.0038339664921843</v>
      </c>
      <c r="T62" s="94"/>
      <c r="U62" s="45">
        <f t="shared" si="38"/>
        <v>49.623430962343093</v>
      </c>
      <c r="V62" s="45">
        <f t="shared" si="39"/>
        <v>9.3017979377111768</v>
      </c>
      <c r="W62" s="94"/>
      <c r="X62" s="54">
        <v>39.299999999999997</v>
      </c>
      <c r="Y62" s="54">
        <v>28.3</v>
      </c>
      <c r="Z62" s="54">
        <f t="shared" si="40"/>
        <v>10.999999999999996</v>
      </c>
      <c r="AA62" s="54">
        <f t="shared" si="41"/>
        <v>4.4391379702736309</v>
      </c>
      <c r="AB62" s="54">
        <f t="shared" si="42"/>
        <v>23.86086202972637</v>
      </c>
      <c r="AC62" s="54">
        <f t="shared" si="43"/>
        <v>0.18604264861610023</v>
      </c>
      <c r="AD62" s="54">
        <v>21.3</v>
      </c>
      <c r="AE62" s="54">
        <f t="shared" si="57"/>
        <v>3.9627084155229348</v>
      </c>
      <c r="AF62" s="54">
        <f t="shared" si="58"/>
        <v>17.337291584477065</v>
      </c>
      <c r="AG62" s="54">
        <v>23.1</v>
      </c>
      <c r="AH62" s="54">
        <f t="shared" si="44"/>
        <v>0.18604264861610023</v>
      </c>
      <c r="AI62" s="54">
        <v>4.5999999999999996</v>
      </c>
      <c r="AJ62" s="54">
        <f t="shared" si="45"/>
        <v>0.85579618363406096</v>
      </c>
      <c r="AL62" s="45">
        <v>38.200000000000003</v>
      </c>
      <c r="AM62" s="45">
        <v>31.9</v>
      </c>
      <c r="AN62" s="45">
        <f t="shared" si="46"/>
        <v>6.3000000000000043</v>
      </c>
      <c r="AO62" s="52">
        <f t="shared" si="47"/>
        <v>5.0038339664921843</v>
      </c>
      <c r="AP62" s="52">
        <f t="shared" si="48"/>
        <v>26.896166033507814</v>
      </c>
      <c r="AQ62" s="54">
        <f t="shared" si="49"/>
        <v>0.18604264861610023</v>
      </c>
      <c r="AR62" s="45">
        <v>10</v>
      </c>
      <c r="AS62" s="52">
        <f t="shared" si="50"/>
        <v>1.8604264861610023</v>
      </c>
      <c r="AU62" s="52">
        <v>79.900000000000006</v>
      </c>
      <c r="AV62" s="52">
        <v>59.3</v>
      </c>
      <c r="AW62" s="52">
        <f t="shared" si="51"/>
        <v>20.600000000000009</v>
      </c>
      <c r="AX62" s="52">
        <f t="shared" si="52"/>
        <v>9.3017979377111768</v>
      </c>
      <c r="AY62" s="52">
        <f t="shared" si="53"/>
        <v>49.998202062288819</v>
      </c>
      <c r="AZ62" s="54">
        <f t="shared" si="54"/>
        <v>0.18604264861610023</v>
      </c>
      <c r="BA62" s="52">
        <v>26.2</v>
      </c>
      <c r="BB62" s="52">
        <f t="shared" si="55"/>
        <v>4.8743173937418263</v>
      </c>
      <c r="BE62" s="1" t="s">
        <v>17</v>
      </c>
    </row>
    <row r="63" spans="1:58" ht="14.5" x14ac:dyDescent="0.35">
      <c r="A63" s="45" t="s">
        <v>33</v>
      </c>
      <c r="B63" s="46" t="s">
        <v>61</v>
      </c>
      <c r="C63" s="45" t="str">
        <f t="shared" si="31"/>
        <v>DCM2_1-24_G</v>
      </c>
      <c r="D63" s="47">
        <v>45302</v>
      </c>
      <c r="E63" s="47" t="s">
        <v>17</v>
      </c>
      <c r="F63" s="45"/>
      <c r="G63" s="45"/>
      <c r="H63" s="45" t="str">
        <f t="shared" si="32"/>
        <v>C,N,S</v>
      </c>
      <c r="I63" s="45">
        <v>134</v>
      </c>
      <c r="J63" s="45"/>
      <c r="K63" s="45">
        <v>145.9</v>
      </c>
      <c r="L63" s="45">
        <f t="shared" si="59"/>
        <v>11.900000000000006</v>
      </c>
      <c r="M63" s="45">
        <f t="shared" si="33"/>
        <v>101.5</v>
      </c>
      <c r="O63" s="45">
        <f t="shared" si="34"/>
        <v>25.911330049261082</v>
      </c>
      <c r="P63" s="45">
        <f t="shared" si="35"/>
        <v>3.037880074740956</v>
      </c>
      <c r="Q63" s="94"/>
      <c r="R63" s="45">
        <f t="shared" si="36"/>
        <v>26.699507389162562</v>
      </c>
      <c r="S63" s="45">
        <f t="shared" si="37"/>
        <v>3.1302870732121639</v>
      </c>
      <c r="T63" s="94"/>
      <c r="U63" s="45">
        <f t="shared" si="38"/>
        <v>47.389162561576356</v>
      </c>
      <c r="V63" s="45">
        <f t="shared" si="39"/>
        <v>5.555970783081368</v>
      </c>
      <c r="W63" s="94"/>
      <c r="X63" s="54">
        <v>37.5</v>
      </c>
      <c r="Y63" s="54">
        <v>26.3</v>
      </c>
      <c r="Z63" s="54">
        <f t="shared" si="40"/>
        <v>11.2</v>
      </c>
      <c r="AA63" s="54">
        <f t="shared" si="41"/>
        <v>3.037880074740956</v>
      </c>
      <c r="AB63" s="54">
        <f t="shared" si="42"/>
        <v>23.262119925259043</v>
      </c>
      <c r="AC63" s="54">
        <f t="shared" si="43"/>
        <v>0.13059343191857123</v>
      </c>
      <c r="AD63" s="54">
        <v>16.5</v>
      </c>
      <c r="AE63" s="54">
        <f t="shared" si="57"/>
        <v>2.1547916266564253</v>
      </c>
      <c r="AF63" s="54">
        <f t="shared" si="58"/>
        <v>14.345208373343574</v>
      </c>
      <c r="AG63" s="54">
        <v>16.8</v>
      </c>
      <c r="AH63" s="54">
        <f t="shared" si="44"/>
        <v>0.13059343191857123</v>
      </c>
      <c r="AI63" s="54">
        <v>6.7</v>
      </c>
      <c r="AJ63" s="54">
        <f t="shared" si="45"/>
        <v>0.87497599385442726</v>
      </c>
      <c r="AL63" s="45">
        <v>37.200000000000003</v>
      </c>
      <c r="AM63" s="45">
        <v>27.1</v>
      </c>
      <c r="AN63" s="45">
        <f t="shared" si="46"/>
        <v>10.100000000000001</v>
      </c>
      <c r="AO63" s="52">
        <f t="shared" si="47"/>
        <v>3.1302870732121639</v>
      </c>
      <c r="AP63" s="52">
        <f t="shared" si="48"/>
        <v>23.969712926787839</v>
      </c>
      <c r="AQ63" s="54">
        <f t="shared" si="49"/>
        <v>0.1305934319185712</v>
      </c>
      <c r="AR63" s="45">
        <v>12.7</v>
      </c>
      <c r="AS63" s="52">
        <f t="shared" si="50"/>
        <v>1.6585365853658542</v>
      </c>
      <c r="AU63" s="52">
        <v>70.599999999999994</v>
      </c>
      <c r="AV63" s="52">
        <v>48.1</v>
      </c>
      <c r="AW63" s="52">
        <f t="shared" si="51"/>
        <v>22.499999999999993</v>
      </c>
      <c r="AX63" s="52">
        <f t="shared" si="52"/>
        <v>5.555970783081368</v>
      </c>
      <c r="AY63" s="52">
        <f t="shared" si="53"/>
        <v>42.544029216918631</v>
      </c>
      <c r="AZ63" s="54">
        <f t="shared" si="54"/>
        <v>0.13059343191857123</v>
      </c>
      <c r="BA63" s="52">
        <v>40.700000000000003</v>
      </c>
      <c r="BB63" s="52">
        <f t="shared" si="55"/>
        <v>5.3151526790858492</v>
      </c>
      <c r="BE63" s="1" t="s">
        <v>17</v>
      </c>
    </row>
    <row r="64" spans="1:58" ht="14.5" x14ac:dyDescent="0.35">
      <c r="A64" s="45" t="s">
        <v>29</v>
      </c>
      <c r="B64" s="46" t="s">
        <v>61</v>
      </c>
      <c r="C64" s="45" t="str">
        <f t="shared" si="31"/>
        <v>GBHM_1-24_G</v>
      </c>
      <c r="D64" s="47">
        <v>45302</v>
      </c>
      <c r="E64" s="47" t="s">
        <v>17</v>
      </c>
      <c r="F64" s="45"/>
      <c r="G64" s="45"/>
      <c r="H64" s="45" t="str">
        <f t="shared" si="32"/>
        <v>C,N,S</v>
      </c>
      <c r="I64" s="45">
        <v>135.1</v>
      </c>
      <c r="J64" s="45"/>
      <c r="K64" s="45">
        <v>148.6</v>
      </c>
      <c r="L64" s="45">
        <f t="shared" si="59"/>
        <v>13.5</v>
      </c>
      <c r="M64" s="45">
        <f t="shared" si="33"/>
        <v>120</v>
      </c>
      <c r="O64" s="45">
        <f t="shared" si="34"/>
        <v>24.583333333333332</v>
      </c>
      <c r="P64" s="45">
        <f t="shared" si="35"/>
        <v>2.765625</v>
      </c>
      <c r="Q64" s="94"/>
      <c r="R64" s="45">
        <f t="shared" si="36"/>
        <v>26.75</v>
      </c>
      <c r="S64" s="45">
        <f t="shared" si="37"/>
        <v>3.0093750000000004</v>
      </c>
      <c r="T64" s="94"/>
      <c r="U64" s="45">
        <f t="shared" si="38"/>
        <v>48.666666666666664</v>
      </c>
      <c r="V64" s="45">
        <f t="shared" si="39"/>
        <v>5.4749999999999996</v>
      </c>
      <c r="W64" s="94"/>
      <c r="X64" s="54">
        <v>38.1</v>
      </c>
      <c r="Y64" s="54">
        <v>29.5</v>
      </c>
      <c r="Z64" s="54">
        <f t="shared" si="40"/>
        <v>8.6000000000000014</v>
      </c>
      <c r="AA64" s="54">
        <f t="shared" si="41"/>
        <v>2.765625</v>
      </c>
      <c r="AB64" s="54">
        <f t="shared" si="42"/>
        <v>26.734375</v>
      </c>
      <c r="AC64" s="54">
        <f t="shared" si="43"/>
        <v>0.10344827586206896</v>
      </c>
      <c r="AD64" s="54">
        <v>23.6</v>
      </c>
      <c r="AE64" s="54">
        <f t="shared" si="57"/>
        <v>2.4413793103448276</v>
      </c>
      <c r="AF64" s="54">
        <f t="shared" si="58"/>
        <v>21.158620689655173</v>
      </c>
      <c r="AG64" s="54">
        <v>23.8</v>
      </c>
      <c r="AH64" s="54">
        <f t="shared" si="44"/>
        <v>0.10344827586206896</v>
      </c>
      <c r="AI64" s="54">
        <v>9.1</v>
      </c>
      <c r="AJ64" s="54">
        <f t="shared" si="45"/>
        <v>0.94137931034482758</v>
      </c>
      <c r="AL64" s="45">
        <v>38.5</v>
      </c>
      <c r="AM64" s="45">
        <v>32.1</v>
      </c>
      <c r="AN64" s="45">
        <f t="shared" si="46"/>
        <v>6.3999999999999986</v>
      </c>
      <c r="AO64" s="52">
        <f t="shared" si="47"/>
        <v>3.0093750000000004</v>
      </c>
      <c r="AP64" s="52">
        <f t="shared" si="48"/>
        <v>29.090625000000003</v>
      </c>
      <c r="AQ64" s="54">
        <f t="shared" si="49"/>
        <v>0.10344827586206896</v>
      </c>
      <c r="AR64" s="45">
        <v>19.399999999999999</v>
      </c>
      <c r="AS64" s="52">
        <f t="shared" si="50"/>
        <v>2.0068965517241377</v>
      </c>
      <c r="AU64" s="52">
        <v>71.8</v>
      </c>
      <c r="AV64" s="52">
        <v>58.4</v>
      </c>
      <c r="AW64" s="52">
        <f t="shared" si="51"/>
        <v>13.399999999999999</v>
      </c>
      <c r="AX64" s="52">
        <f t="shared" si="52"/>
        <v>5.4749999999999996</v>
      </c>
      <c r="AY64" s="52">
        <f t="shared" si="53"/>
        <v>52.924999999999997</v>
      </c>
      <c r="AZ64" s="54">
        <f t="shared" si="54"/>
        <v>0.10344827586206896</v>
      </c>
      <c r="BA64" s="52">
        <v>50.7</v>
      </c>
      <c r="BB64" s="52">
        <f t="shared" si="55"/>
        <v>5.2448275862068972</v>
      </c>
      <c r="BE64" s="1" t="s">
        <v>17</v>
      </c>
    </row>
    <row r="65" spans="1:307" s="119" customFormat="1" ht="14.5" x14ac:dyDescent="0.35">
      <c r="A65" s="45" t="s">
        <v>24</v>
      </c>
      <c r="B65" s="46" t="s">
        <v>61</v>
      </c>
      <c r="C65" s="45" t="str">
        <f t="shared" si="31"/>
        <v>ACS1_1-24_G</v>
      </c>
      <c r="D65" s="47">
        <v>45302</v>
      </c>
      <c r="E65" s="47" t="s">
        <v>109</v>
      </c>
      <c r="F65" s="47">
        <v>45545</v>
      </c>
      <c r="G65" s="45"/>
      <c r="H65" s="45" t="str">
        <f t="shared" si="32"/>
        <v>C,N,S</v>
      </c>
      <c r="I65" s="45">
        <v>133.9</v>
      </c>
      <c r="J65" s="45"/>
      <c r="K65" s="45">
        <v>161.1</v>
      </c>
      <c r="L65" s="45">
        <f t="shared" si="59"/>
        <v>27.199999999999989</v>
      </c>
      <c r="M65" s="45">
        <f t="shared" si="33"/>
        <v>108.4</v>
      </c>
      <c r="N65" s="117"/>
      <c r="O65" s="45">
        <f t="shared" si="34"/>
        <v>25.553505535055347</v>
      </c>
      <c r="P65" s="45">
        <f t="shared" si="35"/>
        <v>6.4119497283533677</v>
      </c>
      <c r="Q65" s="45"/>
      <c r="R65" s="45">
        <f t="shared" si="36"/>
        <v>29.15129151291513</v>
      </c>
      <c r="S65" s="45">
        <f t="shared" si="37"/>
        <v>7.3147152135727973</v>
      </c>
      <c r="T65" s="45"/>
      <c r="U65" s="45">
        <f t="shared" si="38"/>
        <v>45.29520295202952</v>
      </c>
      <c r="V65" s="45">
        <f t="shared" si="39"/>
        <v>11.365585980583047</v>
      </c>
      <c r="W65" s="45"/>
      <c r="X65" s="54">
        <v>40</v>
      </c>
      <c r="Y65" s="54">
        <v>27.7</v>
      </c>
      <c r="Z65" s="54">
        <f t="shared" si="40"/>
        <v>12.3</v>
      </c>
      <c r="AA65" s="54">
        <f t="shared" si="41"/>
        <v>6.4119497283533677</v>
      </c>
      <c r="AB65" s="54">
        <f t="shared" si="42"/>
        <v>21.288050271646632</v>
      </c>
      <c r="AC65" s="54">
        <f t="shared" si="43"/>
        <v>0.30119948264559426</v>
      </c>
      <c r="AD65" s="54">
        <v>15.8</v>
      </c>
      <c r="AE65" s="54">
        <f t="shared" si="57"/>
        <v>4.7589518258003896</v>
      </c>
      <c r="AF65" s="54">
        <f t="shared" si="58"/>
        <v>11.041048174199611</v>
      </c>
      <c r="AG65" s="54">
        <v>17.3</v>
      </c>
      <c r="AH65" s="54">
        <f t="shared" si="44"/>
        <v>0.30119948264559426</v>
      </c>
      <c r="AI65" s="54">
        <v>3.4</v>
      </c>
      <c r="AJ65" s="54">
        <f t="shared" si="45"/>
        <v>1.0240782409950204</v>
      </c>
      <c r="AK65" s="45"/>
      <c r="AL65" s="45">
        <v>42.4</v>
      </c>
      <c r="AM65" s="45">
        <v>31.6</v>
      </c>
      <c r="AN65" s="45">
        <f t="shared" si="46"/>
        <v>10.799999999999997</v>
      </c>
      <c r="AO65" s="52">
        <f t="shared" si="47"/>
        <v>7.3147152135727973</v>
      </c>
      <c r="AP65" s="52">
        <f t="shared" si="48"/>
        <v>24.285284786427205</v>
      </c>
      <c r="AQ65" s="54">
        <f t="shared" si="49"/>
        <v>0.30119948264559432</v>
      </c>
      <c r="AR65" s="45">
        <v>5.9</v>
      </c>
      <c r="AS65" s="52">
        <f t="shared" si="50"/>
        <v>1.7770769476090067</v>
      </c>
      <c r="AT65" s="45"/>
      <c r="AU65" s="52">
        <v>79.3</v>
      </c>
      <c r="AV65" s="52">
        <v>49.1</v>
      </c>
      <c r="AW65" s="52">
        <f t="shared" si="51"/>
        <v>30.199999999999996</v>
      </c>
      <c r="AX65" s="52">
        <f t="shared" si="52"/>
        <v>11.365585980583047</v>
      </c>
      <c r="AY65" s="52">
        <f t="shared" si="53"/>
        <v>37.734414019416953</v>
      </c>
      <c r="AZ65" s="54">
        <f t="shared" si="54"/>
        <v>0.30119948264559432</v>
      </c>
      <c r="BA65" s="52">
        <v>16.2</v>
      </c>
      <c r="BB65" s="52">
        <f t="shared" si="55"/>
        <v>4.8794316188586278</v>
      </c>
      <c r="BC65" s="45"/>
      <c r="BD65" s="1"/>
      <c r="BE65" s="1" t="s">
        <v>17</v>
      </c>
      <c r="BF65" s="1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</row>
    <row r="66" spans="1:307" ht="14.5" x14ac:dyDescent="0.35">
      <c r="A66" s="45" t="s">
        <v>48</v>
      </c>
      <c r="B66" s="46" t="s">
        <v>61</v>
      </c>
      <c r="C66" s="45" t="str">
        <f t="shared" ref="C66:C97" si="60">A66&amp;"_"&amp;B66&amp;"_G"</f>
        <v>SBT1_1-24_G</v>
      </c>
      <c r="D66" s="47">
        <v>45324</v>
      </c>
      <c r="E66" s="47" t="s">
        <v>17</v>
      </c>
      <c r="F66" s="45"/>
      <c r="G66" s="45"/>
      <c r="H66" s="45" t="str">
        <f t="shared" ref="H66:H97" si="61">IF(OR(AI66&lt;&gt;"", AR66&lt;&gt;"", BA66&lt;&gt;""),
    IF(AI66&lt;&gt;"", "C", "") &amp;
    IF(BA66&lt;&gt;"", IF(AI66&lt;&gt;"", ",N", "N"), "") &amp;
    IF(BA66&lt;&gt;"", IF(OR(AI66&lt;&gt;"", AR66&lt;&gt;""), ",S", "S"), ""),
"")</f>
        <v>C,N,S</v>
      </c>
      <c r="I66" s="45">
        <v>130.1</v>
      </c>
      <c r="J66" s="45"/>
      <c r="K66" s="45">
        <v>172.2</v>
      </c>
      <c r="L66" s="45">
        <f t="shared" si="59"/>
        <v>42.099999999999994</v>
      </c>
      <c r="M66" s="45">
        <f t="shared" ref="M66:M97" si="62">Y66+AM66+AV66</f>
        <v>122.5</v>
      </c>
      <c r="O66" s="45">
        <f t="shared" ref="O66:O97" si="63">(Y66/M66)*100</f>
        <v>25.632653061224488</v>
      </c>
      <c r="P66" s="45">
        <f t="shared" ref="P66:P97" si="64">((O66/M66)*L66)</f>
        <v>8.8092628071636803</v>
      </c>
      <c r="Q66" s="94"/>
      <c r="R66" s="45">
        <f t="shared" ref="R66:R97" si="65">(AM66/M66)*100</f>
        <v>25.061224489795919</v>
      </c>
      <c r="S66" s="45">
        <f t="shared" ref="S66:S97" si="66">((R66/M66)*L66)</f>
        <v>8.6128779675135352</v>
      </c>
      <c r="T66" s="94"/>
      <c r="U66" s="45">
        <f t="shared" ref="U66:U97" si="67">(AV66/M66)*100</f>
        <v>49.306122448979586</v>
      </c>
      <c r="V66" s="45">
        <f t="shared" ref="V66:V97" si="68">((U66/M66)*L66)</f>
        <v>16.945206164098288</v>
      </c>
      <c r="W66" s="94"/>
      <c r="X66" s="54">
        <v>50.2</v>
      </c>
      <c r="Y66" s="54">
        <v>31.4</v>
      </c>
      <c r="Z66" s="54">
        <f t="shared" ref="Z66:Z97" si="69">X66-Y66</f>
        <v>18.800000000000004</v>
      </c>
      <c r="AA66" s="54">
        <f t="shared" ref="AA66:AA97" si="70">P66</f>
        <v>8.8092628071636803</v>
      </c>
      <c r="AB66" s="54">
        <f t="shared" ref="AB66:AB97" si="71">Y66-AA66</f>
        <v>22.590737192836318</v>
      </c>
      <c r="AC66" s="54">
        <f t="shared" ref="AC66:AC97" si="72">AA66/AB66</f>
        <v>0.38995021419474346</v>
      </c>
      <c r="AD66" s="54">
        <v>18.899999999999999</v>
      </c>
      <c r="AE66" s="54">
        <f t="shared" si="57"/>
        <v>7.3700590482806509</v>
      </c>
      <c r="AF66" s="54">
        <f t="shared" si="58"/>
        <v>11.529940951719347</v>
      </c>
      <c r="AG66" s="54">
        <v>17.8</v>
      </c>
      <c r="AH66" s="54">
        <f t="shared" ref="AH66:AH97" si="73">AC66</f>
        <v>0.38995021419474346</v>
      </c>
      <c r="AI66" s="54">
        <v>2.1</v>
      </c>
      <c r="AJ66" s="54">
        <f t="shared" ref="AJ66:AJ97" si="74">AI66*AH66</f>
        <v>0.81889544980896134</v>
      </c>
      <c r="AL66" s="45">
        <v>36.9</v>
      </c>
      <c r="AM66" s="45">
        <v>30.7</v>
      </c>
      <c r="AN66" s="45">
        <f t="shared" ref="AN66:AN97" si="75">AL66-AM66</f>
        <v>6.1999999999999993</v>
      </c>
      <c r="AO66" s="52">
        <f t="shared" ref="AO66:AO97" si="76">S66</f>
        <v>8.6128779675135352</v>
      </c>
      <c r="AP66" s="52">
        <f t="shared" ref="AP66:AP97" si="77">AM66-AO66</f>
        <v>22.087122032486462</v>
      </c>
      <c r="AQ66" s="54">
        <f t="shared" ref="AQ66:AQ97" si="78">AO66/AP66</f>
        <v>0.38995021419474352</v>
      </c>
      <c r="AR66" s="45">
        <v>4.5999999999999996</v>
      </c>
      <c r="AS66" s="52">
        <f t="shared" ref="AS66:AS84" si="79">AR66*AQ66</f>
        <v>1.7937709852958201</v>
      </c>
      <c r="AU66" s="52">
        <v>85.1</v>
      </c>
      <c r="AV66" s="52">
        <v>60.4</v>
      </c>
      <c r="AW66" s="52">
        <f t="shared" ref="AW66:AW97" si="80">AU66-AV66</f>
        <v>24.699999999999996</v>
      </c>
      <c r="AX66" s="52">
        <f t="shared" ref="AX66:AX97" si="81">V66</f>
        <v>16.945206164098288</v>
      </c>
      <c r="AY66" s="52">
        <f t="shared" ref="AY66:AY97" si="82">AV66-AX66</f>
        <v>43.454793835901711</v>
      </c>
      <c r="AZ66" s="54">
        <f t="shared" ref="AZ66:AZ97" si="83">AX66/AY66</f>
        <v>0.38995021419474341</v>
      </c>
      <c r="BA66" s="52">
        <v>12.8</v>
      </c>
      <c r="BB66" s="52">
        <f t="shared" ref="BB66:BB97" si="84">BA66*AZ66</f>
        <v>4.9913627416927158</v>
      </c>
      <c r="BE66" s="1" t="s">
        <v>17</v>
      </c>
    </row>
    <row r="67" spans="1:307" ht="14.5" x14ac:dyDescent="0.35">
      <c r="A67" s="45" t="s">
        <v>45</v>
      </c>
      <c r="B67" s="46" t="s">
        <v>61</v>
      </c>
      <c r="C67" s="45" t="str">
        <f t="shared" si="60"/>
        <v>TSM1_1-24_G</v>
      </c>
      <c r="D67" s="47">
        <v>45324</v>
      </c>
      <c r="E67" s="47" t="s">
        <v>17</v>
      </c>
      <c r="F67" s="47">
        <v>45546</v>
      </c>
      <c r="G67" s="45"/>
      <c r="H67" s="45" t="str">
        <f t="shared" si="61"/>
        <v>C,N,S</v>
      </c>
      <c r="I67" s="45">
        <v>132.5</v>
      </c>
      <c r="J67" s="45"/>
      <c r="K67" s="45">
        <v>153.80000000000001</v>
      </c>
      <c r="L67" s="45">
        <f t="shared" si="59"/>
        <v>21.300000000000011</v>
      </c>
      <c r="M67" s="45">
        <f t="shared" si="62"/>
        <v>106.3</v>
      </c>
      <c r="O67" s="45">
        <f t="shared" si="63"/>
        <v>19.379115710253998</v>
      </c>
      <c r="P67" s="45">
        <f t="shared" si="64"/>
        <v>3.8831153775015088</v>
      </c>
      <c r="Q67" s="94"/>
      <c r="R67" s="45">
        <f t="shared" si="65"/>
        <v>31.420507996237063</v>
      </c>
      <c r="S67" s="45">
        <f t="shared" si="66"/>
        <v>6.2959249324539019</v>
      </c>
      <c r="T67" s="94"/>
      <c r="U67" s="45">
        <f t="shared" si="67"/>
        <v>49.200376293508938</v>
      </c>
      <c r="V67" s="45">
        <f t="shared" si="68"/>
        <v>9.8585890409382984</v>
      </c>
      <c r="W67" s="94"/>
      <c r="X67" s="54">
        <v>39.6</v>
      </c>
      <c r="Y67" s="54">
        <v>20.6</v>
      </c>
      <c r="Z67" s="54">
        <f t="shared" si="69"/>
        <v>19</v>
      </c>
      <c r="AA67" s="54">
        <f t="shared" si="70"/>
        <v>3.8831153775015088</v>
      </c>
      <c r="AB67" s="54">
        <f t="shared" si="71"/>
        <v>16.716884622498494</v>
      </c>
      <c r="AC67" s="54">
        <f t="shared" si="72"/>
        <v>0.2322870238797605</v>
      </c>
      <c r="AD67" s="54">
        <v>15.3</v>
      </c>
      <c r="AE67" s="54">
        <f t="shared" si="57"/>
        <v>3.5539914653603359</v>
      </c>
      <c r="AF67" s="54">
        <f t="shared" si="58"/>
        <v>11.746008534639664</v>
      </c>
      <c r="AG67" s="54">
        <v>16.8</v>
      </c>
      <c r="AH67" s="54">
        <f t="shared" si="73"/>
        <v>0.2322870238797605</v>
      </c>
      <c r="AI67" s="54">
        <v>4.5999999999999996</v>
      </c>
      <c r="AJ67" s="54">
        <f t="shared" si="74"/>
        <v>1.0685203098468983</v>
      </c>
      <c r="AL67" s="45">
        <v>41.2</v>
      </c>
      <c r="AM67" s="45">
        <v>33.4</v>
      </c>
      <c r="AN67" s="45">
        <f t="shared" si="75"/>
        <v>7.8000000000000043</v>
      </c>
      <c r="AO67" s="52">
        <f t="shared" si="76"/>
        <v>6.2959249324539019</v>
      </c>
      <c r="AP67" s="52">
        <f t="shared" si="77"/>
        <v>27.104075067546098</v>
      </c>
      <c r="AQ67" s="54">
        <f t="shared" si="78"/>
        <v>0.2322870238797605</v>
      </c>
      <c r="AR67" s="45">
        <v>5.7</v>
      </c>
      <c r="AS67" s="52">
        <f t="shared" si="79"/>
        <v>1.3240360361146348</v>
      </c>
      <c r="AU67" s="52">
        <v>72.5</v>
      </c>
      <c r="AV67" s="52">
        <v>52.3</v>
      </c>
      <c r="AW67" s="52">
        <f t="shared" si="80"/>
        <v>20.200000000000003</v>
      </c>
      <c r="AX67" s="52">
        <f t="shared" si="81"/>
        <v>9.8585890409382984</v>
      </c>
      <c r="AY67" s="52">
        <f t="shared" si="82"/>
        <v>42.441410959061699</v>
      </c>
      <c r="AZ67" s="54">
        <f t="shared" si="83"/>
        <v>0.23228702387976061</v>
      </c>
      <c r="BA67" s="52">
        <v>19.2</v>
      </c>
      <c r="BB67" s="52">
        <f t="shared" si="84"/>
        <v>4.4599108584914031</v>
      </c>
      <c r="BE67" s="1" t="s">
        <v>17</v>
      </c>
    </row>
    <row r="68" spans="1:307" ht="14.5" x14ac:dyDescent="0.35">
      <c r="A68" s="45" t="s">
        <v>22</v>
      </c>
      <c r="B68" s="46" t="s">
        <v>62</v>
      </c>
      <c r="C68" s="45" t="str">
        <f t="shared" si="60"/>
        <v>OL_3-24_G</v>
      </c>
      <c r="D68" s="47">
        <v>45358</v>
      </c>
      <c r="E68" s="47" t="s">
        <v>17</v>
      </c>
      <c r="F68" s="47">
        <v>45544</v>
      </c>
      <c r="G68" s="45"/>
      <c r="H68" s="45" t="str">
        <f t="shared" si="61"/>
        <v>C,N,S</v>
      </c>
      <c r="I68" s="45">
        <v>129.9</v>
      </c>
      <c r="J68" s="45"/>
      <c r="K68" s="45">
        <v>161.30000000000001</v>
      </c>
      <c r="L68" s="45">
        <f t="shared" si="59"/>
        <v>31.400000000000006</v>
      </c>
      <c r="M68" s="45">
        <f t="shared" si="62"/>
        <v>114.6</v>
      </c>
      <c r="O68" s="45">
        <f t="shared" si="63"/>
        <v>25.043630017452006</v>
      </c>
      <c r="P68" s="45">
        <f t="shared" si="64"/>
        <v>6.8618672124606732</v>
      </c>
      <c r="Q68" s="94"/>
      <c r="R68" s="45">
        <f t="shared" si="65"/>
        <v>27.748691099476442</v>
      </c>
      <c r="S68" s="45">
        <f t="shared" si="66"/>
        <v>7.6030445071863921</v>
      </c>
      <c r="T68" s="94"/>
      <c r="U68" s="45">
        <f t="shared" si="67"/>
        <v>47.207678883071559</v>
      </c>
      <c r="V68" s="45">
        <f t="shared" si="68"/>
        <v>12.934739240213327</v>
      </c>
      <c r="W68" s="94"/>
      <c r="X68" s="54">
        <v>40.1</v>
      </c>
      <c r="Y68" s="54">
        <v>28.7</v>
      </c>
      <c r="Z68" s="54">
        <f t="shared" si="69"/>
        <v>11.400000000000002</v>
      </c>
      <c r="AA68" s="54">
        <f t="shared" si="70"/>
        <v>6.8618672124606732</v>
      </c>
      <c r="AB68" s="54">
        <f t="shared" si="71"/>
        <v>21.838132787539326</v>
      </c>
      <c r="AC68" s="54">
        <f t="shared" si="72"/>
        <v>0.31421492300733711</v>
      </c>
      <c r="AD68" s="54">
        <v>23.9</v>
      </c>
      <c r="AE68" s="54">
        <f t="shared" si="57"/>
        <v>7.5097366598753563</v>
      </c>
      <c r="AF68" s="54">
        <f t="shared" si="58"/>
        <v>16.39026334012464</v>
      </c>
      <c r="AG68" s="54">
        <v>23.6</v>
      </c>
      <c r="AH68" s="54">
        <f t="shared" si="73"/>
        <v>0.31421492300733711</v>
      </c>
      <c r="AI68" s="54">
        <v>2.7</v>
      </c>
      <c r="AJ68" s="54">
        <f t="shared" si="74"/>
        <v>0.84838029211981025</v>
      </c>
      <c r="AL68" s="45">
        <v>42.1</v>
      </c>
      <c r="AM68" s="45">
        <v>31.8</v>
      </c>
      <c r="AN68" s="45">
        <f t="shared" si="75"/>
        <v>10.3</v>
      </c>
      <c r="AO68" s="52">
        <f t="shared" si="76"/>
        <v>7.6030445071863921</v>
      </c>
      <c r="AP68" s="52">
        <f t="shared" si="77"/>
        <v>24.196955492813608</v>
      </c>
      <c r="AQ68" s="54">
        <f t="shared" si="78"/>
        <v>0.31421492300733717</v>
      </c>
      <c r="AR68" s="45">
        <v>5.4</v>
      </c>
      <c r="AS68" s="52">
        <f t="shared" si="79"/>
        <v>1.6967605842396207</v>
      </c>
      <c r="AU68" s="52">
        <v>79.099999999999994</v>
      </c>
      <c r="AV68" s="52">
        <v>54.1</v>
      </c>
      <c r="AW68" s="52">
        <f t="shared" si="80"/>
        <v>24.999999999999993</v>
      </c>
      <c r="AX68" s="52">
        <f t="shared" si="81"/>
        <v>12.934739240213327</v>
      </c>
      <c r="AY68" s="52">
        <f t="shared" si="82"/>
        <v>41.165260759786676</v>
      </c>
      <c r="AZ68" s="54">
        <f t="shared" si="83"/>
        <v>0.31421492300733711</v>
      </c>
      <c r="BA68" s="52">
        <v>16.100000000000001</v>
      </c>
      <c r="BB68" s="52">
        <f t="shared" si="84"/>
        <v>5.0588602604181281</v>
      </c>
      <c r="BE68" s="1" t="s">
        <v>17</v>
      </c>
    </row>
    <row r="69" spans="1:307" ht="14.5" x14ac:dyDescent="0.35">
      <c r="A69" s="45" t="s">
        <v>58</v>
      </c>
      <c r="B69" s="46" t="s">
        <v>62</v>
      </c>
      <c r="C69" s="45" t="str">
        <f t="shared" si="60"/>
        <v>TSH_3-24_G</v>
      </c>
      <c r="D69" s="47">
        <v>45358</v>
      </c>
      <c r="E69" s="47" t="s">
        <v>17</v>
      </c>
      <c r="F69" s="47">
        <v>45544</v>
      </c>
      <c r="G69" s="45"/>
      <c r="H69" s="45" t="str">
        <f t="shared" si="61"/>
        <v>C,N,S</v>
      </c>
      <c r="I69" s="45">
        <v>129</v>
      </c>
      <c r="J69" s="45"/>
      <c r="K69" s="45">
        <v>146.9</v>
      </c>
      <c r="L69" s="45">
        <f t="shared" si="59"/>
        <v>17.900000000000006</v>
      </c>
      <c r="M69" s="45">
        <f t="shared" si="62"/>
        <v>110.19999999999999</v>
      </c>
      <c r="O69" s="45">
        <f t="shared" si="63"/>
        <v>21.597096188747734</v>
      </c>
      <c r="P69" s="45">
        <f t="shared" si="64"/>
        <v>3.5080582738528547</v>
      </c>
      <c r="Q69" s="94"/>
      <c r="R69" s="45">
        <f t="shared" si="65"/>
        <v>26.315789473684216</v>
      </c>
      <c r="S69" s="45">
        <f t="shared" si="66"/>
        <v>4.2745247874677643</v>
      </c>
      <c r="T69" s="94"/>
      <c r="U69" s="45">
        <f t="shared" si="67"/>
        <v>52.08711433756806</v>
      </c>
      <c r="V69" s="45">
        <f t="shared" si="68"/>
        <v>8.4606111310568846</v>
      </c>
      <c r="W69" s="94"/>
      <c r="X69" s="54">
        <v>34.1</v>
      </c>
      <c r="Y69" s="54">
        <v>23.8</v>
      </c>
      <c r="Z69" s="54">
        <f t="shared" si="69"/>
        <v>10.3</v>
      </c>
      <c r="AA69" s="54">
        <f t="shared" si="70"/>
        <v>3.5080582738528547</v>
      </c>
      <c r="AB69" s="54">
        <f t="shared" si="71"/>
        <v>20.291941726147147</v>
      </c>
      <c r="AC69" s="54">
        <f t="shared" si="72"/>
        <v>0.17287937848414733</v>
      </c>
      <c r="AD69" s="54">
        <v>19.7</v>
      </c>
      <c r="AE69" s="54">
        <f t="shared" si="57"/>
        <v>3.4057237561377023</v>
      </c>
      <c r="AF69" s="54">
        <f t="shared" si="58"/>
        <v>16.294276243862296</v>
      </c>
      <c r="AG69" s="54">
        <v>20</v>
      </c>
      <c r="AH69" s="54">
        <f t="shared" si="73"/>
        <v>0.17287937848414733</v>
      </c>
      <c r="AI69" s="54">
        <v>6</v>
      </c>
      <c r="AJ69" s="54">
        <f t="shared" si="74"/>
        <v>1.0372762709048839</v>
      </c>
      <c r="AL69" s="45">
        <v>37.1</v>
      </c>
      <c r="AM69" s="45">
        <v>29</v>
      </c>
      <c r="AN69" s="45">
        <f t="shared" si="75"/>
        <v>8.1000000000000014</v>
      </c>
      <c r="AO69" s="52">
        <f t="shared" si="76"/>
        <v>4.2745247874677643</v>
      </c>
      <c r="AP69" s="52">
        <f t="shared" si="77"/>
        <v>24.725475212532235</v>
      </c>
      <c r="AQ69" s="54">
        <f t="shared" si="78"/>
        <v>0.17287937848414736</v>
      </c>
      <c r="AR69" s="45">
        <v>10.199999999999999</v>
      </c>
      <c r="AS69" s="52">
        <f t="shared" si="79"/>
        <v>1.7633696605383029</v>
      </c>
      <c r="AU69" s="52">
        <v>76</v>
      </c>
      <c r="AV69" s="52">
        <v>57.4</v>
      </c>
      <c r="AW69" s="52">
        <f t="shared" si="80"/>
        <v>18.600000000000001</v>
      </c>
      <c r="AX69" s="52">
        <f t="shared" si="81"/>
        <v>8.4606111310568846</v>
      </c>
      <c r="AY69" s="52">
        <f t="shared" si="82"/>
        <v>48.939388868943112</v>
      </c>
      <c r="AZ69" s="54">
        <f t="shared" si="83"/>
        <v>0.17287937848414736</v>
      </c>
      <c r="BA69" s="52">
        <v>28.2</v>
      </c>
      <c r="BB69" s="52">
        <f t="shared" si="84"/>
        <v>4.8751984732529552</v>
      </c>
      <c r="BE69" s="1" t="s">
        <v>17</v>
      </c>
    </row>
    <row r="70" spans="1:307" ht="14.5" x14ac:dyDescent="0.35">
      <c r="A70" s="45" t="s">
        <v>19</v>
      </c>
      <c r="B70" s="46" t="s">
        <v>62</v>
      </c>
      <c r="C70" s="45" t="str">
        <f t="shared" si="60"/>
        <v>NCL_3-24_G</v>
      </c>
      <c r="D70" s="47">
        <v>45358</v>
      </c>
      <c r="E70" s="47" t="s">
        <v>17</v>
      </c>
      <c r="F70" s="45"/>
      <c r="G70" s="45"/>
      <c r="H70" s="45" t="str">
        <f t="shared" si="61"/>
        <v>C,N,S</v>
      </c>
      <c r="I70" s="45">
        <v>133.5</v>
      </c>
      <c r="J70" s="45"/>
      <c r="K70" s="45">
        <v>151</v>
      </c>
      <c r="L70" s="45">
        <f t="shared" si="59"/>
        <v>17.5</v>
      </c>
      <c r="M70" s="45">
        <f t="shared" si="62"/>
        <v>101.5</v>
      </c>
      <c r="O70" s="45">
        <f t="shared" si="63"/>
        <v>27.290640394088665</v>
      </c>
      <c r="P70" s="45">
        <f t="shared" si="64"/>
        <v>4.7052828265670117</v>
      </c>
      <c r="Q70" s="94"/>
      <c r="R70" s="45">
        <f t="shared" si="65"/>
        <v>24.236453201970445</v>
      </c>
      <c r="S70" s="45">
        <f t="shared" si="66"/>
        <v>4.1786988279259392</v>
      </c>
      <c r="T70" s="94"/>
      <c r="U70" s="45">
        <f t="shared" si="67"/>
        <v>48.47290640394089</v>
      </c>
      <c r="V70" s="45">
        <f t="shared" si="68"/>
        <v>8.3573976558518783</v>
      </c>
      <c r="W70" s="94"/>
      <c r="X70" s="54">
        <v>38.299999999999997</v>
      </c>
      <c r="Y70" s="54">
        <v>27.7</v>
      </c>
      <c r="Z70" s="54">
        <f t="shared" si="69"/>
        <v>10.599999999999998</v>
      </c>
      <c r="AA70" s="54">
        <f t="shared" si="70"/>
        <v>4.7052828265670117</v>
      </c>
      <c r="AB70" s="54">
        <f t="shared" si="71"/>
        <v>22.994717173432988</v>
      </c>
      <c r="AC70" s="54">
        <f t="shared" si="72"/>
        <v>0.2046245140167792</v>
      </c>
      <c r="AD70" s="54">
        <v>17.899999999999999</v>
      </c>
      <c r="AE70" s="54">
        <f t="shared" si="57"/>
        <v>3.6627788009003472</v>
      </c>
      <c r="AF70" s="54">
        <f t="shared" si="58"/>
        <v>14.23722119909965</v>
      </c>
      <c r="AG70" s="54">
        <v>18.600000000000001</v>
      </c>
      <c r="AH70" s="54">
        <f t="shared" si="73"/>
        <v>0.2046245140167792</v>
      </c>
      <c r="AI70" s="54">
        <v>4.7</v>
      </c>
      <c r="AJ70" s="54">
        <f t="shared" si="74"/>
        <v>0.96173521587886224</v>
      </c>
      <c r="AL70" s="45">
        <v>37.200000000000003</v>
      </c>
      <c r="AM70" s="45">
        <v>24.6</v>
      </c>
      <c r="AN70" s="45">
        <f t="shared" si="75"/>
        <v>12.600000000000001</v>
      </c>
      <c r="AO70" s="52">
        <f t="shared" si="76"/>
        <v>4.1786988279259392</v>
      </c>
      <c r="AP70" s="52">
        <f t="shared" si="77"/>
        <v>20.421301172074063</v>
      </c>
      <c r="AQ70" s="54">
        <f t="shared" si="78"/>
        <v>0.20462451401677922</v>
      </c>
      <c r="AR70" s="45">
        <v>7.5</v>
      </c>
      <c r="AS70" s="52">
        <f t="shared" si="79"/>
        <v>1.5346838551258442</v>
      </c>
      <c r="AU70" s="52">
        <v>74.900000000000006</v>
      </c>
      <c r="AV70" s="52">
        <v>49.2</v>
      </c>
      <c r="AW70" s="52">
        <f t="shared" si="80"/>
        <v>25.700000000000003</v>
      </c>
      <c r="AX70" s="52">
        <f t="shared" si="81"/>
        <v>8.3573976558518783</v>
      </c>
      <c r="AY70" s="52">
        <f t="shared" si="82"/>
        <v>40.842602344148126</v>
      </c>
      <c r="AZ70" s="54">
        <f t="shared" si="83"/>
        <v>0.20462451401677922</v>
      </c>
      <c r="BA70" s="52">
        <v>22.9</v>
      </c>
      <c r="BB70" s="52">
        <f t="shared" si="84"/>
        <v>4.6859013709842436</v>
      </c>
      <c r="BE70" s="1" t="s">
        <v>17</v>
      </c>
    </row>
    <row r="71" spans="1:307" ht="14.5" x14ac:dyDescent="0.35">
      <c r="A71" s="45" t="s">
        <v>51</v>
      </c>
      <c r="B71" s="46" t="s">
        <v>63</v>
      </c>
      <c r="C71" s="45" t="str">
        <f t="shared" si="60"/>
        <v>TBC_4-24_G</v>
      </c>
      <c r="D71" s="47">
        <v>45390</v>
      </c>
      <c r="E71" s="47" t="s">
        <v>17</v>
      </c>
      <c r="F71" s="47">
        <v>45544</v>
      </c>
      <c r="G71" s="45"/>
      <c r="H71" s="45" t="str">
        <f t="shared" si="61"/>
        <v>C,N,S</v>
      </c>
      <c r="I71" s="45">
        <v>132</v>
      </c>
      <c r="J71" s="45"/>
      <c r="K71" s="45">
        <v>160.19999999999999</v>
      </c>
      <c r="L71" s="45">
        <f t="shared" si="59"/>
        <v>28.199999999999989</v>
      </c>
      <c r="M71" s="45">
        <f t="shared" si="62"/>
        <v>126.8</v>
      </c>
      <c r="O71" s="45">
        <f t="shared" si="63"/>
        <v>26.182965299684547</v>
      </c>
      <c r="P71" s="45">
        <f t="shared" si="64"/>
        <v>5.8230254057658044</v>
      </c>
      <c r="Q71" s="94"/>
      <c r="R71" s="45">
        <f t="shared" si="65"/>
        <v>27.050473186119874</v>
      </c>
      <c r="S71" s="45">
        <f t="shared" si="66"/>
        <v>6.0159569704146696</v>
      </c>
      <c r="T71" s="94"/>
      <c r="U71" s="45">
        <f t="shared" si="67"/>
        <v>46.76656151419558</v>
      </c>
      <c r="V71" s="45">
        <f t="shared" si="68"/>
        <v>10.400765257888917</v>
      </c>
      <c r="W71" s="94"/>
      <c r="X71" s="54">
        <v>42.5</v>
      </c>
      <c r="Y71" s="54">
        <v>33.200000000000003</v>
      </c>
      <c r="Z71" s="54">
        <f t="shared" si="69"/>
        <v>9.2999999999999972</v>
      </c>
      <c r="AA71" s="54">
        <f t="shared" si="70"/>
        <v>5.8230254057658044</v>
      </c>
      <c r="AB71" s="54">
        <f t="shared" si="71"/>
        <v>27.376974594234198</v>
      </c>
      <c r="AC71" s="54">
        <f t="shared" si="72"/>
        <v>0.2126979146553388</v>
      </c>
      <c r="AD71" s="54">
        <v>16.2</v>
      </c>
      <c r="AE71" s="54">
        <f t="shared" si="57"/>
        <v>3.4457062174164883</v>
      </c>
      <c r="AF71" s="54">
        <f t="shared" si="58"/>
        <v>12.754293782583511</v>
      </c>
      <c r="AG71" s="54">
        <v>16.100000000000001</v>
      </c>
      <c r="AH71" s="54">
        <f t="shared" si="73"/>
        <v>0.2126979146553388</v>
      </c>
      <c r="AI71" s="54">
        <v>4.0999999999999996</v>
      </c>
      <c r="AJ71" s="54">
        <f t="shared" si="74"/>
        <v>0.87206145008688896</v>
      </c>
      <c r="AL71" s="45">
        <v>42.9</v>
      </c>
      <c r="AM71" s="45">
        <v>34.299999999999997</v>
      </c>
      <c r="AN71" s="45">
        <f t="shared" si="75"/>
        <v>8.6000000000000014</v>
      </c>
      <c r="AO71" s="52">
        <f t="shared" si="76"/>
        <v>6.0159569704146696</v>
      </c>
      <c r="AP71" s="52">
        <f t="shared" si="77"/>
        <v>28.284043029585327</v>
      </c>
      <c r="AQ71" s="54">
        <f t="shared" si="78"/>
        <v>0.21269791465533877</v>
      </c>
      <c r="AR71" s="45">
        <v>7.6</v>
      </c>
      <c r="AS71" s="52">
        <f t="shared" si="79"/>
        <v>1.6165041513805747</v>
      </c>
      <c r="AU71" s="52">
        <v>74.099999999999994</v>
      </c>
      <c r="AV71" s="52">
        <v>59.3</v>
      </c>
      <c r="AW71" s="52">
        <f t="shared" si="80"/>
        <v>14.799999999999997</v>
      </c>
      <c r="AX71" s="52">
        <f t="shared" si="81"/>
        <v>10.400765257888917</v>
      </c>
      <c r="AY71" s="52">
        <f t="shared" si="82"/>
        <v>48.899234742111076</v>
      </c>
      <c r="AZ71" s="54">
        <f t="shared" si="83"/>
        <v>0.21269791465533874</v>
      </c>
      <c r="BA71" s="52">
        <v>25.9</v>
      </c>
      <c r="BB71" s="52">
        <f t="shared" si="84"/>
        <v>5.5088759895732728</v>
      </c>
      <c r="BE71" s="1" t="s">
        <v>17</v>
      </c>
    </row>
    <row r="72" spans="1:307" ht="14.5" x14ac:dyDescent="0.35">
      <c r="A72" s="45" t="s">
        <v>40</v>
      </c>
      <c r="B72" s="46" t="s">
        <v>63</v>
      </c>
      <c r="C72" s="45" t="str">
        <f t="shared" si="60"/>
        <v>TBCM_4-24_G</v>
      </c>
      <c r="D72" s="47">
        <v>45390</v>
      </c>
      <c r="E72" s="47" t="s">
        <v>17</v>
      </c>
      <c r="F72" s="47">
        <v>45541</v>
      </c>
      <c r="G72" s="45"/>
      <c r="H72" s="45" t="str">
        <f t="shared" si="61"/>
        <v>C,N,S</v>
      </c>
      <c r="I72" s="45">
        <v>128.4</v>
      </c>
      <c r="J72" s="45"/>
      <c r="K72" s="45">
        <v>149</v>
      </c>
      <c r="L72" s="45">
        <f t="shared" si="59"/>
        <v>20.599999999999994</v>
      </c>
      <c r="M72" s="45">
        <f t="shared" si="62"/>
        <v>105.19999999999999</v>
      </c>
      <c r="O72" s="45">
        <f t="shared" si="63"/>
        <v>27.471482889733839</v>
      </c>
      <c r="P72" s="45">
        <f t="shared" si="64"/>
        <v>5.3793968396246861</v>
      </c>
      <c r="Q72" s="94"/>
      <c r="R72" s="45">
        <f t="shared" si="65"/>
        <v>24.619771863117872</v>
      </c>
      <c r="S72" s="45">
        <f t="shared" si="66"/>
        <v>4.8209819427778333</v>
      </c>
      <c r="T72" s="94"/>
      <c r="U72" s="45">
        <f t="shared" si="67"/>
        <v>47.908745247148296</v>
      </c>
      <c r="V72" s="45">
        <f t="shared" si="68"/>
        <v>9.3813702670271351</v>
      </c>
      <c r="W72" s="94"/>
      <c r="X72" s="54">
        <v>37.6</v>
      </c>
      <c r="Y72" s="54">
        <v>28.9</v>
      </c>
      <c r="Z72" s="54">
        <f t="shared" si="69"/>
        <v>8.7000000000000028</v>
      </c>
      <c r="AA72" s="54">
        <f t="shared" si="70"/>
        <v>5.3793968396246861</v>
      </c>
      <c r="AB72" s="54">
        <f t="shared" si="71"/>
        <v>23.520603160375313</v>
      </c>
      <c r="AC72" s="54">
        <f t="shared" si="72"/>
        <v>0.2287099868547269</v>
      </c>
      <c r="AD72" s="54">
        <v>16</v>
      </c>
      <c r="AE72" s="54">
        <f t="shared" si="57"/>
        <v>3.6593597896756305</v>
      </c>
      <c r="AF72" s="54">
        <f t="shared" si="58"/>
        <v>12.34064021032437</v>
      </c>
      <c r="AG72" s="54">
        <v>16.100000000000001</v>
      </c>
      <c r="AH72" s="54">
        <f t="shared" si="73"/>
        <v>0.2287099868547269</v>
      </c>
      <c r="AI72" s="54">
        <v>3.4</v>
      </c>
      <c r="AJ72" s="54">
        <f t="shared" si="74"/>
        <v>0.77761395530607147</v>
      </c>
      <c r="AL72" s="45">
        <v>34.799999999999997</v>
      </c>
      <c r="AM72" s="45">
        <v>25.9</v>
      </c>
      <c r="AN72" s="45">
        <f t="shared" si="75"/>
        <v>8.8999999999999986</v>
      </c>
      <c r="AO72" s="52">
        <f t="shared" si="76"/>
        <v>4.8209819427778333</v>
      </c>
      <c r="AP72" s="52">
        <f t="shared" si="77"/>
        <v>21.079018057222164</v>
      </c>
      <c r="AQ72" s="54">
        <f t="shared" si="78"/>
        <v>0.22870998685472696</v>
      </c>
      <c r="AR72" s="45">
        <v>5</v>
      </c>
      <c r="AS72" s="52">
        <f t="shared" si="79"/>
        <v>1.1435499342736348</v>
      </c>
      <c r="AU72" s="52">
        <v>75.7</v>
      </c>
      <c r="AV72" s="52">
        <v>50.4</v>
      </c>
      <c r="AW72" s="52">
        <f t="shared" si="80"/>
        <v>25.300000000000004</v>
      </c>
      <c r="AX72" s="52">
        <f t="shared" si="81"/>
        <v>9.3813702670271351</v>
      </c>
      <c r="AY72" s="52">
        <f t="shared" si="82"/>
        <v>41.018629732972862</v>
      </c>
      <c r="AZ72" s="54">
        <f t="shared" si="83"/>
        <v>0.22870998685472693</v>
      </c>
      <c r="BA72" s="52">
        <v>23.4</v>
      </c>
      <c r="BB72" s="52">
        <f t="shared" si="84"/>
        <v>5.3518136924006097</v>
      </c>
      <c r="BE72" s="1" t="s">
        <v>17</v>
      </c>
    </row>
    <row r="73" spans="1:307" ht="14.5" x14ac:dyDescent="0.35">
      <c r="A73" s="45" t="s">
        <v>39</v>
      </c>
      <c r="B73" s="46" t="s">
        <v>63</v>
      </c>
      <c r="C73" s="45" t="str">
        <f t="shared" si="60"/>
        <v>TBHM_4-24_G</v>
      </c>
      <c r="D73" s="47">
        <v>45390</v>
      </c>
      <c r="E73" s="47" t="s">
        <v>17</v>
      </c>
      <c r="F73" s="47">
        <v>45541</v>
      </c>
      <c r="G73" s="45"/>
      <c r="H73" s="45" t="str">
        <f t="shared" si="61"/>
        <v>C,N,S</v>
      </c>
      <c r="I73" s="45">
        <v>129.5</v>
      </c>
      <c r="J73" s="45"/>
      <c r="K73" s="45">
        <v>151.80000000000001</v>
      </c>
      <c r="L73" s="45">
        <f t="shared" si="59"/>
        <v>22.300000000000011</v>
      </c>
      <c r="M73" s="45">
        <f t="shared" si="62"/>
        <v>119.7</v>
      </c>
      <c r="O73" s="45">
        <f t="shared" si="63"/>
        <v>25.146198830409354</v>
      </c>
      <c r="P73" s="45">
        <f t="shared" si="64"/>
        <v>4.6847137336518703</v>
      </c>
      <c r="Q73" s="94"/>
      <c r="R73" s="45">
        <f t="shared" si="65"/>
        <v>24.561403508771928</v>
      </c>
      <c r="S73" s="45">
        <f t="shared" si="66"/>
        <v>4.5757669026367109</v>
      </c>
      <c r="T73" s="94"/>
      <c r="U73" s="45">
        <f t="shared" si="67"/>
        <v>50.292397660818708</v>
      </c>
      <c r="V73" s="45">
        <f t="shared" si="68"/>
        <v>9.3694274673037405</v>
      </c>
      <c r="W73" s="94"/>
      <c r="X73" s="54">
        <v>37.799999999999997</v>
      </c>
      <c r="Y73" s="54">
        <v>30.1</v>
      </c>
      <c r="Z73" s="54">
        <f t="shared" si="69"/>
        <v>7.6999999999999957</v>
      </c>
      <c r="AA73" s="54">
        <f t="shared" si="70"/>
        <v>4.6847137336518703</v>
      </c>
      <c r="AB73" s="54">
        <f t="shared" si="71"/>
        <v>25.415286266348133</v>
      </c>
      <c r="AC73" s="54">
        <f t="shared" si="72"/>
        <v>0.18432661684613033</v>
      </c>
      <c r="AD73" s="54">
        <v>18.8</v>
      </c>
      <c r="AE73" s="54">
        <f t="shared" si="57"/>
        <v>3.4653403967072505</v>
      </c>
      <c r="AF73" s="54">
        <f t="shared" si="58"/>
        <v>15.334659603292749</v>
      </c>
      <c r="AG73" s="54">
        <v>20.2</v>
      </c>
      <c r="AH73" s="54">
        <f t="shared" si="73"/>
        <v>0.18432661684613033</v>
      </c>
      <c r="AI73" s="54">
        <v>4.3</v>
      </c>
      <c r="AJ73" s="54">
        <f t="shared" si="74"/>
        <v>0.79260445243836042</v>
      </c>
      <c r="AL73" s="45">
        <v>37.9</v>
      </c>
      <c r="AM73" s="45">
        <v>29.4</v>
      </c>
      <c r="AN73" s="45">
        <f t="shared" si="75"/>
        <v>8.5</v>
      </c>
      <c r="AO73" s="52">
        <f t="shared" si="76"/>
        <v>4.5757669026367109</v>
      </c>
      <c r="AP73" s="52">
        <f t="shared" si="77"/>
        <v>24.824233097363287</v>
      </c>
      <c r="AQ73" s="54">
        <f t="shared" si="78"/>
        <v>0.18432661684613039</v>
      </c>
      <c r="AR73" s="45">
        <v>7.7</v>
      </c>
      <c r="AS73" s="52">
        <f t="shared" si="79"/>
        <v>1.419314949715204</v>
      </c>
      <c r="AU73" s="52">
        <v>75.900000000000006</v>
      </c>
      <c r="AV73" s="52">
        <v>60.2</v>
      </c>
      <c r="AW73" s="52">
        <f t="shared" si="80"/>
        <v>15.700000000000003</v>
      </c>
      <c r="AX73" s="52">
        <f t="shared" si="81"/>
        <v>9.3694274673037405</v>
      </c>
      <c r="AY73" s="52">
        <f t="shared" si="82"/>
        <v>50.830572532696266</v>
      </c>
      <c r="AZ73" s="54">
        <f t="shared" si="83"/>
        <v>0.18432661684613033</v>
      </c>
      <c r="BA73" s="52">
        <v>28.4</v>
      </c>
      <c r="BB73" s="52">
        <f t="shared" si="84"/>
        <v>5.2348759184301015</v>
      </c>
      <c r="BE73" s="1" t="s">
        <v>17</v>
      </c>
    </row>
    <row r="74" spans="1:307" ht="14.5" x14ac:dyDescent="0.35">
      <c r="A74" s="45" t="s">
        <v>38</v>
      </c>
      <c r="B74" s="46" t="s">
        <v>63</v>
      </c>
      <c r="C74" s="45" t="str">
        <f t="shared" si="60"/>
        <v>MCS4_4-24_G</v>
      </c>
      <c r="D74" s="47">
        <v>45390</v>
      </c>
      <c r="E74" s="47" t="s">
        <v>17</v>
      </c>
      <c r="F74" s="47">
        <v>45540</v>
      </c>
      <c r="G74" s="45"/>
      <c r="H74" s="45" t="str">
        <f t="shared" si="61"/>
        <v>C,N,S</v>
      </c>
      <c r="I74" s="45">
        <v>129.1</v>
      </c>
      <c r="J74" s="45"/>
      <c r="K74" s="45">
        <v>147.69999999999999</v>
      </c>
      <c r="L74" s="45">
        <f t="shared" si="59"/>
        <v>18.599999999999994</v>
      </c>
      <c r="M74" s="45">
        <f t="shared" si="62"/>
        <v>112.19999999999999</v>
      </c>
      <c r="O74" s="45">
        <f t="shared" si="63"/>
        <v>26.024955436720141</v>
      </c>
      <c r="P74" s="45">
        <f t="shared" si="64"/>
        <v>4.3142974253386317</v>
      </c>
      <c r="Q74" s="94"/>
      <c r="R74" s="45">
        <f t="shared" si="65"/>
        <v>25.133689839572192</v>
      </c>
      <c r="S74" s="45">
        <f t="shared" si="66"/>
        <v>4.1665475135119667</v>
      </c>
      <c r="T74" s="94"/>
      <c r="U74" s="45">
        <f t="shared" si="67"/>
        <v>48.841354723707667</v>
      </c>
      <c r="V74" s="45">
        <f t="shared" si="68"/>
        <v>8.0966951681012684</v>
      </c>
      <c r="W74" s="94"/>
      <c r="X74" s="54">
        <v>38.5</v>
      </c>
      <c r="Y74" s="54">
        <v>29.2</v>
      </c>
      <c r="Z74" s="54">
        <f t="shared" si="69"/>
        <v>9.3000000000000007</v>
      </c>
      <c r="AA74" s="54">
        <f t="shared" si="70"/>
        <v>4.3142974253386317</v>
      </c>
      <c r="AB74" s="54">
        <f t="shared" si="71"/>
        <v>24.885702574661366</v>
      </c>
      <c r="AC74" s="54">
        <f t="shared" si="72"/>
        <v>0.17336450166094372</v>
      </c>
      <c r="AD74" s="54">
        <v>18.399999999999999</v>
      </c>
      <c r="AE74" s="54">
        <f t="shared" si="57"/>
        <v>3.1899068305613643</v>
      </c>
      <c r="AF74" s="54">
        <f t="shared" si="58"/>
        <v>15.210093169438634</v>
      </c>
      <c r="AG74" s="54">
        <v>18.600000000000001</v>
      </c>
      <c r="AH74" s="54">
        <f t="shared" si="73"/>
        <v>0.17336450166094372</v>
      </c>
      <c r="AI74" s="54">
        <v>5.3</v>
      </c>
      <c r="AJ74" s="54">
        <f t="shared" si="74"/>
        <v>0.91883185880300167</v>
      </c>
      <c r="AL74" s="45">
        <v>37.5</v>
      </c>
      <c r="AM74" s="45">
        <v>28.2</v>
      </c>
      <c r="AN74" s="45">
        <f t="shared" si="75"/>
        <v>9.3000000000000007</v>
      </c>
      <c r="AO74" s="52">
        <f t="shared" si="76"/>
        <v>4.1665475135119667</v>
      </c>
      <c r="AP74" s="52">
        <f t="shared" si="77"/>
        <v>24.033452486488031</v>
      </c>
      <c r="AQ74" s="54">
        <f t="shared" si="78"/>
        <v>0.17336450166094375</v>
      </c>
      <c r="AR74" s="45">
        <v>8</v>
      </c>
      <c r="AS74" s="52">
        <f t="shared" si="79"/>
        <v>1.38691601328755</v>
      </c>
      <c r="AU74" s="52">
        <v>71.3</v>
      </c>
      <c r="AV74" s="52">
        <v>54.8</v>
      </c>
      <c r="AW74" s="52">
        <f t="shared" si="80"/>
        <v>16.5</v>
      </c>
      <c r="AX74" s="52">
        <f t="shared" si="81"/>
        <v>8.0966951681012684</v>
      </c>
      <c r="AY74" s="52">
        <f t="shared" si="82"/>
        <v>46.703304831898727</v>
      </c>
      <c r="AZ74" s="54">
        <f t="shared" si="83"/>
        <v>0.17336450166094375</v>
      </c>
      <c r="BA74" s="52">
        <v>30.9</v>
      </c>
      <c r="BB74" s="52">
        <f t="shared" si="84"/>
        <v>5.3569631013231618</v>
      </c>
      <c r="BE74" s="1" t="s">
        <v>17</v>
      </c>
    </row>
    <row r="75" spans="1:307" ht="14.5" x14ac:dyDescent="0.35">
      <c r="A75" s="45" t="s">
        <v>41</v>
      </c>
      <c r="B75" s="46" t="s">
        <v>63</v>
      </c>
      <c r="C75" s="45" t="str">
        <f t="shared" si="60"/>
        <v>TB1_4-24_G</v>
      </c>
      <c r="D75" s="47">
        <v>45390</v>
      </c>
      <c r="E75" s="47" t="s">
        <v>17</v>
      </c>
      <c r="F75" s="47">
        <v>45544</v>
      </c>
      <c r="G75" s="45"/>
      <c r="H75" s="45" t="str">
        <f t="shared" si="61"/>
        <v>C,N,S</v>
      </c>
      <c r="I75" s="45">
        <v>129.9</v>
      </c>
      <c r="J75" s="45"/>
      <c r="K75" s="45">
        <v>148.9</v>
      </c>
      <c r="L75" s="45">
        <f t="shared" si="59"/>
        <v>19</v>
      </c>
      <c r="M75" s="45">
        <f t="shared" si="62"/>
        <v>109.7</v>
      </c>
      <c r="O75" s="45">
        <f t="shared" si="63"/>
        <v>28.71467639015497</v>
      </c>
      <c r="P75" s="45">
        <f t="shared" si="64"/>
        <v>4.9733714805190932</v>
      </c>
      <c r="Q75" s="94"/>
      <c r="R75" s="45">
        <f t="shared" si="65"/>
        <v>24.794895168641748</v>
      </c>
      <c r="S75" s="45">
        <f t="shared" si="66"/>
        <v>4.2944668022260091</v>
      </c>
      <c r="T75" s="94"/>
      <c r="U75" s="45">
        <f t="shared" si="67"/>
        <v>46.490428441203278</v>
      </c>
      <c r="V75" s="45">
        <f t="shared" si="68"/>
        <v>8.0521252541737667</v>
      </c>
      <c r="W75" s="94"/>
      <c r="X75" s="54">
        <v>38.4</v>
      </c>
      <c r="Y75" s="54">
        <v>31.5</v>
      </c>
      <c r="Z75" s="54">
        <f t="shared" si="69"/>
        <v>6.8999999999999986</v>
      </c>
      <c r="AA75" s="54">
        <f t="shared" si="70"/>
        <v>4.9733714805190932</v>
      </c>
      <c r="AB75" s="54">
        <f t="shared" si="71"/>
        <v>26.526628519480909</v>
      </c>
      <c r="AC75" s="54">
        <f t="shared" si="72"/>
        <v>0.18748600022300971</v>
      </c>
      <c r="AD75" s="54">
        <v>14.6</v>
      </c>
      <c r="AE75" s="54">
        <f t="shared" si="57"/>
        <v>2.7372956032559417</v>
      </c>
      <c r="AF75" s="54">
        <f t="shared" si="58"/>
        <v>11.862704396744057</v>
      </c>
      <c r="AG75" s="54">
        <v>15</v>
      </c>
      <c r="AH75" s="54">
        <f t="shared" si="73"/>
        <v>0.18748600022300971</v>
      </c>
      <c r="AI75" s="54">
        <v>4.2</v>
      </c>
      <c r="AJ75" s="54">
        <f t="shared" si="74"/>
        <v>0.78744120093664083</v>
      </c>
      <c r="AL75" s="45">
        <v>37.9</v>
      </c>
      <c r="AM75" s="45">
        <v>27.2</v>
      </c>
      <c r="AN75" s="45">
        <f t="shared" si="75"/>
        <v>10.7</v>
      </c>
      <c r="AO75" s="52">
        <f t="shared" si="76"/>
        <v>4.2944668022260091</v>
      </c>
      <c r="AP75" s="52">
        <f t="shared" si="77"/>
        <v>22.905533197773991</v>
      </c>
      <c r="AQ75" s="54">
        <f t="shared" si="78"/>
        <v>0.18748600022300962</v>
      </c>
      <c r="AR75" s="45">
        <v>6</v>
      </c>
      <c r="AS75" s="52">
        <f t="shared" si="79"/>
        <v>1.1249160013380577</v>
      </c>
      <c r="AU75" s="52">
        <v>72.3</v>
      </c>
      <c r="AV75" s="52">
        <v>51</v>
      </c>
      <c r="AW75" s="52">
        <f t="shared" si="80"/>
        <v>21.299999999999997</v>
      </c>
      <c r="AX75" s="52">
        <f t="shared" si="81"/>
        <v>8.0521252541737667</v>
      </c>
      <c r="AY75" s="52">
        <f t="shared" si="82"/>
        <v>42.947874745826233</v>
      </c>
      <c r="AZ75" s="54">
        <f t="shared" si="83"/>
        <v>0.18748600022300962</v>
      </c>
      <c r="BA75" s="52">
        <v>28.2</v>
      </c>
      <c r="BB75" s="52">
        <f t="shared" si="84"/>
        <v>5.2871052062888717</v>
      </c>
      <c r="BE75" s="1" t="s">
        <v>17</v>
      </c>
    </row>
    <row r="76" spans="1:307" ht="14.5" x14ac:dyDescent="0.35">
      <c r="A76" s="45" t="s">
        <v>45</v>
      </c>
      <c r="B76" s="46" t="s">
        <v>63</v>
      </c>
      <c r="C76" s="45" t="str">
        <f t="shared" si="60"/>
        <v>TSM1_4-24_G</v>
      </c>
      <c r="D76" s="47">
        <v>45391</v>
      </c>
      <c r="E76" s="47" t="s">
        <v>17</v>
      </c>
      <c r="F76" s="47">
        <v>45541</v>
      </c>
      <c r="G76" s="45"/>
      <c r="H76" s="45" t="str">
        <f t="shared" si="61"/>
        <v>C,N,S</v>
      </c>
      <c r="I76" s="45">
        <v>129.19999999999999</v>
      </c>
      <c r="J76" s="45"/>
      <c r="K76" s="45">
        <v>182.3</v>
      </c>
      <c r="L76" s="45">
        <f t="shared" si="59"/>
        <v>53.100000000000023</v>
      </c>
      <c r="M76" s="45">
        <f t="shared" si="62"/>
        <v>140.60000000000002</v>
      </c>
      <c r="O76" s="45">
        <f t="shared" si="63"/>
        <v>25.248933143669984</v>
      </c>
      <c r="P76" s="45">
        <f t="shared" si="64"/>
        <v>9.535692389252322</v>
      </c>
      <c r="Q76" s="94"/>
      <c r="R76" s="45">
        <f t="shared" si="65"/>
        <v>24.679943100995729</v>
      </c>
      <c r="S76" s="45">
        <f t="shared" si="66"/>
        <v>9.320803546677622</v>
      </c>
      <c r="T76" s="94"/>
      <c r="U76" s="45">
        <f t="shared" si="67"/>
        <v>50.071123755334277</v>
      </c>
      <c r="V76" s="45">
        <f t="shared" si="68"/>
        <v>18.910218146573619</v>
      </c>
      <c r="W76" s="94"/>
      <c r="X76" s="54">
        <v>43.7</v>
      </c>
      <c r="Y76" s="54">
        <v>35.5</v>
      </c>
      <c r="Z76" s="54">
        <f t="shared" si="69"/>
        <v>8.2000000000000028</v>
      </c>
      <c r="AA76" s="54">
        <f t="shared" si="70"/>
        <v>9.535692389252322</v>
      </c>
      <c r="AB76" s="54">
        <f t="shared" si="71"/>
        <v>25.964307610747678</v>
      </c>
      <c r="AC76" s="54">
        <f t="shared" si="72"/>
        <v>0.36726157046857327</v>
      </c>
      <c r="AD76" s="54">
        <v>16.3</v>
      </c>
      <c r="AE76" s="54">
        <f t="shared" si="57"/>
        <v>5.9863635986377446</v>
      </c>
      <c r="AF76" s="54">
        <f t="shared" si="58"/>
        <v>10.313636401362256</v>
      </c>
      <c r="AG76" s="54">
        <v>23.2</v>
      </c>
      <c r="AH76" s="54">
        <f t="shared" si="73"/>
        <v>0.36726157046857327</v>
      </c>
      <c r="AI76" s="54">
        <v>3</v>
      </c>
      <c r="AJ76" s="54">
        <f t="shared" si="74"/>
        <v>1.1017847114057198</v>
      </c>
      <c r="AL76" s="45">
        <v>39.6</v>
      </c>
      <c r="AM76" s="45">
        <v>34.700000000000003</v>
      </c>
      <c r="AN76" s="45">
        <f t="shared" si="75"/>
        <v>4.8999999999999986</v>
      </c>
      <c r="AO76" s="52">
        <f t="shared" si="76"/>
        <v>9.320803546677622</v>
      </c>
      <c r="AP76" s="52">
        <f t="shared" si="77"/>
        <v>25.379196453322379</v>
      </c>
      <c r="AQ76" s="54">
        <f t="shared" si="78"/>
        <v>0.36726157046857327</v>
      </c>
      <c r="AR76" s="45">
        <v>3.8</v>
      </c>
      <c r="AS76" s="52">
        <f t="shared" si="79"/>
        <v>1.3955939677805784</v>
      </c>
      <c r="AU76" s="52">
        <v>97.7</v>
      </c>
      <c r="AV76" s="52">
        <v>70.400000000000006</v>
      </c>
      <c r="AW76" s="52">
        <f t="shared" si="80"/>
        <v>27.299999999999997</v>
      </c>
      <c r="AX76" s="52">
        <f t="shared" si="81"/>
        <v>18.910218146573619</v>
      </c>
      <c r="AY76" s="52">
        <f t="shared" si="82"/>
        <v>51.489781853426386</v>
      </c>
      <c r="AZ76" s="54">
        <f t="shared" si="83"/>
        <v>0.36726157046857327</v>
      </c>
      <c r="BA76" s="52">
        <v>13</v>
      </c>
      <c r="BB76" s="52">
        <f t="shared" si="84"/>
        <v>4.7744004160914528</v>
      </c>
      <c r="BE76" s="1" t="s">
        <v>17</v>
      </c>
    </row>
    <row r="77" spans="1:307" ht="14.5" x14ac:dyDescent="0.35">
      <c r="A77" s="45" t="s">
        <v>46</v>
      </c>
      <c r="B77" s="46" t="s">
        <v>63</v>
      </c>
      <c r="C77" s="45" t="str">
        <f t="shared" si="60"/>
        <v>TSM3_4-24_G</v>
      </c>
      <c r="D77" s="47">
        <v>45391</v>
      </c>
      <c r="E77" s="47" t="s">
        <v>17</v>
      </c>
      <c r="F77" s="47">
        <v>45544</v>
      </c>
      <c r="G77" s="45"/>
      <c r="H77" s="45" t="str">
        <f t="shared" si="61"/>
        <v>C,N,S</v>
      </c>
      <c r="I77" s="45">
        <v>129.80000000000001</v>
      </c>
      <c r="J77" s="45"/>
      <c r="K77" s="45">
        <v>169.4</v>
      </c>
      <c r="L77" s="45">
        <f t="shared" si="59"/>
        <v>39.599999999999994</v>
      </c>
      <c r="M77" s="45">
        <f t="shared" si="62"/>
        <v>127.6</v>
      </c>
      <c r="O77" s="45">
        <f t="shared" si="63"/>
        <v>23.981191222570537</v>
      </c>
      <c r="P77" s="45">
        <f t="shared" si="64"/>
        <v>7.4424386552805109</v>
      </c>
      <c r="Q77" s="94"/>
      <c r="R77" s="45">
        <f t="shared" si="65"/>
        <v>23.510971786833856</v>
      </c>
      <c r="S77" s="45">
        <f t="shared" si="66"/>
        <v>7.2965084855691273</v>
      </c>
      <c r="T77" s="94"/>
      <c r="U77" s="45">
        <f t="shared" si="67"/>
        <v>52.507836990595614</v>
      </c>
      <c r="V77" s="45">
        <f t="shared" si="68"/>
        <v>16.295535617771051</v>
      </c>
      <c r="W77" s="94"/>
      <c r="X77" s="54">
        <v>45.4</v>
      </c>
      <c r="Y77" s="54">
        <v>30.6</v>
      </c>
      <c r="Z77" s="54">
        <f t="shared" si="69"/>
        <v>14.799999999999997</v>
      </c>
      <c r="AA77" s="54">
        <f t="shared" si="70"/>
        <v>7.4424386552805109</v>
      </c>
      <c r="AB77" s="54">
        <f t="shared" si="71"/>
        <v>23.15756134471949</v>
      </c>
      <c r="AC77" s="54">
        <f t="shared" si="72"/>
        <v>0.3213826596200543</v>
      </c>
      <c r="AD77" s="54">
        <v>23.4</v>
      </c>
      <c r="AE77" s="54">
        <f t="shared" si="57"/>
        <v>7.52035423510927</v>
      </c>
      <c r="AF77" s="54">
        <f t="shared" si="58"/>
        <v>15.879645764890729</v>
      </c>
      <c r="AG77" s="54">
        <v>24.5</v>
      </c>
      <c r="AH77" s="54">
        <f t="shared" si="73"/>
        <v>0.3213826596200543</v>
      </c>
      <c r="AI77" s="54">
        <v>2.8</v>
      </c>
      <c r="AJ77" s="54">
        <f t="shared" si="74"/>
        <v>0.89987144693615195</v>
      </c>
      <c r="AL77" s="45">
        <v>37.799999999999997</v>
      </c>
      <c r="AM77" s="45">
        <v>30</v>
      </c>
      <c r="AN77" s="45">
        <f t="shared" si="75"/>
        <v>7.7999999999999972</v>
      </c>
      <c r="AO77" s="52">
        <f t="shared" si="76"/>
        <v>7.2965084855691273</v>
      </c>
      <c r="AP77" s="52">
        <f t="shared" si="77"/>
        <v>22.703491514430873</v>
      </c>
      <c r="AQ77" s="54">
        <f t="shared" si="78"/>
        <v>0.32138265962005425</v>
      </c>
      <c r="AR77" s="45">
        <v>3.4</v>
      </c>
      <c r="AS77" s="52">
        <f t="shared" si="79"/>
        <v>1.0927010427081845</v>
      </c>
      <c r="AU77" s="52">
        <v>87.6</v>
      </c>
      <c r="AV77" s="52">
        <v>67</v>
      </c>
      <c r="AW77" s="52">
        <f t="shared" si="80"/>
        <v>20.599999999999994</v>
      </c>
      <c r="AX77" s="52">
        <f t="shared" si="81"/>
        <v>16.295535617771051</v>
      </c>
      <c r="AY77" s="52">
        <f t="shared" si="82"/>
        <v>50.704464382228949</v>
      </c>
      <c r="AZ77" s="54">
        <f t="shared" si="83"/>
        <v>0.32138265962005425</v>
      </c>
      <c r="BA77" s="52">
        <v>16.7</v>
      </c>
      <c r="BB77" s="52">
        <f t="shared" si="84"/>
        <v>5.3670904156549053</v>
      </c>
      <c r="BE77" s="1" t="s">
        <v>17</v>
      </c>
    </row>
    <row r="78" spans="1:307" ht="14.5" x14ac:dyDescent="0.35">
      <c r="A78" s="45" t="s">
        <v>48</v>
      </c>
      <c r="B78" s="46" t="s">
        <v>63</v>
      </c>
      <c r="C78" s="45" t="str">
        <f t="shared" si="60"/>
        <v>SBT1_4-24_G</v>
      </c>
      <c r="D78" s="47">
        <v>45391</v>
      </c>
      <c r="E78" s="47" t="s">
        <v>17</v>
      </c>
      <c r="F78" s="47">
        <v>45540</v>
      </c>
      <c r="G78" s="45"/>
      <c r="H78" s="45" t="str">
        <f t="shared" si="61"/>
        <v>C,N,S</v>
      </c>
      <c r="I78" s="45">
        <v>128.80000000000001</v>
      </c>
      <c r="J78" s="45"/>
      <c r="K78" s="45">
        <v>164.2</v>
      </c>
      <c r="L78" s="45">
        <f t="shared" si="59"/>
        <v>35.399999999999977</v>
      </c>
      <c r="M78" s="45">
        <f t="shared" si="62"/>
        <v>135.30000000000001</v>
      </c>
      <c r="O78" s="45">
        <f t="shared" si="63"/>
        <v>27.124907612712491</v>
      </c>
      <c r="P78" s="45">
        <f t="shared" si="64"/>
        <v>7.0969824796010457</v>
      </c>
      <c r="Q78" s="94"/>
      <c r="R78" s="45">
        <f t="shared" si="65"/>
        <v>26.164079822616404</v>
      </c>
      <c r="S78" s="45">
        <f t="shared" si="66"/>
        <v>6.8455907296424243</v>
      </c>
      <c r="T78" s="94"/>
      <c r="U78" s="45">
        <f t="shared" si="67"/>
        <v>46.711012564671101</v>
      </c>
      <c r="V78" s="45">
        <f t="shared" si="68"/>
        <v>12.221506613372918</v>
      </c>
      <c r="W78" s="94"/>
      <c r="X78" s="54">
        <v>39.200000000000003</v>
      </c>
      <c r="Y78" s="54">
        <v>36.700000000000003</v>
      </c>
      <c r="Z78" s="54">
        <f t="shared" si="69"/>
        <v>2.5</v>
      </c>
      <c r="AA78" s="54">
        <f t="shared" si="70"/>
        <v>7.0969824796010457</v>
      </c>
      <c r="AB78" s="54">
        <f t="shared" si="71"/>
        <v>29.603017520398957</v>
      </c>
      <c r="AC78" s="54">
        <f t="shared" si="72"/>
        <v>0.23973848188653846</v>
      </c>
      <c r="AD78" s="54">
        <v>18.5</v>
      </c>
      <c r="AE78" s="54">
        <f t="shared" si="57"/>
        <v>4.4351619149009611</v>
      </c>
      <c r="AF78" s="54">
        <f t="shared" si="58"/>
        <v>14.064838085099039</v>
      </c>
      <c r="AG78" s="54">
        <v>19.899999999999999</v>
      </c>
      <c r="AH78" s="54">
        <f t="shared" si="73"/>
        <v>0.23973848188653846</v>
      </c>
      <c r="AI78" s="54">
        <v>4.2</v>
      </c>
      <c r="AJ78" s="54">
        <f t="shared" si="74"/>
        <v>1.0069016239234616</v>
      </c>
      <c r="AL78" s="45">
        <v>43.2</v>
      </c>
      <c r="AM78" s="45">
        <v>35.4</v>
      </c>
      <c r="AN78" s="45">
        <f t="shared" si="75"/>
        <v>7.8000000000000043</v>
      </c>
      <c r="AO78" s="52">
        <f t="shared" si="76"/>
        <v>6.8455907296424243</v>
      </c>
      <c r="AP78" s="52">
        <f t="shared" si="77"/>
        <v>28.554409270357574</v>
      </c>
      <c r="AQ78" s="54">
        <f t="shared" si="78"/>
        <v>0.23973848188653843</v>
      </c>
      <c r="AR78" s="45">
        <v>6.4</v>
      </c>
      <c r="AS78" s="52">
        <f t="shared" si="79"/>
        <v>1.5343262840738461</v>
      </c>
      <c r="AU78" s="52">
        <v>80.900000000000006</v>
      </c>
      <c r="AV78" s="52">
        <v>63.2</v>
      </c>
      <c r="AW78" s="52">
        <f t="shared" si="80"/>
        <v>17.700000000000003</v>
      </c>
      <c r="AX78" s="52">
        <f t="shared" si="81"/>
        <v>12.221506613372918</v>
      </c>
      <c r="AY78" s="52">
        <f t="shared" si="82"/>
        <v>50.978493386627086</v>
      </c>
      <c r="AZ78" s="54">
        <f t="shared" si="83"/>
        <v>0.23973848188653846</v>
      </c>
      <c r="BA78" s="52">
        <v>20.8</v>
      </c>
      <c r="BB78" s="52">
        <f t="shared" si="84"/>
        <v>4.9865604232400003</v>
      </c>
      <c r="BE78" s="1" t="s">
        <v>17</v>
      </c>
    </row>
    <row r="79" spans="1:307" ht="14.5" x14ac:dyDescent="0.35">
      <c r="A79" s="45" t="s">
        <v>47</v>
      </c>
      <c r="B79" s="46" t="s">
        <v>63</v>
      </c>
      <c r="C79" s="45" t="str">
        <f t="shared" si="60"/>
        <v>TSM4_4-24_G</v>
      </c>
      <c r="D79" s="47">
        <v>45391</v>
      </c>
      <c r="E79" s="47" t="s">
        <v>17</v>
      </c>
      <c r="F79" s="47">
        <v>45541</v>
      </c>
      <c r="G79" s="45"/>
      <c r="H79" s="45" t="str">
        <f t="shared" si="61"/>
        <v>C,N,S</v>
      </c>
      <c r="I79" s="45">
        <v>128.69999999999999</v>
      </c>
      <c r="J79" s="45"/>
      <c r="K79" s="45">
        <v>143.5</v>
      </c>
      <c r="L79" s="45">
        <f t="shared" si="59"/>
        <v>14.800000000000011</v>
      </c>
      <c r="M79" s="45">
        <f t="shared" si="62"/>
        <v>104.69999999999999</v>
      </c>
      <c r="O79" s="45">
        <f t="shared" si="63"/>
        <v>25.40592168099332</v>
      </c>
      <c r="P79" s="45">
        <f t="shared" si="64"/>
        <v>3.5912859682779508</v>
      </c>
      <c r="Q79" s="94"/>
      <c r="R79" s="45">
        <f t="shared" si="65"/>
        <v>24.068767908309457</v>
      </c>
      <c r="S79" s="45">
        <f t="shared" si="66"/>
        <v>3.4022709173159531</v>
      </c>
      <c r="T79" s="94"/>
      <c r="U79" s="45">
        <f t="shared" si="67"/>
        <v>50.52531041069723</v>
      </c>
      <c r="V79" s="45">
        <f t="shared" si="68"/>
        <v>7.1420687113497578</v>
      </c>
      <c r="W79" s="94"/>
      <c r="X79" s="54">
        <v>35.700000000000003</v>
      </c>
      <c r="Y79" s="54">
        <v>26.6</v>
      </c>
      <c r="Z79" s="54">
        <f t="shared" si="69"/>
        <v>9.1000000000000014</v>
      </c>
      <c r="AA79" s="54">
        <f t="shared" si="70"/>
        <v>3.5912859682779508</v>
      </c>
      <c r="AB79" s="54">
        <f t="shared" si="71"/>
        <v>23.00871403172205</v>
      </c>
      <c r="AC79" s="54">
        <f t="shared" si="72"/>
        <v>0.15608373259481842</v>
      </c>
      <c r="AD79" s="54">
        <v>20.8</v>
      </c>
      <c r="AE79" s="54">
        <f t="shared" ref="AE79:AE110" si="85">AD79*AC79</f>
        <v>3.2465416379722232</v>
      </c>
      <c r="AF79" s="54">
        <f t="shared" ref="AF79:AF110" si="86">AD79-AE79</f>
        <v>17.553458362027776</v>
      </c>
      <c r="AG79" s="54">
        <v>22.2</v>
      </c>
      <c r="AH79" s="54">
        <f t="shared" si="73"/>
        <v>0.15608373259481842</v>
      </c>
      <c r="AI79" s="54">
        <v>5.2</v>
      </c>
      <c r="AJ79" s="54">
        <f t="shared" si="74"/>
        <v>0.81163540949305579</v>
      </c>
      <c r="AL79" s="45">
        <v>36.799999999999997</v>
      </c>
      <c r="AM79" s="45">
        <v>25.2</v>
      </c>
      <c r="AN79" s="45">
        <f t="shared" si="75"/>
        <v>11.599999999999998</v>
      </c>
      <c r="AO79" s="52">
        <f t="shared" si="76"/>
        <v>3.4022709173159531</v>
      </c>
      <c r="AP79" s="52">
        <f t="shared" si="77"/>
        <v>21.797729082684047</v>
      </c>
      <c r="AQ79" s="54">
        <f t="shared" si="78"/>
        <v>0.15608373259481842</v>
      </c>
      <c r="AR79" s="45">
        <v>8.3000000000000007</v>
      </c>
      <c r="AS79" s="52">
        <f t="shared" si="79"/>
        <v>1.2954949805369931</v>
      </c>
      <c r="AU79" s="52">
        <v>71.2</v>
      </c>
      <c r="AV79" s="52">
        <v>52.9</v>
      </c>
      <c r="AW79" s="52">
        <f t="shared" si="80"/>
        <v>18.300000000000004</v>
      </c>
      <c r="AX79" s="52">
        <f t="shared" si="81"/>
        <v>7.1420687113497578</v>
      </c>
      <c r="AY79" s="52">
        <f t="shared" si="82"/>
        <v>45.757931288650241</v>
      </c>
      <c r="AZ79" s="54">
        <f t="shared" si="83"/>
        <v>0.15608373259481839</v>
      </c>
      <c r="BA79" s="52">
        <v>33</v>
      </c>
      <c r="BB79" s="52">
        <f t="shared" si="84"/>
        <v>5.1507631756290069</v>
      </c>
      <c r="BE79" s="1" t="s">
        <v>17</v>
      </c>
    </row>
    <row r="80" spans="1:307" ht="14.5" x14ac:dyDescent="0.35">
      <c r="A80" s="45" t="s">
        <v>31</v>
      </c>
      <c r="B80" s="46" t="s">
        <v>63</v>
      </c>
      <c r="C80" s="45" t="str">
        <f t="shared" si="60"/>
        <v>DCM1_4-24_G</v>
      </c>
      <c r="D80" s="47">
        <v>45392</v>
      </c>
      <c r="E80" s="47" t="s">
        <v>17</v>
      </c>
      <c r="F80" s="47">
        <v>45544</v>
      </c>
      <c r="G80" s="45"/>
      <c r="H80" s="45" t="str">
        <f t="shared" si="61"/>
        <v>C,N,S</v>
      </c>
      <c r="I80" s="45">
        <v>129.5</v>
      </c>
      <c r="J80" s="45"/>
      <c r="K80" s="45">
        <v>174.4</v>
      </c>
      <c r="L80" s="45">
        <f t="shared" si="59"/>
        <v>44.900000000000006</v>
      </c>
      <c r="M80" s="45">
        <f t="shared" si="62"/>
        <v>138</v>
      </c>
      <c r="O80" s="45">
        <f t="shared" si="63"/>
        <v>25.144927536231886</v>
      </c>
      <c r="P80" s="45">
        <f t="shared" si="64"/>
        <v>8.1812119302667519</v>
      </c>
      <c r="Q80" s="94"/>
      <c r="R80" s="45">
        <f t="shared" si="65"/>
        <v>25.79710144927536</v>
      </c>
      <c r="S80" s="45">
        <f t="shared" si="66"/>
        <v>8.3934047469019113</v>
      </c>
      <c r="T80" s="94"/>
      <c r="U80" s="45">
        <f t="shared" si="67"/>
        <v>49.057971014492757</v>
      </c>
      <c r="V80" s="45">
        <f t="shared" si="68"/>
        <v>15.961615206889313</v>
      </c>
      <c r="W80" s="94"/>
      <c r="X80" s="54">
        <v>43.7</v>
      </c>
      <c r="Y80" s="54">
        <v>34.700000000000003</v>
      </c>
      <c r="Z80" s="54">
        <f t="shared" si="69"/>
        <v>9</v>
      </c>
      <c r="AA80" s="54">
        <f t="shared" si="70"/>
        <v>8.1812119302667519</v>
      </c>
      <c r="AB80" s="54">
        <f t="shared" si="71"/>
        <v>26.518788069733251</v>
      </c>
      <c r="AC80" s="54">
        <f t="shared" si="72"/>
        <v>0.30850625257661124</v>
      </c>
      <c r="AD80" s="54">
        <v>21.8</v>
      </c>
      <c r="AE80" s="54">
        <f t="shared" si="85"/>
        <v>6.725436306170125</v>
      </c>
      <c r="AF80" s="54">
        <f t="shared" si="86"/>
        <v>15.074563693829877</v>
      </c>
      <c r="AG80" s="54">
        <v>17.8</v>
      </c>
      <c r="AH80" s="54">
        <f t="shared" si="73"/>
        <v>0.30850625257661124</v>
      </c>
      <c r="AI80" s="54">
        <v>3.4</v>
      </c>
      <c r="AJ80" s="54">
        <f t="shared" si="74"/>
        <v>1.0489212587604781</v>
      </c>
      <c r="AL80" s="45">
        <v>44</v>
      </c>
      <c r="AM80" s="45">
        <v>35.6</v>
      </c>
      <c r="AN80" s="45">
        <f t="shared" si="75"/>
        <v>8.3999999999999986</v>
      </c>
      <c r="AO80" s="52">
        <f t="shared" si="76"/>
        <v>8.3934047469019113</v>
      </c>
      <c r="AP80" s="52">
        <f t="shared" si="77"/>
        <v>27.20659525309809</v>
      </c>
      <c r="AQ80" s="54">
        <f t="shared" si="78"/>
        <v>0.30850625257661124</v>
      </c>
      <c r="AR80" s="45">
        <v>4</v>
      </c>
      <c r="AS80" s="52">
        <f t="shared" si="79"/>
        <v>1.234025010306445</v>
      </c>
      <c r="AU80" s="52">
        <v>87.2</v>
      </c>
      <c r="AV80" s="52">
        <v>67.7</v>
      </c>
      <c r="AW80" s="52">
        <f t="shared" si="80"/>
        <v>19.5</v>
      </c>
      <c r="AX80" s="52">
        <f t="shared" si="81"/>
        <v>15.961615206889313</v>
      </c>
      <c r="AY80" s="52">
        <f t="shared" si="82"/>
        <v>51.73838479311069</v>
      </c>
      <c r="AZ80" s="54">
        <f t="shared" si="83"/>
        <v>0.30850625257661135</v>
      </c>
      <c r="BA80" s="52">
        <v>16.399999999999999</v>
      </c>
      <c r="BB80" s="52">
        <f t="shared" si="84"/>
        <v>5.0595025422564257</v>
      </c>
      <c r="BE80" s="1" t="s">
        <v>17</v>
      </c>
    </row>
    <row r="81" spans="1:57" ht="15" customHeight="1" x14ac:dyDescent="0.35">
      <c r="A81" s="45" t="s">
        <v>25</v>
      </c>
      <c r="B81" s="46" t="s">
        <v>63</v>
      </c>
      <c r="C81" s="45" t="str">
        <f t="shared" si="60"/>
        <v>ACS2_4-24_G</v>
      </c>
      <c r="D81" s="47">
        <v>45392</v>
      </c>
      <c r="E81" s="47" t="s">
        <v>17</v>
      </c>
      <c r="F81" s="47">
        <v>45539</v>
      </c>
      <c r="G81" s="45"/>
      <c r="H81" s="45" t="str">
        <f t="shared" si="61"/>
        <v>C,N,S</v>
      </c>
      <c r="I81" s="45">
        <v>129.6</v>
      </c>
      <c r="J81" s="45"/>
      <c r="K81" s="45">
        <v>162.80000000000001</v>
      </c>
      <c r="L81" s="45">
        <f t="shared" si="59"/>
        <v>33.200000000000017</v>
      </c>
      <c r="M81" s="45">
        <f t="shared" si="62"/>
        <v>110.7</v>
      </c>
      <c r="O81" s="45">
        <f t="shared" si="63"/>
        <v>25.474254742547426</v>
      </c>
      <c r="P81" s="45">
        <f t="shared" si="64"/>
        <v>7.6399752254071815</v>
      </c>
      <c r="Q81" s="94"/>
      <c r="R81" s="45">
        <f t="shared" si="65"/>
        <v>28.003613369467029</v>
      </c>
      <c r="S81" s="45">
        <f t="shared" si="66"/>
        <v>8.3985543258022197</v>
      </c>
      <c r="T81" s="94"/>
      <c r="U81" s="45">
        <f t="shared" si="67"/>
        <v>46.522131887985545</v>
      </c>
      <c r="V81" s="45">
        <f t="shared" si="68"/>
        <v>13.952437025123043</v>
      </c>
      <c r="W81" s="94"/>
      <c r="X81" s="54">
        <v>40.5</v>
      </c>
      <c r="Y81" s="54">
        <v>28.2</v>
      </c>
      <c r="Z81" s="54">
        <f t="shared" si="69"/>
        <v>12.3</v>
      </c>
      <c r="AA81" s="54">
        <f t="shared" si="70"/>
        <v>7.6399752254071815</v>
      </c>
      <c r="AB81" s="54">
        <f t="shared" si="71"/>
        <v>20.560024774592819</v>
      </c>
      <c r="AC81" s="54">
        <f t="shared" si="72"/>
        <v>0.37159367798273907</v>
      </c>
      <c r="AD81" s="54">
        <v>16.100000000000001</v>
      </c>
      <c r="AE81" s="54">
        <f t="shared" si="85"/>
        <v>5.9826582155220995</v>
      </c>
      <c r="AF81" s="54">
        <f t="shared" si="86"/>
        <v>10.117341784477901</v>
      </c>
      <c r="AG81" s="54">
        <v>15.3</v>
      </c>
      <c r="AH81" s="54">
        <f t="shared" si="73"/>
        <v>0.37159367798273907</v>
      </c>
      <c r="AI81" s="54">
        <v>2.2999999999999998</v>
      </c>
      <c r="AJ81" s="54">
        <f t="shared" si="74"/>
        <v>0.85466545936029981</v>
      </c>
      <c r="AL81" s="45">
        <v>44.9</v>
      </c>
      <c r="AM81" s="45">
        <v>31</v>
      </c>
      <c r="AN81" s="45">
        <f t="shared" si="75"/>
        <v>13.899999999999999</v>
      </c>
      <c r="AO81" s="52">
        <f t="shared" si="76"/>
        <v>8.3985543258022197</v>
      </c>
      <c r="AP81" s="52">
        <f t="shared" si="77"/>
        <v>22.60144567419778</v>
      </c>
      <c r="AQ81" s="54">
        <f t="shared" si="78"/>
        <v>0.37159367798273901</v>
      </c>
      <c r="AR81" s="45">
        <v>3.9</v>
      </c>
      <c r="AS81" s="52">
        <f t="shared" si="79"/>
        <v>1.449215344132682</v>
      </c>
      <c r="AU81" s="52">
        <v>77.2</v>
      </c>
      <c r="AV81" s="52">
        <v>51.5</v>
      </c>
      <c r="AW81" s="52">
        <f t="shared" si="80"/>
        <v>25.700000000000003</v>
      </c>
      <c r="AX81" s="52">
        <f t="shared" si="81"/>
        <v>13.952437025123043</v>
      </c>
      <c r="AY81" s="52">
        <f t="shared" si="82"/>
        <v>37.547562974876953</v>
      </c>
      <c r="AZ81" s="54">
        <f t="shared" si="83"/>
        <v>0.37159367798273907</v>
      </c>
      <c r="BA81" s="52">
        <v>13</v>
      </c>
      <c r="BB81" s="52">
        <f t="shared" si="84"/>
        <v>4.8307178137756077</v>
      </c>
      <c r="BE81" s="1" t="s">
        <v>17</v>
      </c>
    </row>
    <row r="82" spans="1:57" ht="15" customHeight="1" x14ac:dyDescent="0.35">
      <c r="A82" s="45" t="s">
        <v>34</v>
      </c>
      <c r="B82" s="46" t="s">
        <v>63</v>
      </c>
      <c r="C82" s="45" t="str">
        <f t="shared" si="60"/>
        <v>GB1_4-24_G</v>
      </c>
      <c r="D82" s="47">
        <v>45392</v>
      </c>
      <c r="E82" s="47" t="s">
        <v>17</v>
      </c>
      <c r="F82" s="47">
        <v>45540</v>
      </c>
      <c r="G82" s="45"/>
      <c r="H82" s="45" t="str">
        <f t="shared" si="61"/>
        <v>C,N,S</v>
      </c>
      <c r="I82" s="45">
        <v>127.6</v>
      </c>
      <c r="J82" s="45"/>
      <c r="K82" s="45">
        <v>158</v>
      </c>
      <c r="L82" s="45">
        <f t="shared" si="59"/>
        <v>30.400000000000006</v>
      </c>
      <c r="M82" s="45">
        <f t="shared" si="62"/>
        <v>119.80000000000001</v>
      </c>
      <c r="O82" s="45">
        <f t="shared" si="63"/>
        <v>24.958263772954922</v>
      </c>
      <c r="P82" s="45">
        <f t="shared" si="64"/>
        <v>6.3333156819518335</v>
      </c>
      <c r="Q82" s="94"/>
      <c r="R82" s="45">
        <f t="shared" si="65"/>
        <v>26.544240400667778</v>
      </c>
      <c r="S82" s="45">
        <f t="shared" si="66"/>
        <v>6.7357671801360652</v>
      </c>
      <c r="T82" s="94"/>
      <c r="U82" s="45">
        <f t="shared" si="67"/>
        <v>48.497495826377289</v>
      </c>
      <c r="V82" s="45">
        <f t="shared" si="68"/>
        <v>12.306543181317776</v>
      </c>
      <c r="W82" s="94"/>
      <c r="X82" s="54">
        <v>40.1</v>
      </c>
      <c r="Y82" s="54">
        <v>29.9</v>
      </c>
      <c r="Z82" s="54">
        <f t="shared" si="69"/>
        <v>10.200000000000003</v>
      </c>
      <c r="AA82" s="54">
        <f t="shared" si="70"/>
        <v>6.3333156819518335</v>
      </c>
      <c r="AB82" s="54">
        <f t="shared" si="71"/>
        <v>23.566684318048164</v>
      </c>
      <c r="AC82" s="54">
        <f t="shared" si="72"/>
        <v>0.26874020954664235</v>
      </c>
      <c r="AD82" s="54">
        <v>16</v>
      </c>
      <c r="AE82" s="54">
        <f t="shared" si="85"/>
        <v>4.2998433527462776</v>
      </c>
      <c r="AF82" s="54">
        <f t="shared" si="86"/>
        <v>11.700156647253722</v>
      </c>
      <c r="AG82" s="54">
        <v>15.5</v>
      </c>
      <c r="AH82" s="54">
        <f t="shared" si="73"/>
        <v>0.26874020954664235</v>
      </c>
      <c r="AI82" s="54">
        <v>2.7</v>
      </c>
      <c r="AJ82" s="54">
        <f t="shared" si="74"/>
        <v>0.7255985657759344</v>
      </c>
      <c r="AL82" s="45">
        <v>40.799999999999997</v>
      </c>
      <c r="AM82" s="45">
        <v>31.8</v>
      </c>
      <c r="AN82" s="45">
        <f t="shared" si="75"/>
        <v>8.9999999999999964</v>
      </c>
      <c r="AO82" s="52">
        <f t="shared" si="76"/>
        <v>6.7357671801360652</v>
      </c>
      <c r="AP82" s="52">
        <f t="shared" si="77"/>
        <v>25.064232819863935</v>
      </c>
      <c r="AQ82" s="54">
        <f t="shared" si="78"/>
        <v>0.26874020954664241</v>
      </c>
      <c r="AR82" s="45">
        <v>4</v>
      </c>
      <c r="AS82" s="52">
        <f t="shared" si="79"/>
        <v>1.0749608381865696</v>
      </c>
      <c r="AU82" s="52">
        <v>77.400000000000006</v>
      </c>
      <c r="AV82" s="52">
        <v>58.1</v>
      </c>
      <c r="AW82" s="52">
        <f t="shared" si="80"/>
        <v>19.300000000000004</v>
      </c>
      <c r="AX82" s="52">
        <f t="shared" si="81"/>
        <v>12.306543181317776</v>
      </c>
      <c r="AY82" s="52">
        <f t="shared" si="82"/>
        <v>45.793456818682223</v>
      </c>
      <c r="AZ82" s="54">
        <f t="shared" si="83"/>
        <v>0.26874020954664229</v>
      </c>
      <c r="BA82" s="52">
        <v>19.5</v>
      </c>
      <c r="BB82" s="52">
        <f t="shared" si="84"/>
        <v>5.2404340861595244</v>
      </c>
      <c r="BE82" s="1" t="s">
        <v>17</v>
      </c>
    </row>
    <row r="83" spans="1:57" ht="15" customHeight="1" x14ac:dyDescent="0.35">
      <c r="A83" s="45" t="s">
        <v>28</v>
      </c>
      <c r="B83" s="46" t="s">
        <v>63</v>
      </c>
      <c r="C83" s="45" t="str">
        <f t="shared" si="60"/>
        <v>ACS5_4-24_G</v>
      </c>
      <c r="D83" s="47">
        <v>45392</v>
      </c>
      <c r="E83" s="47" t="s">
        <v>17</v>
      </c>
      <c r="F83" s="47">
        <v>45539</v>
      </c>
      <c r="G83" s="45"/>
      <c r="H83" s="45" t="str">
        <f t="shared" si="61"/>
        <v>C,N,S</v>
      </c>
      <c r="I83" s="45">
        <v>129.5</v>
      </c>
      <c r="J83" s="45"/>
      <c r="K83" s="45">
        <v>152.19999999999999</v>
      </c>
      <c r="L83" s="45">
        <f t="shared" si="59"/>
        <v>22.699999999999989</v>
      </c>
      <c r="M83" s="45">
        <f t="shared" si="62"/>
        <v>108.8</v>
      </c>
      <c r="O83" s="45">
        <f t="shared" si="63"/>
        <v>28.308823529411764</v>
      </c>
      <c r="P83" s="45">
        <f t="shared" si="64"/>
        <v>5.9063446150518999</v>
      </c>
      <c r="Q83" s="94"/>
      <c r="R83" s="45">
        <f t="shared" si="65"/>
        <v>24.356617647058822</v>
      </c>
      <c r="S83" s="45">
        <f t="shared" si="66"/>
        <v>5.0817575421712782</v>
      </c>
      <c r="T83" s="94"/>
      <c r="U83" s="45">
        <f t="shared" si="67"/>
        <v>47.334558823529413</v>
      </c>
      <c r="V83" s="45">
        <f t="shared" si="68"/>
        <v>9.8758684310121065</v>
      </c>
      <c r="W83" s="94"/>
      <c r="X83" s="54">
        <v>38.700000000000003</v>
      </c>
      <c r="Y83" s="54">
        <v>30.8</v>
      </c>
      <c r="Z83" s="54">
        <f t="shared" si="69"/>
        <v>7.9000000000000021</v>
      </c>
      <c r="AA83" s="54">
        <f t="shared" si="70"/>
        <v>5.9063446150518999</v>
      </c>
      <c r="AB83" s="54">
        <f t="shared" si="71"/>
        <v>24.893655384948101</v>
      </c>
      <c r="AC83" s="54">
        <f t="shared" si="72"/>
        <v>0.23726305051298974</v>
      </c>
      <c r="AD83" s="54">
        <v>15.1</v>
      </c>
      <c r="AE83" s="54">
        <f t="shared" si="85"/>
        <v>3.5826720627461448</v>
      </c>
      <c r="AF83" s="54">
        <f t="shared" si="86"/>
        <v>11.517327937253855</v>
      </c>
      <c r="AG83" s="54">
        <v>15.3</v>
      </c>
      <c r="AH83" s="54">
        <f t="shared" si="73"/>
        <v>0.23726305051298974</v>
      </c>
      <c r="AI83" s="54">
        <v>3.3</v>
      </c>
      <c r="AJ83" s="54">
        <f t="shared" si="74"/>
        <v>0.78296806669286612</v>
      </c>
      <c r="AL83" s="45">
        <v>39.6</v>
      </c>
      <c r="AM83" s="45">
        <v>26.5</v>
      </c>
      <c r="AN83" s="45">
        <f t="shared" si="75"/>
        <v>13.100000000000001</v>
      </c>
      <c r="AO83" s="52">
        <f t="shared" si="76"/>
        <v>5.0817575421712782</v>
      </c>
      <c r="AP83" s="52">
        <f t="shared" si="77"/>
        <v>21.418242457828722</v>
      </c>
      <c r="AQ83" s="54">
        <f t="shared" si="78"/>
        <v>0.23726305051298976</v>
      </c>
      <c r="AR83" s="45">
        <v>6.2</v>
      </c>
      <c r="AS83" s="52">
        <f t="shared" si="79"/>
        <v>1.4710309131805366</v>
      </c>
      <c r="AU83" s="52">
        <v>73.2</v>
      </c>
      <c r="AV83" s="52">
        <v>51.5</v>
      </c>
      <c r="AW83" s="52">
        <f t="shared" si="80"/>
        <v>21.700000000000003</v>
      </c>
      <c r="AX83" s="52">
        <f t="shared" si="81"/>
        <v>9.8758684310121065</v>
      </c>
      <c r="AY83" s="52">
        <f t="shared" si="82"/>
        <v>41.624131568987892</v>
      </c>
      <c r="AZ83" s="54">
        <f t="shared" si="83"/>
        <v>0.23726305051298976</v>
      </c>
      <c r="BA83" s="52">
        <v>20.399999999999999</v>
      </c>
      <c r="BB83" s="52">
        <f t="shared" si="84"/>
        <v>4.8401662304649911</v>
      </c>
      <c r="BE83" s="1" t="s">
        <v>17</v>
      </c>
    </row>
    <row r="84" spans="1:57" ht="15" customHeight="1" x14ac:dyDescent="0.35">
      <c r="A84" s="45" t="s">
        <v>30</v>
      </c>
      <c r="B84" s="46" t="s">
        <v>63</v>
      </c>
      <c r="C84" s="45" t="str">
        <f t="shared" si="60"/>
        <v>DC1_4-24_G</v>
      </c>
      <c r="D84" s="47">
        <v>45392</v>
      </c>
      <c r="E84" s="47" t="s">
        <v>17</v>
      </c>
      <c r="F84" s="47">
        <v>45540</v>
      </c>
      <c r="G84" s="45"/>
      <c r="H84" s="45" t="str">
        <f t="shared" si="61"/>
        <v>C,N,S</v>
      </c>
      <c r="I84" s="45">
        <v>130.80000000000001</v>
      </c>
      <c r="J84" s="45"/>
      <c r="K84" s="45">
        <v>151.1</v>
      </c>
      <c r="L84" s="45">
        <f t="shared" si="59"/>
        <v>20.299999999999983</v>
      </c>
      <c r="M84" s="45">
        <f t="shared" si="62"/>
        <v>112.09</v>
      </c>
      <c r="O84" s="45">
        <f t="shared" si="63"/>
        <v>23.989651173164422</v>
      </c>
      <c r="P84" s="45">
        <f t="shared" si="64"/>
        <v>4.3446330521477146</v>
      </c>
      <c r="Q84" s="94"/>
      <c r="R84" s="45">
        <f t="shared" si="65"/>
        <v>23.552502453385671</v>
      </c>
      <c r="S84" s="45">
        <f t="shared" si="66"/>
        <v>4.2654634651059746</v>
      </c>
      <c r="T84" s="94"/>
      <c r="U84" s="45">
        <f t="shared" si="67"/>
        <v>52.457846373449904</v>
      </c>
      <c r="V84" s="45">
        <f t="shared" si="68"/>
        <v>9.5003504450087632</v>
      </c>
      <c r="W84" s="94"/>
      <c r="X84" s="54">
        <v>38.799999999999997</v>
      </c>
      <c r="Y84" s="54">
        <v>26.89</v>
      </c>
      <c r="Z84" s="54">
        <f t="shared" si="69"/>
        <v>11.909999999999997</v>
      </c>
      <c r="AA84" s="54">
        <f t="shared" si="70"/>
        <v>4.3446330521477146</v>
      </c>
      <c r="AB84" s="54">
        <f t="shared" si="71"/>
        <v>22.545366947852287</v>
      </c>
      <c r="AC84" s="54">
        <f t="shared" si="72"/>
        <v>0.19270624701726544</v>
      </c>
      <c r="AD84" s="54">
        <v>21.5</v>
      </c>
      <c r="AE84" s="54">
        <f t="shared" si="85"/>
        <v>4.1431843108712068</v>
      </c>
      <c r="AF84" s="54">
        <f t="shared" si="86"/>
        <v>17.356815689128794</v>
      </c>
      <c r="AG84" s="54">
        <v>20.7</v>
      </c>
      <c r="AH84" s="54">
        <f t="shared" si="73"/>
        <v>0.19270624701726544</v>
      </c>
      <c r="AI84" s="54">
        <v>5</v>
      </c>
      <c r="AJ84" s="54">
        <f t="shared" si="74"/>
        <v>0.96353123508632721</v>
      </c>
      <c r="AL84" s="45">
        <v>35.5</v>
      </c>
      <c r="AM84" s="45">
        <v>26.4</v>
      </c>
      <c r="AN84" s="45">
        <f t="shared" si="75"/>
        <v>9.1000000000000014</v>
      </c>
      <c r="AO84" s="52">
        <f t="shared" si="76"/>
        <v>4.2654634651059746</v>
      </c>
      <c r="AP84" s="52">
        <f t="shared" si="77"/>
        <v>22.134536534894025</v>
      </c>
      <c r="AQ84" s="54">
        <f t="shared" si="78"/>
        <v>0.19270624701726544</v>
      </c>
      <c r="AR84" s="45">
        <v>3.5</v>
      </c>
      <c r="AS84" s="52">
        <f t="shared" si="79"/>
        <v>0.67447186456042907</v>
      </c>
      <c r="AU84" s="52">
        <v>76.2</v>
      </c>
      <c r="AV84" s="52">
        <v>58.8</v>
      </c>
      <c r="AW84" s="52">
        <f t="shared" si="80"/>
        <v>17.400000000000006</v>
      </c>
      <c r="AX84" s="52">
        <f t="shared" si="81"/>
        <v>9.5003504450087632</v>
      </c>
      <c r="AY84" s="52">
        <f t="shared" si="82"/>
        <v>49.299649554991234</v>
      </c>
      <c r="AZ84" s="54">
        <f t="shared" si="83"/>
        <v>0.19270624701726549</v>
      </c>
      <c r="BA84" s="52">
        <v>13.9</v>
      </c>
      <c r="BB84" s="52">
        <f t="shared" si="84"/>
        <v>2.6786168335399902</v>
      </c>
      <c r="BE84" s="1" t="s">
        <v>17</v>
      </c>
    </row>
    <row r="85" spans="1:57" ht="15" customHeight="1" x14ac:dyDescent="0.35">
      <c r="A85" s="45" t="s">
        <v>27</v>
      </c>
      <c r="B85" s="46" t="s">
        <v>63</v>
      </c>
      <c r="C85" s="45" t="str">
        <f t="shared" si="60"/>
        <v>ACS4_4-24_G</v>
      </c>
      <c r="D85" s="47">
        <v>45392</v>
      </c>
      <c r="E85" s="47" t="s">
        <v>17</v>
      </c>
      <c r="F85" s="47">
        <v>45541</v>
      </c>
      <c r="G85" s="45"/>
      <c r="H85" s="45" t="str">
        <f t="shared" si="61"/>
        <v>C,N,S</v>
      </c>
      <c r="I85" s="45">
        <v>129.19999999999999</v>
      </c>
      <c r="J85" s="45"/>
      <c r="K85" s="45">
        <v>149.9</v>
      </c>
      <c r="L85" s="45">
        <f t="shared" si="59"/>
        <v>20.700000000000017</v>
      </c>
      <c r="M85" s="45">
        <f t="shared" si="62"/>
        <v>110.1</v>
      </c>
      <c r="O85" s="45">
        <f t="shared" si="63"/>
        <v>22.979109900090826</v>
      </c>
      <c r="P85" s="45">
        <f t="shared" si="64"/>
        <v>4.3203231147309769</v>
      </c>
      <c r="Q85" s="94"/>
      <c r="R85" s="45">
        <f t="shared" si="65"/>
        <v>26.793823796548594</v>
      </c>
      <c r="S85" s="45">
        <f t="shared" si="66"/>
        <v>5.0375309045282144</v>
      </c>
      <c r="T85" s="94"/>
      <c r="U85" s="45">
        <f t="shared" si="67"/>
        <v>50.22706630336058</v>
      </c>
      <c r="V85" s="45">
        <f t="shared" si="68"/>
        <v>9.4432358989969565</v>
      </c>
      <c r="W85" s="94"/>
      <c r="X85" s="54">
        <v>35.9</v>
      </c>
      <c r="Y85" s="54">
        <v>25.3</v>
      </c>
      <c r="Z85" s="54">
        <f t="shared" si="69"/>
        <v>10.599999999999998</v>
      </c>
      <c r="AA85" s="54">
        <f t="shared" si="70"/>
        <v>4.3203231147309769</v>
      </c>
      <c r="AB85" s="54">
        <f t="shared" si="71"/>
        <v>20.979676885269022</v>
      </c>
      <c r="AC85" s="54">
        <f t="shared" si="72"/>
        <v>0.20592896346103937</v>
      </c>
      <c r="AD85" s="54">
        <v>19.3</v>
      </c>
      <c r="AE85" s="54">
        <f t="shared" si="85"/>
        <v>3.97442899479806</v>
      </c>
      <c r="AF85" s="54">
        <f t="shared" si="86"/>
        <v>15.32557100520194</v>
      </c>
      <c r="AG85" s="54">
        <v>20.100000000000001</v>
      </c>
      <c r="AH85" s="54">
        <f t="shared" si="73"/>
        <v>0.20592896346103937</v>
      </c>
      <c r="AI85" s="54">
        <v>3.9</v>
      </c>
      <c r="AJ85" s="54">
        <f t="shared" si="74"/>
        <v>0.80312295749805351</v>
      </c>
      <c r="AL85" s="45">
        <v>39.299999999999997</v>
      </c>
      <c r="AM85" s="45">
        <v>29.5</v>
      </c>
      <c r="AN85" s="45">
        <f t="shared" si="75"/>
        <v>9.7999999999999972</v>
      </c>
      <c r="AO85" s="52">
        <f t="shared" si="76"/>
        <v>5.0375309045282144</v>
      </c>
      <c r="AP85" s="52">
        <f t="shared" si="77"/>
        <v>24.462469095471786</v>
      </c>
      <c r="AQ85" s="54">
        <f t="shared" si="78"/>
        <v>0.20592896346103939</v>
      </c>
      <c r="AR85" s="56">
        <v>6.3</v>
      </c>
      <c r="AS85" s="52">
        <v>1.4</v>
      </c>
      <c r="AU85" s="52">
        <v>75.900000000000006</v>
      </c>
      <c r="AV85" s="52">
        <v>55.3</v>
      </c>
      <c r="AW85" s="52">
        <f t="shared" si="80"/>
        <v>20.600000000000009</v>
      </c>
      <c r="AX85" s="52">
        <f t="shared" si="81"/>
        <v>9.4432358989969565</v>
      </c>
      <c r="AY85" s="52">
        <f t="shared" si="82"/>
        <v>45.856764101003037</v>
      </c>
      <c r="AZ85" s="54">
        <f t="shared" si="83"/>
        <v>0.20592896346103937</v>
      </c>
      <c r="BA85" s="52">
        <v>22.7</v>
      </c>
      <c r="BB85" s="52">
        <f t="shared" si="84"/>
        <v>4.6745874705655934</v>
      </c>
      <c r="BE85" s="1" t="s">
        <v>17</v>
      </c>
    </row>
    <row r="86" spans="1:57" ht="15" customHeight="1" x14ac:dyDescent="0.35">
      <c r="A86" s="45" t="s">
        <v>32</v>
      </c>
      <c r="B86" s="46" t="s">
        <v>63</v>
      </c>
      <c r="C86" s="45" t="str">
        <f t="shared" si="60"/>
        <v>DC2_4-24_G</v>
      </c>
      <c r="D86" s="47">
        <v>45392</v>
      </c>
      <c r="E86" s="47" t="s">
        <v>17</v>
      </c>
      <c r="F86" s="47">
        <v>45539</v>
      </c>
      <c r="G86" s="45"/>
      <c r="H86" s="45" t="str">
        <f t="shared" si="61"/>
        <v>C,N,S</v>
      </c>
      <c r="I86" s="45">
        <v>128.30000000000001</v>
      </c>
      <c r="J86" s="45"/>
      <c r="K86" s="45">
        <v>149.80000000000001</v>
      </c>
      <c r="L86" s="45">
        <f t="shared" ref="L86:L117" si="87">K86-I86</f>
        <v>21.5</v>
      </c>
      <c r="M86" s="45">
        <f t="shared" si="62"/>
        <v>114.6</v>
      </c>
      <c r="O86" s="45">
        <f t="shared" si="63"/>
        <v>26.527050610820247</v>
      </c>
      <c r="P86" s="45">
        <f t="shared" si="64"/>
        <v>4.9767154287315476</v>
      </c>
      <c r="Q86" s="94"/>
      <c r="R86" s="45">
        <f t="shared" si="65"/>
        <v>26.178010471204189</v>
      </c>
      <c r="S86" s="45">
        <f t="shared" si="66"/>
        <v>4.9112323309850794</v>
      </c>
      <c r="T86" s="94"/>
      <c r="U86" s="45">
        <f t="shared" si="67"/>
        <v>47.294938917975571</v>
      </c>
      <c r="V86" s="45">
        <f t="shared" si="68"/>
        <v>8.8729597446463782</v>
      </c>
      <c r="W86" s="94"/>
      <c r="X86" s="54">
        <v>37.200000000000003</v>
      </c>
      <c r="Y86" s="54">
        <v>30.4</v>
      </c>
      <c r="Z86" s="54">
        <f t="shared" si="69"/>
        <v>6.8000000000000043</v>
      </c>
      <c r="AA86" s="54">
        <f t="shared" si="70"/>
        <v>4.9767154287315476</v>
      </c>
      <c r="AB86" s="54">
        <f t="shared" si="71"/>
        <v>25.42328457126845</v>
      </c>
      <c r="AC86" s="54">
        <f t="shared" si="72"/>
        <v>0.19575422738082671</v>
      </c>
      <c r="AD86" s="54">
        <v>19.399999999999999</v>
      </c>
      <c r="AE86" s="54">
        <f t="shared" si="85"/>
        <v>3.7976320111880377</v>
      </c>
      <c r="AF86" s="54">
        <f t="shared" si="86"/>
        <v>15.602367988811961</v>
      </c>
      <c r="AG86" s="54">
        <v>19.100000000000001</v>
      </c>
      <c r="AH86" s="54">
        <f t="shared" si="73"/>
        <v>0.19575422738082671</v>
      </c>
      <c r="AI86" s="54">
        <v>4.0999999999999996</v>
      </c>
      <c r="AJ86" s="54">
        <f t="shared" si="74"/>
        <v>0.80259233226138937</v>
      </c>
      <c r="AL86" s="45">
        <v>37.700000000000003</v>
      </c>
      <c r="AM86" s="45">
        <v>30</v>
      </c>
      <c r="AN86" s="45">
        <f t="shared" si="75"/>
        <v>7.7000000000000028</v>
      </c>
      <c r="AO86" s="52">
        <f t="shared" si="76"/>
        <v>4.9112323309850794</v>
      </c>
      <c r="AP86" s="52">
        <f t="shared" si="77"/>
        <v>25.088767669014921</v>
      </c>
      <c r="AQ86" s="54">
        <f t="shared" si="78"/>
        <v>0.19575422738082668</v>
      </c>
      <c r="AR86" s="45">
        <v>9.6999999999999993</v>
      </c>
      <c r="AS86" s="52">
        <f t="shared" ref="AS86:AS117" si="88">AR86*AQ86</f>
        <v>1.8988160055940186</v>
      </c>
      <c r="AU86" s="52">
        <v>76.099999999999994</v>
      </c>
      <c r="AV86" s="52">
        <v>54.2</v>
      </c>
      <c r="AW86" s="52">
        <f t="shared" si="80"/>
        <v>21.899999999999991</v>
      </c>
      <c r="AX86" s="52">
        <f t="shared" si="81"/>
        <v>8.8729597446463782</v>
      </c>
      <c r="AY86" s="52">
        <f t="shared" si="82"/>
        <v>45.327040255353623</v>
      </c>
      <c r="AZ86" s="54">
        <f t="shared" si="83"/>
        <v>0.19575422738082671</v>
      </c>
      <c r="BA86" s="52">
        <v>26</v>
      </c>
      <c r="BB86" s="52">
        <f t="shared" si="84"/>
        <v>5.0896099119014941</v>
      </c>
      <c r="BE86" s="1" t="s">
        <v>17</v>
      </c>
    </row>
    <row r="87" spans="1:57" ht="15" customHeight="1" x14ac:dyDescent="0.35">
      <c r="A87" s="45" t="s">
        <v>49</v>
      </c>
      <c r="B87" s="46" t="s">
        <v>63</v>
      </c>
      <c r="C87" s="45" t="str">
        <f t="shared" si="60"/>
        <v>SBT2_4-24_G</v>
      </c>
      <c r="D87" s="47">
        <v>45393</v>
      </c>
      <c r="E87" s="47" t="s">
        <v>17</v>
      </c>
      <c r="F87" s="47">
        <v>45540</v>
      </c>
      <c r="G87" s="45"/>
      <c r="H87" s="45" t="str">
        <f t="shared" si="61"/>
        <v>C,N,S</v>
      </c>
      <c r="I87" s="45">
        <v>131.5</v>
      </c>
      <c r="J87" s="45"/>
      <c r="K87" s="45">
        <v>194.6</v>
      </c>
      <c r="L87" s="45">
        <f t="shared" si="87"/>
        <v>63.099999999999994</v>
      </c>
      <c r="M87" s="45">
        <f t="shared" si="62"/>
        <v>140.79999999999998</v>
      </c>
      <c r="O87" s="45">
        <f t="shared" si="63"/>
        <v>23.366477272727273</v>
      </c>
      <c r="P87" s="45">
        <f t="shared" si="64"/>
        <v>10.471766448217977</v>
      </c>
      <c r="Q87" s="94"/>
      <c r="R87" s="45">
        <f t="shared" si="65"/>
        <v>27.201704545454547</v>
      </c>
      <c r="S87" s="45">
        <f t="shared" si="66"/>
        <v>12.190536625129132</v>
      </c>
      <c r="T87" s="94"/>
      <c r="U87" s="45">
        <f t="shared" si="67"/>
        <v>49.43181818181818</v>
      </c>
      <c r="V87" s="45">
        <f t="shared" si="68"/>
        <v>22.153037835743802</v>
      </c>
      <c r="W87" s="94"/>
      <c r="X87" s="54">
        <v>50.1</v>
      </c>
      <c r="Y87" s="54">
        <v>32.9</v>
      </c>
      <c r="Z87" s="54">
        <f t="shared" si="69"/>
        <v>17.200000000000003</v>
      </c>
      <c r="AA87" s="54">
        <f t="shared" si="70"/>
        <v>10.471766448217977</v>
      </c>
      <c r="AB87" s="54">
        <f t="shared" si="71"/>
        <v>22.428233551782021</v>
      </c>
      <c r="AC87" s="54">
        <f t="shared" si="72"/>
        <v>0.46690107912604423</v>
      </c>
      <c r="AD87" s="54">
        <v>23.3</v>
      </c>
      <c r="AE87" s="54">
        <f t="shared" si="85"/>
        <v>10.878795143636831</v>
      </c>
      <c r="AF87" s="54">
        <f t="shared" si="86"/>
        <v>12.42120485636317</v>
      </c>
      <c r="AG87" s="54">
        <v>25.2</v>
      </c>
      <c r="AH87" s="54">
        <f t="shared" si="73"/>
        <v>0.46690107912604423</v>
      </c>
      <c r="AI87" s="54">
        <v>2.2999999999999998</v>
      </c>
      <c r="AJ87" s="54">
        <f t="shared" si="74"/>
        <v>1.0738724819899017</v>
      </c>
      <c r="AL87" s="45">
        <v>48.1</v>
      </c>
      <c r="AM87" s="45">
        <v>38.299999999999997</v>
      </c>
      <c r="AN87" s="45">
        <f t="shared" si="75"/>
        <v>9.8000000000000043</v>
      </c>
      <c r="AO87" s="52">
        <f t="shared" si="76"/>
        <v>12.190536625129132</v>
      </c>
      <c r="AP87" s="52">
        <f t="shared" si="77"/>
        <v>26.109463374870863</v>
      </c>
      <c r="AQ87" s="54">
        <f t="shared" si="78"/>
        <v>0.46690107912604412</v>
      </c>
      <c r="AR87" s="45">
        <v>3.6</v>
      </c>
      <c r="AS87" s="52">
        <f t="shared" si="88"/>
        <v>1.6808438848537588</v>
      </c>
      <c r="AU87" s="52">
        <v>98.5</v>
      </c>
      <c r="AV87" s="52">
        <v>69.599999999999994</v>
      </c>
      <c r="AW87" s="52">
        <f t="shared" si="80"/>
        <v>28.900000000000006</v>
      </c>
      <c r="AX87" s="52">
        <f t="shared" si="81"/>
        <v>22.153037835743802</v>
      </c>
      <c r="AY87" s="52">
        <f t="shared" si="82"/>
        <v>47.446962164256192</v>
      </c>
      <c r="AZ87" s="54">
        <f t="shared" si="83"/>
        <v>0.46690107912604412</v>
      </c>
      <c r="BA87" s="52">
        <v>10.5</v>
      </c>
      <c r="BB87" s="52">
        <f t="shared" si="84"/>
        <v>4.9024613308234635</v>
      </c>
      <c r="BE87" s="1" t="s">
        <v>17</v>
      </c>
    </row>
    <row r="88" spans="1:57" ht="15" customHeight="1" x14ac:dyDescent="0.35">
      <c r="A88" s="45" t="s">
        <v>56</v>
      </c>
      <c r="B88" s="46" t="s">
        <v>63</v>
      </c>
      <c r="C88" s="45" t="str">
        <f t="shared" si="60"/>
        <v>CC_4-24_G</v>
      </c>
      <c r="D88" s="47">
        <v>45393</v>
      </c>
      <c r="E88" s="47" t="s">
        <v>17</v>
      </c>
      <c r="F88" s="47">
        <v>45540</v>
      </c>
      <c r="G88" s="45"/>
      <c r="H88" s="45" t="str">
        <f t="shared" si="61"/>
        <v>C,N,S</v>
      </c>
      <c r="I88" s="45">
        <v>130.30000000000001</v>
      </c>
      <c r="J88" s="45"/>
      <c r="K88" s="45">
        <v>182.7</v>
      </c>
      <c r="L88" s="45">
        <f t="shared" si="87"/>
        <v>52.399999999999977</v>
      </c>
      <c r="M88" s="45">
        <f t="shared" si="62"/>
        <v>133.9</v>
      </c>
      <c r="O88" s="45">
        <f t="shared" si="63"/>
        <v>27.781926811053026</v>
      </c>
      <c r="P88" s="45">
        <f t="shared" si="64"/>
        <v>10.872090850628663</v>
      </c>
      <c r="Q88" s="94"/>
      <c r="R88" s="45">
        <f t="shared" si="65"/>
        <v>25.765496639283047</v>
      </c>
      <c r="S88" s="45">
        <f t="shared" si="66"/>
        <v>10.082987482437872</v>
      </c>
      <c r="T88" s="94"/>
      <c r="U88" s="45">
        <f t="shared" si="67"/>
        <v>46.452576549663924</v>
      </c>
      <c r="V88" s="45">
        <f t="shared" si="68"/>
        <v>18.178603519061902</v>
      </c>
      <c r="W88" s="94"/>
      <c r="X88" s="54">
        <v>48.7</v>
      </c>
      <c r="Y88" s="54">
        <v>37.200000000000003</v>
      </c>
      <c r="Z88" s="54">
        <f t="shared" si="69"/>
        <v>11.5</v>
      </c>
      <c r="AA88" s="54">
        <f t="shared" si="70"/>
        <v>10.872090850628663</v>
      </c>
      <c r="AB88" s="54">
        <f t="shared" si="71"/>
        <v>26.32790914937134</v>
      </c>
      <c r="AC88" s="54">
        <f t="shared" si="72"/>
        <v>0.41294926949747041</v>
      </c>
      <c r="AD88" s="54">
        <v>21.4</v>
      </c>
      <c r="AE88" s="54">
        <f t="shared" si="85"/>
        <v>8.8371143672458654</v>
      </c>
      <c r="AF88" s="54">
        <f t="shared" si="86"/>
        <v>12.562885632754133</v>
      </c>
      <c r="AG88" s="54">
        <v>22.9</v>
      </c>
      <c r="AH88" s="54">
        <f t="shared" si="73"/>
        <v>0.41294926949747041</v>
      </c>
      <c r="AI88" s="54">
        <v>2.4</v>
      </c>
      <c r="AJ88" s="54">
        <f t="shared" si="74"/>
        <v>0.99107824679392897</v>
      </c>
      <c r="AL88" s="45">
        <v>48.1</v>
      </c>
      <c r="AM88" s="45">
        <v>34.5</v>
      </c>
      <c r="AN88" s="45">
        <f t="shared" si="75"/>
        <v>13.600000000000001</v>
      </c>
      <c r="AO88" s="52">
        <f t="shared" si="76"/>
        <v>10.082987482437872</v>
      </c>
      <c r="AP88" s="52">
        <f t="shared" si="77"/>
        <v>24.417012517562128</v>
      </c>
      <c r="AQ88" s="54">
        <f t="shared" si="78"/>
        <v>0.41294926949747041</v>
      </c>
      <c r="AR88" s="45">
        <v>3.8</v>
      </c>
      <c r="AS88" s="52">
        <f t="shared" si="88"/>
        <v>1.5692072240903874</v>
      </c>
      <c r="AU88" s="52">
        <v>87</v>
      </c>
      <c r="AV88" s="52">
        <v>62.2</v>
      </c>
      <c r="AW88" s="52">
        <f t="shared" si="80"/>
        <v>24.799999999999997</v>
      </c>
      <c r="AX88" s="52">
        <f t="shared" si="81"/>
        <v>18.178603519061902</v>
      </c>
      <c r="AY88" s="52">
        <f t="shared" si="82"/>
        <v>44.021396480938101</v>
      </c>
      <c r="AZ88" s="54">
        <f t="shared" si="83"/>
        <v>0.41294926949747035</v>
      </c>
      <c r="BA88" s="52">
        <v>12.5</v>
      </c>
      <c r="BB88" s="52">
        <f t="shared" si="84"/>
        <v>5.1618658687183796</v>
      </c>
      <c r="BE88" s="1" t="s">
        <v>17</v>
      </c>
    </row>
    <row r="89" spans="1:57" ht="15" customHeight="1" x14ac:dyDescent="0.35">
      <c r="A89" s="45" t="s">
        <v>53</v>
      </c>
      <c r="B89" s="46" t="s">
        <v>63</v>
      </c>
      <c r="C89" s="45" t="str">
        <f t="shared" si="60"/>
        <v>WB2_4-24_G</v>
      </c>
      <c r="D89" s="47">
        <v>45393</v>
      </c>
      <c r="E89" s="47" t="s">
        <v>17</v>
      </c>
      <c r="F89" s="47">
        <v>45540</v>
      </c>
      <c r="G89" s="45"/>
      <c r="H89" s="45" t="str">
        <f t="shared" si="61"/>
        <v>C,N,S</v>
      </c>
      <c r="I89" s="45">
        <v>129.6</v>
      </c>
      <c r="J89" s="45"/>
      <c r="K89" s="45">
        <v>169.8</v>
      </c>
      <c r="L89" s="45">
        <f t="shared" si="87"/>
        <v>40.200000000000017</v>
      </c>
      <c r="M89" s="45">
        <f t="shared" si="62"/>
        <v>121</v>
      </c>
      <c r="O89" s="45">
        <f t="shared" si="63"/>
        <v>24.214876033057852</v>
      </c>
      <c r="P89" s="45">
        <f t="shared" si="64"/>
        <v>8.0449422853630246</v>
      </c>
      <c r="Q89" s="94"/>
      <c r="R89" s="45">
        <f t="shared" si="65"/>
        <v>28.264462809917358</v>
      </c>
      <c r="S89" s="45">
        <f t="shared" si="66"/>
        <v>9.3903421897411423</v>
      </c>
      <c r="T89" s="94"/>
      <c r="U89" s="45">
        <f t="shared" si="67"/>
        <v>47.520661157024797</v>
      </c>
      <c r="V89" s="45">
        <f t="shared" si="68"/>
        <v>15.787856020763616</v>
      </c>
      <c r="W89" s="94"/>
      <c r="X89" s="54">
        <v>45.5</v>
      </c>
      <c r="Y89" s="54">
        <v>29.3</v>
      </c>
      <c r="Z89" s="54">
        <f t="shared" si="69"/>
        <v>16.2</v>
      </c>
      <c r="AA89" s="54">
        <f t="shared" si="70"/>
        <v>8.0449422853630246</v>
      </c>
      <c r="AB89" s="54">
        <f t="shared" si="71"/>
        <v>21.255057714636976</v>
      </c>
      <c r="AC89" s="54">
        <f t="shared" si="72"/>
        <v>0.3784954335749931</v>
      </c>
      <c r="AD89" s="54">
        <v>17.7</v>
      </c>
      <c r="AE89" s="54">
        <f t="shared" si="85"/>
        <v>6.6993691742773773</v>
      </c>
      <c r="AF89" s="54">
        <f t="shared" si="86"/>
        <v>11.000630825722622</v>
      </c>
      <c r="AG89" s="54">
        <v>18.2</v>
      </c>
      <c r="AH89" s="54">
        <f t="shared" si="73"/>
        <v>0.3784954335749931</v>
      </c>
      <c r="AI89" s="54">
        <v>2.7</v>
      </c>
      <c r="AJ89" s="54">
        <f t="shared" si="74"/>
        <v>1.0219376706524814</v>
      </c>
      <c r="AL89" s="45">
        <v>44.7</v>
      </c>
      <c r="AM89" s="45">
        <v>34.200000000000003</v>
      </c>
      <c r="AN89" s="45">
        <f t="shared" si="75"/>
        <v>10.5</v>
      </c>
      <c r="AO89" s="52">
        <f t="shared" si="76"/>
        <v>9.3903421897411423</v>
      </c>
      <c r="AP89" s="52">
        <f t="shared" si="77"/>
        <v>24.809657810258862</v>
      </c>
      <c r="AQ89" s="54">
        <f t="shared" si="78"/>
        <v>0.3784954335749931</v>
      </c>
      <c r="AR89" s="45">
        <v>3.7</v>
      </c>
      <c r="AS89" s="52">
        <f t="shared" si="88"/>
        <v>1.4004331042274745</v>
      </c>
      <c r="AU89" s="52">
        <v>78.5</v>
      </c>
      <c r="AV89" s="52">
        <v>57.5</v>
      </c>
      <c r="AW89" s="52">
        <f t="shared" si="80"/>
        <v>21</v>
      </c>
      <c r="AX89" s="52">
        <f t="shared" si="81"/>
        <v>15.787856020763616</v>
      </c>
      <c r="AY89" s="52">
        <f t="shared" si="82"/>
        <v>41.712143979236387</v>
      </c>
      <c r="AZ89" s="54">
        <f t="shared" si="83"/>
        <v>0.37849543357499316</v>
      </c>
      <c r="BA89" s="52">
        <v>14</v>
      </c>
      <c r="BB89" s="52">
        <f t="shared" si="84"/>
        <v>5.298936070049904</v>
      </c>
      <c r="BE89" s="1" t="s">
        <v>17</v>
      </c>
    </row>
    <row r="90" spans="1:57" ht="15" customHeight="1" x14ac:dyDescent="0.35">
      <c r="A90" s="45" t="s">
        <v>43</v>
      </c>
      <c r="B90" s="46" t="s">
        <v>63</v>
      </c>
      <c r="C90" s="45" t="str">
        <f t="shared" si="60"/>
        <v>GB2_4-24_G</v>
      </c>
      <c r="D90" s="47">
        <v>45393</v>
      </c>
      <c r="E90" s="47" t="s">
        <v>17</v>
      </c>
      <c r="F90" s="47">
        <v>45539</v>
      </c>
      <c r="G90" s="45"/>
      <c r="H90" s="45" t="str">
        <f t="shared" si="61"/>
        <v>C,N,S</v>
      </c>
      <c r="I90" s="45">
        <v>128.19999999999999</v>
      </c>
      <c r="J90" s="45"/>
      <c r="K90" s="45">
        <v>165.8</v>
      </c>
      <c r="L90" s="45">
        <f t="shared" si="87"/>
        <v>37.600000000000023</v>
      </c>
      <c r="M90" s="45">
        <f t="shared" si="62"/>
        <v>123.69999999999999</v>
      </c>
      <c r="O90" s="45">
        <f t="shared" si="63"/>
        <v>27.000808407437347</v>
      </c>
      <c r="P90" s="45">
        <f t="shared" si="64"/>
        <v>8.2071980284530728</v>
      </c>
      <c r="Q90" s="94"/>
      <c r="R90" s="45">
        <f t="shared" si="65"/>
        <v>24.97978981406629</v>
      </c>
      <c r="S90" s="45">
        <f t="shared" si="66"/>
        <v>7.5928867987784407</v>
      </c>
      <c r="T90" s="94"/>
      <c r="U90" s="45">
        <f t="shared" si="67"/>
        <v>48.019401778496366</v>
      </c>
      <c r="V90" s="45">
        <f t="shared" si="68"/>
        <v>14.596034817069237</v>
      </c>
      <c r="W90" s="94"/>
      <c r="X90" s="54">
        <v>43.7</v>
      </c>
      <c r="Y90" s="54">
        <v>33.4</v>
      </c>
      <c r="Z90" s="54">
        <f t="shared" si="69"/>
        <v>10.300000000000004</v>
      </c>
      <c r="AA90" s="54">
        <f t="shared" si="70"/>
        <v>8.2071980284530728</v>
      </c>
      <c r="AB90" s="54">
        <f t="shared" si="71"/>
        <v>25.192801971546928</v>
      </c>
      <c r="AC90" s="54">
        <f t="shared" si="72"/>
        <v>0.32577551467766019</v>
      </c>
      <c r="AD90" s="54">
        <v>16.100000000000001</v>
      </c>
      <c r="AE90" s="54">
        <f t="shared" si="85"/>
        <v>5.2449857863103295</v>
      </c>
      <c r="AF90" s="54">
        <f t="shared" si="86"/>
        <v>10.855014213689671</v>
      </c>
      <c r="AG90" s="54">
        <v>18.100000000000001</v>
      </c>
      <c r="AH90" s="54">
        <f t="shared" si="73"/>
        <v>0.32577551467766019</v>
      </c>
      <c r="AI90" s="54">
        <v>3.3</v>
      </c>
      <c r="AJ90" s="54">
        <f t="shared" si="74"/>
        <v>1.0750591984362785</v>
      </c>
      <c r="AL90" s="45">
        <v>44.9</v>
      </c>
      <c r="AM90" s="45">
        <v>30.9</v>
      </c>
      <c r="AN90" s="45">
        <f t="shared" si="75"/>
        <v>14</v>
      </c>
      <c r="AO90" s="52">
        <f t="shared" si="76"/>
        <v>7.5928867987784407</v>
      </c>
      <c r="AP90" s="52">
        <f t="shared" si="77"/>
        <v>23.307113201221558</v>
      </c>
      <c r="AQ90" s="54">
        <f t="shared" si="78"/>
        <v>0.32577551467766019</v>
      </c>
      <c r="AR90" s="45">
        <v>3.9</v>
      </c>
      <c r="AS90" s="52">
        <f t="shared" si="88"/>
        <v>1.2705245072428748</v>
      </c>
      <c r="AU90" s="52">
        <v>77.599999999999994</v>
      </c>
      <c r="AV90" s="52">
        <v>59.4</v>
      </c>
      <c r="AW90" s="52">
        <f t="shared" si="80"/>
        <v>18.199999999999996</v>
      </c>
      <c r="AX90" s="52">
        <f t="shared" si="81"/>
        <v>14.596034817069237</v>
      </c>
      <c r="AY90" s="52">
        <f t="shared" si="82"/>
        <v>44.80396518293076</v>
      </c>
      <c r="AZ90" s="54">
        <f t="shared" si="83"/>
        <v>0.32577551467766019</v>
      </c>
      <c r="BA90" s="52">
        <v>17</v>
      </c>
      <c r="BB90" s="52">
        <f t="shared" si="84"/>
        <v>5.5381837495202237</v>
      </c>
      <c r="BE90" s="1" t="s">
        <v>17</v>
      </c>
    </row>
    <row r="91" spans="1:57" ht="15" customHeight="1" x14ac:dyDescent="0.35">
      <c r="A91" s="45" t="s">
        <v>52</v>
      </c>
      <c r="B91" s="46" t="s">
        <v>63</v>
      </c>
      <c r="C91" s="45" t="str">
        <f t="shared" si="60"/>
        <v>WB1_4-24_G</v>
      </c>
      <c r="D91" s="47">
        <v>45393</v>
      </c>
      <c r="E91" s="47" t="s">
        <v>17</v>
      </c>
      <c r="F91" s="47">
        <v>45540</v>
      </c>
      <c r="G91" s="45"/>
      <c r="H91" s="45" t="str">
        <f t="shared" si="61"/>
        <v>C,N,S</v>
      </c>
      <c r="I91" s="45">
        <v>129.5</v>
      </c>
      <c r="J91" s="45"/>
      <c r="K91" s="45">
        <v>163.9</v>
      </c>
      <c r="L91" s="45">
        <f t="shared" si="87"/>
        <v>34.400000000000006</v>
      </c>
      <c r="M91" s="45">
        <f t="shared" si="62"/>
        <v>120.89999999999999</v>
      </c>
      <c r="O91" s="45">
        <f t="shared" si="63"/>
        <v>27.543424317617866</v>
      </c>
      <c r="P91" s="45">
        <f t="shared" si="64"/>
        <v>7.8370041069152592</v>
      </c>
      <c r="Q91" s="94"/>
      <c r="R91" s="45">
        <f t="shared" si="65"/>
        <v>25.971877584780813</v>
      </c>
      <c r="S91" s="45">
        <f t="shared" si="66"/>
        <v>7.3898477164306051</v>
      </c>
      <c r="T91" s="94"/>
      <c r="U91" s="45">
        <f t="shared" si="67"/>
        <v>46.484698097601331</v>
      </c>
      <c r="V91" s="45">
        <f t="shared" si="68"/>
        <v>13.226415339598727</v>
      </c>
      <c r="W91" s="94"/>
      <c r="X91" s="54">
        <v>45.8</v>
      </c>
      <c r="Y91" s="54">
        <v>33.299999999999997</v>
      </c>
      <c r="Z91" s="54">
        <f t="shared" si="69"/>
        <v>12.5</v>
      </c>
      <c r="AA91" s="54">
        <f t="shared" si="70"/>
        <v>7.8370041069152592</v>
      </c>
      <c r="AB91" s="54">
        <f t="shared" si="71"/>
        <v>25.462995893084738</v>
      </c>
      <c r="AC91" s="54">
        <f t="shared" si="72"/>
        <v>0.30778012688772571</v>
      </c>
      <c r="AD91" s="54">
        <v>18.8</v>
      </c>
      <c r="AE91" s="54">
        <f t="shared" si="85"/>
        <v>5.7862663854892435</v>
      </c>
      <c r="AF91" s="54">
        <f t="shared" si="86"/>
        <v>13.013733614510757</v>
      </c>
      <c r="AG91" s="54">
        <v>18.8</v>
      </c>
      <c r="AH91" s="54">
        <f t="shared" si="73"/>
        <v>0.30778012688772571</v>
      </c>
      <c r="AI91" s="54">
        <v>3.1</v>
      </c>
      <c r="AJ91" s="54">
        <f t="shared" si="74"/>
        <v>0.9541183933519497</v>
      </c>
      <c r="AL91" s="45">
        <v>41.9</v>
      </c>
      <c r="AM91" s="45">
        <v>31.4</v>
      </c>
      <c r="AN91" s="45">
        <f t="shared" si="75"/>
        <v>10.5</v>
      </c>
      <c r="AO91" s="52">
        <f t="shared" si="76"/>
        <v>7.3898477164306051</v>
      </c>
      <c r="AP91" s="52">
        <f t="shared" si="77"/>
        <v>24.010152283569393</v>
      </c>
      <c r="AQ91" s="54">
        <f t="shared" si="78"/>
        <v>0.30778012688772571</v>
      </c>
      <c r="AR91" s="45">
        <v>5.4</v>
      </c>
      <c r="AS91" s="52">
        <f t="shared" si="88"/>
        <v>1.6620126851937189</v>
      </c>
      <c r="AU91" s="52">
        <v>76.5</v>
      </c>
      <c r="AV91" s="52">
        <v>56.2</v>
      </c>
      <c r="AW91" s="52">
        <f t="shared" si="80"/>
        <v>20.299999999999997</v>
      </c>
      <c r="AX91" s="52">
        <f t="shared" si="81"/>
        <v>13.226415339598727</v>
      </c>
      <c r="AY91" s="52">
        <f t="shared" si="82"/>
        <v>42.973584660401272</v>
      </c>
      <c r="AZ91" s="54">
        <f t="shared" si="83"/>
        <v>0.30778012688772571</v>
      </c>
      <c r="BA91" s="52">
        <v>17</v>
      </c>
      <c r="BB91" s="52">
        <f t="shared" si="84"/>
        <v>5.2322621570913368</v>
      </c>
      <c r="BE91" s="1" t="s">
        <v>17</v>
      </c>
    </row>
    <row r="92" spans="1:57" ht="15" customHeight="1" x14ac:dyDescent="0.35">
      <c r="A92" s="45" t="s">
        <v>55</v>
      </c>
      <c r="B92" s="46" t="s">
        <v>63</v>
      </c>
      <c r="C92" s="45" t="str">
        <f t="shared" si="60"/>
        <v>JB_4-24_G</v>
      </c>
      <c r="D92" s="47">
        <v>45393</v>
      </c>
      <c r="E92" s="47" t="s">
        <v>17</v>
      </c>
      <c r="F92" s="47">
        <v>45541</v>
      </c>
      <c r="G92" s="45"/>
      <c r="H92" s="45" t="str">
        <f t="shared" si="61"/>
        <v>C,N,S</v>
      </c>
      <c r="I92" s="45">
        <v>130.80000000000001</v>
      </c>
      <c r="J92" s="45"/>
      <c r="K92" s="45">
        <v>167.1</v>
      </c>
      <c r="L92" s="45">
        <f t="shared" si="87"/>
        <v>36.299999999999983</v>
      </c>
      <c r="M92" s="45">
        <f t="shared" si="62"/>
        <v>135.4</v>
      </c>
      <c r="O92" s="45">
        <f t="shared" si="63"/>
        <v>25.923190546528801</v>
      </c>
      <c r="P92" s="45">
        <f t="shared" si="64"/>
        <v>6.9498657078212327</v>
      </c>
      <c r="Q92" s="94"/>
      <c r="R92" s="45">
        <f t="shared" si="65"/>
        <v>24.963072378138847</v>
      </c>
      <c r="S92" s="45">
        <f t="shared" si="66"/>
        <v>6.692463274198226</v>
      </c>
      <c r="T92" s="94"/>
      <c r="U92" s="45">
        <f t="shared" si="67"/>
        <v>49.113737075332345</v>
      </c>
      <c r="V92" s="45">
        <f t="shared" si="68"/>
        <v>13.167124489176979</v>
      </c>
      <c r="W92" s="94"/>
      <c r="X92" s="54">
        <v>42.2</v>
      </c>
      <c r="Y92" s="54">
        <v>35.1</v>
      </c>
      <c r="Z92" s="54">
        <f t="shared" si="69"/>
        <v>7.1000000000000014</v>
      </c>
      <c r="AA92" s="54">
        <f t="shared" si="70"/>
        <v>6.9498657078212327</v>
      </c>
      <c r="AB92" s="54">
        <f t="shared" si="71"/>
        <v>28.15013429217877</v>
      </c>
      <c r="AC92" s="54">
        <f t="shared" si="72"/>
        <v>0.24688570348142824</v>
      </c>
      <c r="AD92" s="54">
        <v>19.600000000000001</v>
      </c>
      <c r="AE92" s="54">
        <f t="shared" si="85"/>
        <v>4.8389597882359938</v>
      </c>
      <c r="AF92" s="54">
        <f t="shared" si="86"/>
        <v>14.761040211764008</v>
      </c>
      <c r="AG92" s="54">
        <v>19.8</v>
      </c>
      <c r="AH92" s="54">
        <f t="shared" si="73"/>
        <v>0.24688570348142824</v>
      </c>
      <c r="AI92" s="54">
        <v>3.3</v>
      </c>
      <c r="AJ92" s="54">
        <f t="shared" si="74"/>
        <v>0.81472282148871311</v>
      </c>
      <c r="AL92" s="45">
        <v>41.3</v>
      </c>
      <c r="AM92" s="45">
        <v>33.799999999999997</v>
      </c>
      <c r="AN92" s="45">
        <f t="shared" si="75"/>
        <v>7.5</v>
      </c>
      <c r="AO92" s="52">
        <f t="shared" si="76"/>
        <v>6.692463274198226</v>
      </c>
      <c r="AP92" s="52">
        <f t="shared" si="77"/>
        <v>27.107536725801772</v>
      </c>
      <c r="AQ92" s="54">
        <f t="shared" si="78"/>
        <v>0.24688570348142838</v>
      </c>
      <c r="AR92" s="45">
        <v>5.9</v>
      </c>
      <c r="AS92" s="52">
        <f t="shared" si="88"/>
        <v>1.4566256505404276</v>
      </c>
      <c r="AU92" s="52">
        <v>84.4</v>
      </c>
      <c r="AV92" s="52">
        <v>66.5</v>
      </c>
      <c r="AW92" s="52">
        <f t="shared" si="80"/>
        <v>17.900000000000006</v>
      </c>
      <c r="AX92" s="52">
        <f t="shared" si="81"/>
        <v>13.167124489176979</v>
      </c>
      <c r="AY92" s="52">
        <f t="shared" si="82"/>
        <v>53.332875510823023</v>
      </c>
      <c r="AZ92" s="54">
        <f t="shared" si="83"/>
        <v>0.24688570348142824</v>
      </c>
      <c r="BA92" s="52">
        <v>19.100000000000001</v>
      </c>
      <c r="BB92" s="52">
        <f t="shared" si="84"/>
        <v>4.7155169364952796</v>
      </c>
      <c r="BE92" s="1" t="s">
        <v>17</v>
      </c>
    </row>
    <row r="93" spans="1:57" ht="15" customHeight="1" x14ac:dyDescent="0.35">
      <c r="A93" s="45" t="s">
        <v>54</v>
      </c>
      <c r="B93" s="46" t="s">
        <v>63</v>
      </c>
      <c r="C93" s="45" t="str">
        <f t="shared" si="60"/>
        <v>TKB_4-24_G</v>
      </c>
      <c r="D93" s="47">
        <v>45393</v>
      </c>
      <c r="E93" s="47" t="s">
        <v>17</v>
      </c>
      <c r="F93" s="47">
        <v>45541</v>
      </c>
      <c r="G93" s="45"/>
      <c r="H93" s="45" t="str">
        <f t="shared" si="61"/>
        <v>C,N,S</v>
      </c>
      <c r="I93" s="45">
        <v>126.9</v>
      </c>
      <c r="J93" s="45"/>
      <c r="K93" s="45">
        <v>159.80000000000001</v>
      </c>
      <c r="L93" s="45">
        <f t="shared" si="87"/>
        <v>32.900000000000006</v>
      </c>
      <c r="M93" s="45">
        <f t="shared" si="62"/>
        <v>128.4</v>
      </c>
      <c r="O93" s="45">
        <f t="shared" si="63"/>
        <v>25.155763239875384</v>
      </c>
      <c r="P93" s="45">
        <f t="shared" si="64"/>
        <v>6.4456745373200954</v>
      </c>
      <c r="Q93" s="94"/>
      <c r="R93" s="45">
        <f t="shared" si="65"/>
        <v>24.454828660436135</v>
      </c>
      <c r="S93" s="45">
        <f t="shared" si="66"/>
        <v>6.266073698818917</v>
      </c>
      <c r="T93" s="94"/>
      <c r="U93" s="45">
        <f t="shared" si="67"/>
        <v>50.389408099688474</v>
      </c>
      <c r="V93" s="45">
        <f t="shared" si="68"/>
        <v>12.911304723362546</v>
      </c>
      <c r="W93" s="94"/>
      <c r="X93" s="54">
        <v>41.4</v>
      </c>
      <c r="Y93" s="54">
        <v>32.299999999999997</v>
      </c>
      <c r="Z93" s="54">
        <f t="shared" si="69"/>
        <v>9.1000000000000014</v>
      </c>
      <c r="AA93" s="54">
        <f t="shared" si="70"/>
        <v>6.4456745373200954</v>
      </c>
      <c r="AB93" s="54">
        <f t="shared" si="71"/>
        <v>25.854325462679903</v>
      </c>
      <c r="AC93" s="54">
        <f t="shared" si="72"/>
        <v>0.24930739526058307</v>
      </c>
      <c r="AD93" s="54">
        <v>21.4</v>
      </c>
      <c r="AE93" s="54">
        <f t="shared" si="85"/>
        <v>5.3351782585764775</v>
      </c>
      <c r="AF93" s="54">
        <f t="shared" si="86"/>
        <v>16.064821741423522</v>
      </c>
      <c r="AG93" s="54">
        <v>22.2</v>
      </c>
      <c r="AH93" s="54">
        <f t="shared" si="73"/>
        <v>0.24930739526058307</v>
      </c>
      <c r="AI93" s="54">
        <v>3.6</v>
      </c>
      <c r="AJ93" s="54">
        <f t="shared" si="74"/>
        <v>0.89750662293809902</v>
      </c>
      <c r="AL93" s="45">
        <v>37.4</v>
      </c>
      <c r="AM93" s="45">
        <v>31.4</v>
      </c>
      <c r="AN93" s="45">
        <f t="shared" si="75"/>
        <v>6</v>
      </c>
      <c r="AO93" s="52">
        <f t="shared" si="76"/>
        <v>6.266073698818917</v>
      </c>
      <c r="AP93" s="52">
        <f t="shared" si="77"/>
        <v>25.133926301181081</v>
      </c>
      <c r="AQ93" s="54">
        <f t="shared" si="78"/>
        <v>0.2493073952605831</v>
      </c>
      <c r="AR93" s="45">
        <v>7.5</v>
      </c>
      <c r="AS93" s="52">
        <f t="shared" si="88"/>
        <v>1.8698054644543731</v>
      </c>
      <c r="AU93" s="52">
        <v>80.7</v>
      </c>
      <c r="AV93" s="52">
        <v>64.7</v>
      </c>
      <c r="AW93" s="52">
        <f t="shared" si="80"/>
        <v>16</v>
      </c>
      <c r="AX93" s="52">
        <f t="shared" si="81"/>
        <v>12.911304723362546</v>
      </c>
      <c r="AY93" s="52">
        <f t="shared" si="82"/>
        <v>51.788695276637455</v>
      </c>
      <c r="AZ93" s="54">
        <f t="shared" si="83"/>
        <v>0.2493073952605831</v>
      </c>
      <c r="BA93" s="52">
        <v>22</v>
      </c>
      <c r="BB93" s="52">
        <f t="shared" si="84"/>
        <v>5.4847626957328277</v>
      </c>
      <c r="BE93" s="1" t="s">
        <v>17</v>
      </c>
    </row>
    <row r="94" spans="1:57" ht="15" customHeight="1" x14ac:dyDescent="0.35">
      <c r="A94" s="45" t="s">
        <v>44</v>
      </c>
      <c r="B94" s="46" t="s">
        <v>63</v>
      </c>
      <c r="C94" s="45" t="str">
        <f t="shared" si="60"/>
        <v>RB_4-24_G</v>
      </c>
      <c r="D94" s="47">
        <v>45393</v>
      </c>
      <c r="E94" s="47" t="s">
        <v>17</v>
      </c>
      <c r="F94" s="47">
        <v>45540</v>
      </c>
      <c r="G94" s="45"/>
      <c r="H94" s="45" t="str">
        <f t="shared" si="61"/>
        <v>C,N,S</v>
      </c>
      <c r="I94" s="45">
        <v>130.1</v>
      </c>
      <c r="J94" s="45"/>
      <c r="K94" s="45">
        <v>155.69999999999999</v>
      </c>
      <c r="L94" s="45">
        <f t="shared" si="87"/>
        <v>25.599999999999994</v>
      </c>
      <c r="M94" s="45">
        <f t="shared" si="62"/>
        <v>115.6</v>
      </c>
      <c r="O94" s="45">
        <f t="shared" si="63"/>
        <v>25.086505190311421</v>
      </c>
      <c r="P94" s="45">
        <f t="shared" si="64"/>
        <v>5.5554890386848816</v>
      </c>
      <c r="Q94" s="94"/>
      <c r="R94" s="45">
        <f t="shared" si="65"/>
        <v>26.03806228373703</v>
      </c>
      <c r="S94" s="45">
        <f t="shared" si="66"/>
        <v>5.7662144849798258</v>
      </c>
      <c r="T94" s="94"/>
      <c r="U94" s="45">
        <f t="shared" si="67"/>
        <v>48.87543252595156</v>
      </c>
      <c r="V94" s="45">
        <f t="shared" si="68"/>
        <v>10.823625196058476</v>
      </c>
      <c r="W94" s="94"/>
      <c r="X94" s="54">
        <v>41.2</v>
      </c>
      <c r="Y94" s="54">
        <v>29</v>
      </c>
      <c r="Z94" s="54">
        <f t="shared" si="69"/>
        <v>12.200000000000003</v>
      </c>
      <c r="AA94" s="54">
        <f t="shared" si="70"/>
        <v>5.5554890386848816</v>
      </c>
      <c r="AB94" s="54">
        <f t="shared" si="71"/>
        <v>23.444510961315117</v>
      </c>
      <c r="AC94" s="54">
        <f t="shared" si="72"/>
        <v>0.23696331511677848</v>
      </c>
      <c r="AD94" s="54">
        <v>19.2</v>
      </c>
      <c r="AE94" s="54">
        <f t="shared" si="85"/>
        <v>4.5496956502421471</v>
      </c>
      <c r="AF94" s="54">
        <f t="shared" si="86"/>
        <v>14.650304349757853</v>
      </c>
      <c r="AG94" s="54">
        <v>19.899999999999999</v>
      </c>
      <c r="AH94" s="54">
        <f t="shared" si="73"/>
        <v>0.23696331511677848</v>
      </c>
      <c r="AI94" s="54">
        <v>3.7</v>
      </c>
      <c r="AJ94" s="54">
        <f t="shared" si="74"/>
        <v>0.87676426593208046</v>
      </c>
      <c r="AL94" s="45">
        <v>40.799999999999997</v>
      </c>
      <c r="AM94" s="45">
        <v>30.1</v>
      </c>
      <c r="AN94" s="45">
        <f t="shared" si="75"/>
        <v>10.699999999999996</v>
      </c>
      <c r="AO94" s="52">
        <f t="shared" si="76"/>
        <v>5.7662144849798258</v>
      </c>
      <c r="AP94" s="52">
        <f t="shared" si="77"/>
        <v>24.333785515020175</v>
      </c>
      <c r="AQ94" s="54">
        <f t="shared" si="78"/>
        <v>0.23696331511677851</v>
      </c>
      <c r="AR94" s="45">
        <v>8</v>
      </c>
      <c r="AS94" s="52">
        <f t="shared" si="88"/>
        <v>1.8957065209342281</v>
      </c>
      <c r="AU94" s="52">
        <v>77.2</v>
      </c>
      <c r="AV94" s="52">
        <v>56.5</v>
      </c>
      <c r="AW94" s="52">
        <f t="shared" si="80"/>
        <v>20.700000000000003</v>
      </c>
      <c r="AX94" s="52">
        <f t="shared" si="81"/>
        <v>10.823625196058476</v>
      </c>
      <c r="AY94" s="52">
        <f t="shared" si="82"/>
        <v>45.676374803941528</v>
      </c>
      <c r="AZ94" s="54">
        <f t="shared" si="83"/>
        <v>0.23696331511677846</v>
      </c>
      <c r="BA94" s="52">
        <v>23.2</v>
      </c>
      <c r="BB94" s="52">
        <f t="shared" si="84"/>
        <v>5.4975489107092601</v>
      </c>
      <c r="BE94" s="1" t="s">
        <v>17</v>
      </c>
    </row>
    <row r="95" spans="1:57" ht="15" customHeight="1" x14ac:dyDescent="0.35">
      <c r="A95" s="45" t="s">
        <v>14</v>
      </c>
      <c r="B95" s="46" t="s">
        <v>59</v>
      </c>
      <c r="C95" s="45" t="str">
        <f t="shared" si="60"/>
        <v>P37_7-24_G</v>
      </c>
      <c r="D95" s="47">
        <v>45476</v>
      </c>
      <c r="E95" s="47" t="s">
        <v>17</v>
      </c>
      <c r="F95" s="47"/>
      <c r="G95" s="45"/>
      <c r="H95" s="45" t="str">
        <f t="shared" si="61"/>
        <v>C,N,S</v>
      </c>
      <c r="I95" s="45">
        <v>133.69999999999999</v>
      </c>
      <c r="J95" s="45"/>
      <c r="K95" s="45">
        <v>172.1</v>
      </c>
      <c r="L95" s="45">
        <f t="shared" si="87"/>
        <v>38.400000000000006</v>
      </c>
      <c r="M95" s="45">
        <f t="shared" si="62"/>
        <v>127.19999999999999</v>
      </c>
      <c r="O95" s="45">
        <f t="shared" si="63"/>
        <v>25.786163522012579</v>
      </c>
      <c r="P95" s="45">
        <f t="shared" si="64"/>
        <v>7.7845021953245537</v>
      </c>
      <c r="Q95" s="94"/>
      <c r="R95" s="45">
        <f t="shared" si="65"/>
        <v>29.481132075471699</v>
      </c>
      <c r="S95" s="45">
        <f t="shared" si="66"/>
        <v>8.8999644001424016</v>
      </c>
      <c r="T95" s="94"/>
      <c r="U95" s="45">
        <f t="shared" si="67"/>
        <v>44.732704402515729</v>
      </c>
      <c r="V95" s="45">
        <f t="shared" si="68"/>
        <v>13.504212649816074</v>
      </c>
      <c r="W95" s="94"/>
      <c r="X95" s="54">
        <v>46.4</v>
      </c>
      <c r="Y95" s="54">
        <v>32.799999999999997</v>
      </c>
      <c r="Z95" s="54">
        <f t="shared" si="69"/>
        <v>13.600000000000001</v>
      </c>
      <c r="AA95" s="54">
        <f t="shared" si="70"/>
        <v>7.7845021953245537</v>
      </c>
      <c r="AB95" s="54">
        <f t="shared" si="71"/>
        <v>25.015497804675444</v>
      </c>
      <c r="AC95" s="54">
        <f t="shared" si="72"/>
        <v>0.31118717908822169</v>
      </c>
      <c r="AD95" s="54">
        <v>21.3</v>
      </c>
      <c r="AE95" s="54">
        <f t="shared" si="85"/>
        <v>6.6282869145791219</v>
      </c>
      <c r="AF95" s="54">
        <f t="shared" si="86"/>
        <v>14.67171308542088</v>
      </c>
      <c r="AG95" s="54">
        <v>22.7</v>
      </c>
      <c r="AH95" s="54">
        <f t="shared" si="73"/>
        <v>0.31118717908822169</v>
      </c>
      <c r="AI95" s="54">
        <v>3</v>
      </c>
      <c r="AJ95" s="54">
        <f t="shared" si="74"/>
        <v>0.93356153726466506</v>
      </c>
      <c r="AL95" s="45">
        <v>44.7</v>
      </c>
      <c r="AM95" s="45">
        <v>37.5</v>
      </c>
      <c r="AN95" s="45">
        <f t="shared" si="75"/>
        <v>7.2000000000000028</v>
      </c>
      <c r="AO95" s="52">
        <f t="shared" si="76"/>
        <v>8.8999644001424016</v>
      </c>
      <c r="AP95" s="52">
        <f t="shared" si="77"/>
        <v>28.600035599857598</v>
      </c>
      <c r="AQ95" s="54">
        <f t="shared" si="78"/>
        <v>0.31118717908822169</v>
      </c>
      <c r="AR95" s="45">
        <v>5.9</v>
      </c>
      <c r="AS95" s="52">
        <f t="shared" si="88"/>
        <v>1.836004356620508</v>
      </c>
      <c r="AU95" s="52">
        <v>81.400000000000006</v>
      </c>
      <c r="AV95" s="52">
        <v>56.9</v>
      </c>
      <c r="AW95" s="52">
        <f t="shared" si="80"/>
        <v>24.500000000000007</v>
      </c>
      <c r="AX95" s="52">
        <f t="shared" si="81"/>
        <v>13.504212649816074</v>
      </c>
      <c r="AY95" s="52">
        <f t="shared" si="82"/>
        <v>43.395787350183923</v>
      </c>
      <c r="AZ95" s="54">
        <f t="shared" si="83"/>
        <v>0.3111871790882218</v>
      </c>
      <c r="BA95" s="52">
        <v>15</v>
      </c>
      <c r="BB95" s="52">
        <f t="shared" si="84"/>
        <v>4.6678076863233269</v>
      </c>
      <c r="BE95" s="1" t="s">
        <v>17</v>
      </c>
    </row>
    <row r="96" spans="1:57" ht="15" customHeight="1" x14ac:dyDescent="0.35">
      <c r="A96" s="45" t="s">
        <v>21</v>
      </c>
      <c r="B96" s="46" t="s">
        <v>59</v>
      </c>
      <c r="C96" s="45" t="str">
        <f t="shared" si="60"/>
        <v>EP146_7-24_G</v>
      </c>
      <c r="D96" s="47">
        <v>45476</v>
      </c>
      <c r="E96" s="47" t="s">
        <v>17</v>
      </c>
      <c r="F96" s="45"/>
      <c r="G96" s="45"/>
      <c r="H96" s="45" t="str">
        <f t="shared" si="61"/>
        <v>C,N,S</v>
      </c>
      <c r="I96" s="45">
        <v>134.4</v>
      </c>
      <c r="J96" s="45"/>
      <c r="K96" s="45">
        <v>162.30000000000001</v>
      </c>
      <c r="L96" s="45">
        <f t="shared" si="87"/>
        <v>27.900000000000006</v>
      </c>
      <c r="M96" s="45">
        <f t="shared" si="62"/>
        <v>120.80000000000001</v>
      </c>
      <c r="O96" s="45">
        <f t="shared" si="63"/>
        <v>26.076158940397349</v>
      </c>
      <c r="P96" s="45">
        <f t="shared" si="64"/>
        <v>6.0225565764659441</v>
      </c>
      <c r="Q96" s="94"/>
      <c r="R96" s="45">
        <f t="shared" si="65"/>
        <v>25.331125827814567</v>
      </c>
      <c r="S96" s="45">
        <f t="shared" si="66"/>
        <v>5.8504835314240609</v>
      </c>
      <c r="T96" s="94"/>
      <c r="U96" s="45">
        <f t="shared" si="67"/>
        <v>48.592715231788077</v>
      </c>
      <c r="V96" s="45">
        <f t="shared" si="68"/>
        <v>11.222986382176222</v>
      </c>
      <c r="W96" s="94"/>
      <c r="X96" s="54">
        <v>43.5</v>
      </c>
      <c r="Y96" s="54">
        <v>31.5</v>
      </c>
      <c r="Z96" s="54">
        <f t="shared" si="69"/>
        <v>12</v>
      </c>
      <c r="AA96" s="54">
        <f t="shared" si="70"/>
        <v>6.0225565764659441</v>
      </c>
      <c r="AB96" s="54">
        <f t="shared" si="71"/>
        <v>25.477443423534055</v>
      </c>
      <c r="AC96" s="54">
        <f t="shared" si="72"/>
        <v>0.23638779120603526</v>
      </c>
      <c r="AD96" s="54">
        <v>16.899999999999999</v>
      </c>
      <c r="AE96" s="54">
        <f t="shared" si="85"/>
        <v>3.9949536713819955</v>
      </c>
      <c r="AF96" s="54">
        <f t="shared" si="86"/>
        <v>12.905046328618003</v>
      </c>
      <c r="AG96" s="54">
        <v>19</v>
      </c>
      <c r="AH96" s="54">
        <f t="shared" si="73"/>
        <v>0.23638779120603526</v>
      </c>
      <c r="AI96" s="54">
        <v>4</v>
      </c>
      <c r="AJ96" s="54">
        <f t="shared" si="74"/>
        <v>0.94555116482414103</v>
      </c>
      <c r="AL96" s="45">
        <v>44.5</v>
      </c>
      <c r="AM96" s="45">
        <v>30.6</v>
      </c>
      <c r="AN96" s="45">
        <f t="shared" si="75"/>
        <v>13.899999999999999</v>
      </c>
      <c r="AO96" s="52">
        <f t="shared" si="76"/>
        <v>5.8504835314240609</v>
      </c>
      <c r="AP96" s="52">
        <f t="shared" si="77"/>
        <v>24.749516468575941</v>
      </c>
      <c r="AQ96" s="54">
        <f t="shared" si="78"/>
        <v>0.23638779120603526</v>
      </c>
      <c r="AR96" s="45">
        <v>7.7</v>
      </c>
      <c r="AS96" s="52">
        <f t="shared" si="88"/>
        <v>1.8201859922864716</v>
      </c>
      <c r="AU96" s="52">
        <v>74.8</v>
      </c>
      <c r="AV96" s="52">
        <v>58.7</v>
      </c>
      <c r="AW96" s="52">
        <f t="shared" si="80"/>
        <v>16.099999999999994</v>
      </c>
      <c r="AX96" s="52">
        <f t="shared" si="81"/>
        <v>11.222986382176222</v>
      </c>
      <c r="AY96" s="52">
        <f t="shared" si="82"/>
        <v>47.477013617823779</v>
      </c>
      <c r="AZ96" s="54">
        <f t="shared" si="83"/>
        <v>0.23638779120603529</v>
      </c>
      <c r="BA96" s="52">
        <v>21.8</v>
      </c>
      <c r="BB96" s="52">
        <f t="shared" si="84"/>
        <v>5.1532538482915697</v>
      </c>
      <c r="BE96" s="1" t="s">
        <v>17</v>
      </c>
    </row>
    <row r="97" spans="1:57" ht="15" customHeight="1" x14ac:dyDescent="0.35">
      <c r="A97" s="45" t="s">
        <v>23</v>
      </c>
      <c r="B97" s="46" t="s">
        <v>59</v>
      </c>
      <c r="C97" s="45" t="str">
        <f t="shared" si="60"/>
        <v>R127_7-24_G</v>
      </c>
      <c r="D97" s="47">
        <v>45476</v>
      </c>
      <c r="E97" s="45" t="s">
        <v>17</v>
      </c>
      <c r="F97" s="45"/>
      <c r="G97" s="45"/>
      <c r="H97" s="45" t="str">
        <f t="shared" si="61"/>
        <v>C,N,S</v>
      </c>
      <c r="I97" s="45">
        <v>132.4</v>
      </c>
      <c r="J97" s="45"/>
      <c r="K97" s="45">
        <v>157.9</v>
      </c>
      <c r="L97" s="45">
        <f t="shared" si="87"/>
        <v>25.5</v>
      </c>
      <c r="M97" s="45">
        <f t="shared" si="62"/>
        <v>119.6</v>
      </c>
      <c r="O97" s="45">
        <f t="shared" si="63"/>
        <v>26.505016722408026</v>
      </c>
      <c r="P97" s="45">
        <f t="shared" si="64"/>
        <v>5.6511532309482</v>
      </c>
      <c r="Q97" s="94"/>
      <c r="R97" s="45">
        <f t="shared" si="65"/>
        <v>27.257525083612045</v>
      </c>
      <c r="S97" s="45">
        <f t="shared" si="66"/>
        <v>5.8115960671580869</v>
      </c>
      <c r="T97" s="94"/>
      <c r="U97" s="45">
        <f t="shared" si="67"/>
        <v>46.237458193979933</v>
      </c>
      <c r="V97" s="45">
        <f t="shared" si="68"/>
        <v>9.8583209360074271</v>
      </c>
      <c r="W97" s="94"/>
      <c r="X97" s="54">
        <v>41.3</v>
      </c>
      <c r="Y97" s="54">
        <v>31.7</v>
      </c>
      <c r="Z97" s="54">
        <f t="shared" si="69"/>
        <v>9.5999999999999979</v>
      </c>
      <c r="AA97" s="54">
        <f t="shared" si="70"/>
        <v>5.6511532309482</v>
      </c>
      <c r="AB97" s="54">
        <f t="shared" si="71"/>
        <v>26.048846769051799</v>
      </c>
      <c r="AC97" s="54">
        <f t="shared" si="72"/>
        <v>0.21694446902203138</v>
      </c>
      <c r="AD97" s="54">
        <v>20.3</v>
      </c>
      <c r="AE97" s="54">
        <f t="shared" si="85"/>
        <v>4.4039727211472375</v>
      </c>
      <c r="AF97" s="54">
        <f t="shared" si="86"/>
        <v>15.896027278852763</v>
      </c>
      <c r="AG97" s="54">
        <v>21</v>
      </c>
      <c r="AH97" s="54">
        <f t="shared" si="73"/>
        <v>0.21694446902203138</v>
      </c>
      <c r="AI97" s="54">
        <v>5</v>
      </c>
      <c r="AJ97" s="54">
        <f t="shared" si="74"/>
        <v>1.0847223451101569</v>
      </c>
      <c r="AL97" s="45">
        <v>40.5</v>
      </c>
      <c r="AM97" s="45">
        <v>32.6</v>
      </c>
      <c r="AN97" s="45">
        <f t="shared" si="75"/>
        <v>7.8999999999999986</v>
      </c>
      <c r="AO97" s="52">
        <f t="shared" si="76"/>
        <v>5.8115960671580869</v>
      </c>
      <c r="AP97" s="52">
        <f t="shared" si="77"/>
        <v>26.788403932841916</v>
      </c>
      <c r="AQ97" s="54">
        <f t="shared" si="78"/>
        <v>0.21694446902203138</v>
      </c>
      <c r="AR97" s="45">
        <v>6.9</v>
      </c>
      <c r="AS97" s="52">
        <f t="shared" si="88"/>
        <v>1.4969168362520167</v>
      </c>
      <c r="AU97" s="52">
        <v>79.900000000000006</v>
      </c>
      <c r="AV97" s="52">
        <v>55.3</v>
      </c>
      <c r="AW97" s="52">
        <f t="shared" si="80"/>
        <v>24.600000000000009</v>
      </c>
      <c r="AX97" s="52">
        <f t="shared" si="81"/>
        <v>9.8583209360074271</v>
      </c>
      <c r="AY97" s="52">
        <f t="shared" si="82"/>
        <v>45.441679063992567</v>
      </c>
      <c r="AZ97" s="54">
        <f t="shared" si="83"/>
        <v>0.21694446902203138</v>
      </c>
      <c r="BA97" s="52">
        <v>21.2</v>
      </c>
      <c r="BB97" s="52">
        <f t="shared" si="84"/>
        <v>4.5992227432670649</v>
      </c>
      <c r="BE97" s="1" t="s">
        <v>17</v>
      </c>
    </row>
    <row r="98" spans="1:57" ht="15" customHeight="1" x14ac:dyDescent="0.35">
      <c r="A98" s="45" t="s">
        <v>20</v>
      </c>
      <c r="B98" s="46" t="s">
        <v>59</v>
      </c>
      <c r="C98" s="45" t="str">
        <f t="shared" ref="C98:C129" si="89">A98&amp;"_"&amp;B98&amp;"_G"</f>
        <v>CP_7-24_G</v>
      </c>
      <c r="D98" s="47">
        <v>45476</v>
      </c>
      <c r="E98" s="45" t="s">
        <v>17</v>
      </c>
      <c r="F98" s="45"/>
      <c r="G98" s="45"/>
      <c r="H98" s="45" t="str">
        <f t="shared" ref="H98:H129" si="90">IF(OR(AI98&lt;&gt;"", AR98&lt;&gt;"", BA98&lt;&gt;""),
    IF(AI98&lt;&gt;"", "C", "") &amp;
    IF(BA98&lt;&gt;"", IF(AI98&lt;&gt;"", ",N", "N"), "") &amp;
    IF(BA98&lt;&gt;"", IF(OR(AI98&lt;&gt;"", AR98&lt;&gt;""), ",S", "S"), ""),
"")</f>
        <v>C,N,S</v>
      </c>
      <c r="I98" s="45">
        <v>135</v>
      </c>
      <c r="J98" s="45"/>
      <c r="K98" s="45">
        <v>150.30000000000001</v>
      </c>
      <c r="L98" s="45">
        <f t="shared" si="87"/>
        <v>15.300000000000011</v>
      </c>
      <c r="M98" s="45">
        <f t="shared" ref="M98:M129" si="91">Y98+AM98+AV98</f>
        <v>111.5</v>
      </c>
      <c r="O98" s="45">
        <f t="shared" ref="O98:O129" si="92">(Y98/M98)*100</f>
        <v>24.304932735426011</v>
      </c>
      <c r="P98" s="45">
        <f t="shared" ref="P98:P129" si="93">((O98/M98)*L98)</f>
        <v>3.3351163305113745</v>
      </c>
      <c r="Q98" s="94"/>
      <c r="R98" s="45">
        <f t="shared" ref="R98:R129" si="94">(AM98/M98)*100</f>
        <v>24.932735426008971</v>
      </c>
      <c r="S98" s="45">
        <f t="shared" ref="S98:S129" si="95">((R98/M98)*L98)</f>
        <v>3.421263246797646</v>
      </c>
      <c r="T98" s="94"/>
      <c r="U98" s="45">
        <f t="shared" ref="U98:U129" si="96">(AV98/M98)*100</f>
        <v>50.762331838565025</v>
      </c>
      <c r="V98" s="45">
        <f t="shared" ref="V98:V129" si="97">((U98/M98)*L98)</f>
        <v>6.9655935168613947</v>
      </c>
      <c r="W98" s="94"/>
      <c r="X98" s="54">
        <v>37.1</v>
      </c>
      <c r="Y98" s="54">
        <v>27.1</v>
      </c>
      <c r="Z98" s="54">
        <f t="shared" ref="Z98:Z129" si="98">X98-Y98</f>
        <v>10</v>
      </c>
      <c r="AA98" s="54">
        <f t="shared" ref="AA98:AA129" si="99">P98</f>
        <v>3.3351163305113745</v>
      </c>
      <c r="AB98" s="54">
        <f t="shared" ref="AB98:AB129" si="100">Y98-AA98</f>
        <v>23.764883669488626</v>
      </c>
      <c r="AC98" s="54">
        <f t="shared" ref="AC98:AC129" si="101">AA98/AB98</f>
        <v>0.14033800362310545</v>
      </c>
      <c r="AD98" s="54">
        <v>16.600000000000001</v>
      </c>
      <c r="AE98" s="54">
        <f t="shared" si="85"/>
        <v>2.3296108601435508</v>
      </c>
      <c r="AF98" s="54">
        <f t="shared" si="86"/>
        <v>14.270389139856452</v>
      </c>
      <c r="AG98" s="54">
        <v>17.5</v>
      </c>
      <c r="AH98" s="54">
        <f t="shared" ref="AH98:AH129" si="102">AC98</f>
        <v>0.14033800362310545</v>
      </c>
      <c r="AI98" s="54">
        <v>6.8</v>
      </c>
      <c r="AJ98" s="54">
        <f t="shared" ref="AJ98:AJ129" si="103">AI98*AH98</f>
        <v>0.954298424637117</v>
      </c>
      <c r="AL98" s="45">
        <v>40.1</v>
      </c>
      <c r="AM98" s="45">
        <v>27.8</v>
      </c>
      <c r="AN98" s="45">
        <f t="shared" ref="AN98:AN129" si="104">AL98-AM98</f>
        <v>12.3</v>
      </c>
      <c r="AO98" s="52">
        <f t="shared" ref="AO98:AO129" si="105">S98</f>
        <v>3.421263246797646</v>
      </c>
      <c r="AP98" s="52">
        <f t="shared" ref="AP98:AP129" si="106">AM98-AO98</f>
        <v>24.378736753202354</v>
      </c>
      <c r="AQ98" s="54">
        <f t="shared" ref="AQ98:AQ129" si="107">AO98/AP98</f>
        <v>0.14033800362310545</v>
      </c>
      <c r="AR98" s="45">
        <v>10.6</v>
      </c>
      <c r="AS98" s="52">
        <f t="shared" si="88"/>
        <v>1.4875828384049177</v>
      </c>
      <c r="AU98" s="52">
        <v>72.8</v>
      </c>
      <c r="AV98" s="52">
        <v>56.6</v>
      </c>
      <c r="AW98" s="52">
        <f t="shared" ref="AW98:AW129" si="108">AU98-AV98</f>
        <v>16.199999999999996</v>
      </c>
      <c r="AX98" s="52">
        <f t="shared" ref="AX98:AX129" si="109">V98</f>
        <v>6.9655935168613947</v>
      </c>
      <c r="AY98" s="52">
        <f t="shared" ref="AY98:AY129" si="110">AV98-AX98</f>
        <v>49.634406483138605</v>
      </c>
      <c r="AZ98" s="54">
        <f t="shared" ref="AZ98:AZ129" si="111">AX98/AY98</f>
        <v>0.14033800362310547</v>
      </c>
      <c r="BA98" s="52">
        <v>39.299999999999997</v>
      </c>
      <c r="BB98" s="52">
        <f t="shared" ref="BB98:BB129" si="112">BA98*AZ98</f>
        <v>5.5152835423880449</v>
      </c>
      <c r="BE98" s="1" t="s">
        <v>17</v>
      </c>
    </row>
    <row r="99" spans="1:57" ht="15" customHeight="1" x14ac:dyDescent="0.35">
      <c r="A99" s="45" t="s">
        <v>30</v>
      </c>
      <c r="B99" s="46" t="s">
        <v>64</v>
      </c>
      <c r="C99" s="45" t="str">
        <f t="shared" si="89"/>
        <v>DC1_8-24_G</v>
      </c>
      <c r="D99" s="47">
        <v>45505</v>
      </c>
      <c r="E99" s="45" t="s">
        <v>17</v>
      </c>
      <c r="F99" s="45"/>
      <c r="G99" s="45"/>
      <c r="H99" s="45" t="str">
        <f t="shared" si="90"/>
        <v>C,N,S</v>
      </c>
      <c r="I99" s="45">
        <v>133.9</v>
      </c>
      <c r="J99" s="45"/>
      <c r="K99" s="45">
        <v>176.4</v>
      </c>
      <c r="L99" s="45">
        <f t="shared" si="87"/>
        <v>42.5</v>
      </c>
      <c r="M99" s="54">
        <f t="shared" si="91"/>
        <v>127.3</v>
      </c>
      <c r="O99" s="45">
        <f t="shared" si="92"/>
        <v>24.116260801256871</v>
      </c>
      <c r="P99" s="45">
        <f t="shared" si="93"/>
        <v>8.0513832211580283</v>
      </c>
      <c r="Q99" s="94"/>
      <c r="R99" s="45">
        <f t="shared" si="94"/>
        <v>24.430479183032208</v>
      </c>
      <c r="S99" s="45">
        <f t="shared" si="95"/>
        <v>8.1562872370688826</v>
      </c>
      <c r="T99" s="94"/>
      <c r="U99" s="45">
        <f t="shared" si="96"/>
        <v>51.453260015710924</v>
      </c>
      <c r="V99" s="45">
        <f t="shared" si="97"/>
        <v>17.178032605402311</v>
      </c>
      <c r="W99" s="94"/>
      <c r="X99" s="54">
        <v>41.9</v>
      </c>
      <c r="Y99" s="54">
        <v>30.7</v>
      </c>
      <c r="Z99" s="54">
        <f t="shared" si="98"/>
        <v>11.2</v>
      </c>
      <c r="AA99" s="54">
        <f t="shared" si="99"/>
        <v>8.0513832211580283</v>
      </c>
      <c r="AB99" s="54">
        <f t="shared" si="100"/>
        <v>22.648616778841969</v>
      </c>
      <c r="AC99" s="54">
        <f t="shared" si="101"/>
        <v>0.35549116750827459</v>
      </c>
      <c r="AD99" s="54">
        <v>23.2</v>
      </c>
      <c r="AE99" s="54">
        <f t="shared" si="85"/>
        <v>8.24739508619197</v>
      </c>
      <c r="AF99" s="54">
        <f t="shared" si="86"/>
        <v>14.952604913808029</v>
      </c>
      <c r="AG99" s="54">
        <v>22.9</v>
      </c>
      <c r="AH99" s="54">
        <f t="shared" si="102"/>
        <v>0.35549116750827459</v>
      </c>
      <c r="AI99" s="54">
        <v>2.9</v>
      </c>
      <c r="AJ99" s="54">
        <f t="shared" si="103"/>
        <v>1.0309243857739963</v>
      </c>
      <c r="AL99" s="45">
        <v>42.1</v>
      </c>
      <c r="AM99" s="45">
        <v>31.1</v>
      </c>
      <c r="AN99" s="45">
        <f t="shared" si="104"/>
        <v>11</v>
      </c>
      <c r="AO99" s="52">
        <f t="shared" si="105"/>
        <v>8.1562872370688826</v>
      </c>
      <c r="AP99" s="52">
        <f t="shared" si="106"/>
        <v>22.943712762931121</v>
      </c>
      <c r="AQ99" s="54">
        <f t="shared" si="107"/>
        <v>0.35549116750827447</v>
      </c>
      <c r="AR99" s="45">
        <v>3.8</v>
      </c>
      <c r="AS99" s="52">
        <f t="shared" si="88"/>
        <v>1.3508664365314429</v>
      </c>
      <c r="AU99" s="52">
        <v>93.7</v>
      </c>
      <c r="AV99" s="52">
        <v>65.5</v>
      </c>
      <c r="AW99" s="52">
        <f t="shared" si="108"/>
        <v>28.200000000000003</v>
      </c>
      <c r="AX99" s="52">
        <f t="shared" si="109"/>
        <v>17.178032605402311</v>
      </c>
      <c r="AY99" s="52">
        <f t="shared" si="110"/>
        <v>48.321967394597692</v>
      </c>
      <c r="AZ99" s="54">
        <f t="shared" si="111"/>
        <v>0.35549116750827459</v>
      </c>
      <c r="BA99" s="52">
        <v>14.3</v>
      </c>
      <c r="BB99" s="52">
        <f t="shared" si="112"/>
        <v>5.0835236953683269</v>
      </c>
      <c r="BE99" s="1" t="s">
        <v>17</v>
      </c>
    </row>
    <row r="100" spans="1:57" ht="15" customHeight="1" x14ac:dyDescent="0.35">
      <c r="A100" s="45" t="s">
        <v>34</v>
      </c>
      <c r="B100" s="46" t="s">
        <v>64</v>
      </c>
      <c r="C100" s="45" t="str">
        <f t="shared" si="89"/>
        <v>GB1_8-24_G</v>
      </c>
      <c r="D100" s="47">
        <v>45505</v>
      </c>
      <c r="E100" s="45" t="s">
        <v>17</v>
      </c>
      <c r="F100" s="45"/>
      <c r="G100" s="45"/>
      <c r="H100" s="45" t="str">
        <f t="shared" si="90"/>
        <v>C,N,S</v>
      </c>
      <c r="I100" s="45">
        <v>130.1</v>
      </c>
      <c r="J100" s="45"/>
      <c r="K100" s="45">
        <v>169.3</v>
      </c>
      <c r="L100" s="45">
        <f t="shared" si="87"/>
        <v>39.200000000000017</v>
      </c>
      <c r="M100" s="45">
        <f t="shared" si="91"/>
        <v>120</v>
      </c>
      <c r="O100" s="45">
        <f t="shared" si="92"/>
        <v>25.25</v>
      </c>
      <c r="P100" s="45">
        <f t="shared" si="93"/>
        <v>8.2483333333333366</v>
      </c>
      <c r="Q100" s="94"/>
      <c r="R100" s="45">
        <f t="shared" si="94"/>
        <v>27.166666666666668</v>
      </c>
      <c r="S100" s="45">
        <f t="shared" si="95"/>
        <v>8.8744444444444479</v>
      </c>
      <c r="T100" s="94"/>
      <c r="U100" s="45">
        <f t="shared" si="96"/>
        <v>47.583333333333336</v>
      </c>
      <c r="V100" s="45">
        <f t="shared" si="97"/>
        <v>15.543888888888898</v>
      </c>
      <c r="W100" s="94"/>
      <c r="X100" s="54">
        <v>44.8</v>
      </c>
      <c r="Y100" s="54">
        <v>30.3</v>
      </c>
      <c r="Z100" s="54">
        <f t="shared" si="98"/>
        <v>14.499999999999996</v>
      </c>
      <c r="AA100" s="54">
        <f t="shared" si="99"/>
        <v>8.2483333333333366</v>
      </c>
      <c r="AB100" s="54">
        <f t="shared" si="100"/>
        <v>22.051666666666662</v>
      </c>
      <c r="AC100" s="54">
        <f t="shared" si="101"/>
        <v>0.37404580152671779</v>
      </c>
      <c r="AD100" s="54">
        <v>20.100000000000001</v>
      </c>
      <c r="AE100" s="54">
        <f t="shared" si="85"/>
        <v>7.5183206106870282</v>
      </c>
      <c r="AF100" s="54">
        <f t="shared" si="86"/>
        <v>12.581679389312974</v>
      </c>
      <c r="AG100" s="54">
        <v>20.5</v>
      </c>
      <c r="AH100" s="54">
        <f t="shared" si="102"/>
        <v>0.37404580152671779</v>
      </c>
      <c r="AI100" s="54">
        <v>2.2000000000000002</v>
      </c>
      <c r="AJ100" s="54">
        <f t="shared" si="103"/>
        <v>0.82290076335877915</v>
      </c>
      <c r="AL100" s="45">
        <v>43.5</v>
      </c>
      <c r="AM100" s="45">
        <v>32.6</v>
      </c>
      <c r="AN100" s="45">
        <f t="shared" si="104"/>
        <v>10.899999999999999</v>
      </c>
      <c r="AO100" s="52">
        <f t="shared" si="105"/>
        <v>8.8744444444444479</v>
      </c>
      <c r="AP100" s="52">
        <f t="shared" si="106"/>
        <v>23.725555555555552</v>
      </c>
      <c r="AQ100" s="54">
        <f t="shared" si="107"/>
        <v>0.37404580152671774</v>
      </c>
      <c r="AR100" s="45">
        <v>4.3</v>
      </c>
      <c r="AS100" s="52">
        <f t="shared" si="88"/>
        <v>1.6083969465648862</v>
      </c>
      <c r="AU100" s="52">
        <v>81.400000000000006</v>
      </c>
      <c r="AV100" s="52">
        <v>57.1</v>
      </c>
      <c r="AW100" s="52">
        <f t="shared" si="108"/>
        <v>24.300000000000004</v>
      </c>
      <c r="AX100" s="52">
        <f t="shared" si="109"/>
        <v>15.543888888888898</v>
      </c>
      <c r="AY100" s="52">
        <f t="shared" si="110"/>
        <v>41.556111111111107</v>
      </c>
      <c r="AZ100" s="54">
        <f t="shared" si="111"/>
        <v>0.37404580152671779</v>
      </c>
      <c r="BA100" s="52">
        <v>12.6</v>
      </c>
      <c r="BB100" s="52">
        <f t="shared" si="112"/>
        <v>4.7129770992366442</v>
      </c>
      <c r="BE100" s="1" t="s">
        <v>17</v>
      </c>
    </row>
    <row r="101" spans="1:57" ht="15" customHeight="1" x14ac:dyDescent="0.35">
      <c r="A101" s="45" t="s">
        <v>38</v>
      </c>
      <c r="B101" s="46" t="s">
        <v>64</v>
      </c>
      <c r="C101" s="45" t="str">
        <f t="shared" si="89"/>
        <v>MCS4_8-24_G</v>
      </c>
      <c r="D101" s="47">
        <v>45505</v>
      </c>
      <c r="E101" s="45" t="s">
        <v>17</v>
      </c>
      <c r="F101" s="45"/>
      <c r="G101" s="45"/>
      <c r="H101" s="45" t="str">
        <f t="shared" si="90"/>
        <v>C,N,S</v>
      </c>
      <c r="I101" s="45">
        <v>132.19999999999999</v>
      </c>
      <c r="J101" s="45"/>
      <c r="K101" s="45">
        <v>164.4</v>
      </c>
      <c r="L101" s="79">
        <f t="shared" si="87"/>
        <v>32.200000000000017</v>
      </c>
      <c r="M101" s="45">
        <f t="shared" si="91"/>
        <v>118.5</v>
      </c>
      <c r="O101" s="45">
        <f t="shared" si="92"/>
        <v>22.531645569620252</v>
      </c>
      <c r="P101" s="45">
        <f t="shared" si="93"/>
        <v>6.1225230999305698</v>
      </c>
      <c r="Q101" s="94"/>
      <c r="R101" s="45">
        <f t="shared" si="94"/>
        <v>22.869198312236289</v>
      </c>
      <c r="S101" s="45">
        <f t="shared" si="95"/>
        <v>6.2142462924388937</v>
      </c>
      <c r="T101" s="94"/>
      <c r="U101" s="45">
        <f t="shared" si="96"/>
        <v>54.599156118143469</v>
      </c>
      <c r="V101" s="45">
        <f t="shared" si="97"/>
        <v>14.83622638822127</v>
      </c>
      <c r="W101" s="94"/>
      <c r="X101" s="54">
        <v>38.6</v>
      </c>
      <c r="Y101" s="54">
        <v>26.7</v>
      </c>
      <c r="Z101" s="54">
        <f t="shared" si="98"/>
        <v>11.900000000000002</v>
      </c>
      <c r="AA101" s="54">
        <f t="shared" si="99"/>
        <v>6.1225230999305698</v>
      </c>
      <c r="AB101" s="54">
        <f t="shared" si="100"/>
        <v>20.577476900069428</v>
      </c>
      <c r="AC101" s="54">
        <f t="shared" si="101"/>
        <v>0.29753517059761164</v>
      </c>
      <c r="AD101" s="54">
        <v>16.899999999999999</v>
      </c>
      <c r="AE101" s="54">
        <f t="shared" si="85"/>
        <v>5.0283443830996362</v>
      </c>
      <c r="AF101" s="54">
        <f t="shared" si="86"/>
        <v>11.871655616900362</v>
      </c>
      <c r="AG101" s="54">
        <v>18</v>
      </c>
      <c r="AH101" s="54">
        <f t="shared" si="102"/>
        <v>0.29753517059761164</v>
      </c>
      <c r="AI101" s="54">
        <v>2.9</v>
      </c>
      <c r="AJ101" s="54">
        <f t="shared" si="103"/>
        <v>0.86285199473307372</v>
      </c>
      <c r="AL101" s="45">
        <v>39.6</v>
      </c>
      <c r="AM101" s="45">
        <v>27.1</v>
      </c>
      <c r="AN101" s="45">
        <f t="shared" si="104"/>
        <v>12.5</v>
      </c>
      <c r="AO101" s="52">
        <f t="shared" si="105"/>
        <v>6.2142462924388937</v>
      </c>
      <c r="AP101" s="52">
        <f t="shared" si="106"/>
        <v>20.885753707561108</v>
      </c>
      <c r="AQ101" s="54">
        <f t="shared" si="107"/>
        <v>0.29753517059761164</v>
      </c>
      <c r="AR101" s="45">
        <v>6.2</v>
      </c>
      <c r="AS101" s="52">
        <f t="shared" si="88"/>
        <v>1.8447180577051923</v>
      </c>
      <c r="AU101" s="52">
        <v>85.1</v>
      </c>
      <c r="AV101" s="52">
        <v>64.7</v>
      </c>
      <c r="AW101" s="52">
        <f t="shared" si="108"/>
        <v>20.399999999999991</v>
      </c>
      <c r="AX101" s="52">
        <f t="shared" si="109"/>
        <v>14.83622638822127</v>
      </c>
      <c r="AY101" s="52">
        <f t="shared" si="110"/>
        <v>49.863773611778733</v>
      </c>
      <c r="AZ101" s="54">
        <f t="shared" si="111"/>
        <v>0.29753517059761164</v>
      </c>
      <c r="BA101" s="52">
        <v>16.600000000000001</v>
      </c>
      <c r="BB101" s="52">
        <f t="shared" si="112"/>
        <v>4.9390838319203541</v>
      </c>
      <c r="BE101" s="1" t="s">
        <v>17</v>
      </c>
    </row>
    <row r="102" spans="1:57" ht="15" customHeight="1" x14ac:dyDescent="0.35">
      <c r="A102" s="45" t="s">
        <v>39</v>
      </c>
      <c r="B102" s="46" t="s">
        <v>64</v>
      </c>
      <c r="C102" s="45" t="str">
        <f t="shared" si="89"/>
        <v>TBHM_8-24_G</v>
      </c>
      <c r="D102" s="47">
        <v>45505</v>
      </c>
      <c r="E102" s="45" t="s">
        <v>17</v>
      </c>
      <c r="F102" s="45"/>
      <c r="G102" s="45"/>
      <c r="H102" s="45" t="str">
        <f t="shared" si="90"/>
        <v>C,N,S</v>
      </c>
      <c r="I102" s="45">
        <v>132.5</v>
      </c>
      <c r="J102" s="45"/>
      <c r="K102" s="45">
        <v>152.5</v>
      </c>
      <c r="L102" s="45">
        <f t="shared" si="87"/>
        <v>20</v>
      </c>
      <c r="M102" s="45">
        <f t="shared" si="91"/>
        <v>105.80000000000001</v>
      </c>
      <c r="O102" s="45">
        <f t="shared" si="92"/>
        <v>26.086956521739129</v>
      </c>
      <c r="P102" s="45">
        <f t="shared" si="93"/>
        <v>4.9313717432399109</v>
      </c>
      <c r="Q102" s="94"/>
      <c r="R102" s="45">
        <f t="shared" si="94"/>
        <v>27.504725897920601</v>
      </c>
      <c r="S102" s="45">
        <f t="shared" si="95"/>
        <v>5.199381077111644</v>
      </c>
      <c r="T102" s="94"/>
      <c r="U102" s="45">
        <f t="shared" si="96"/>
        <v>46.408317580340267</v>
      </c>
      <c r="V102" s="45">
        <f t="shared" si="97"/>
        <v>8.7728388620681024</v>
      </c>
      <c r="W102" s="94"/>
      <c r="X102" s="54">
        <v>37.799999999999997</v>
      </c>
      <c r="Y102" s="54">
        <v>27.6</v>
      </c>
      <c r="Z102" s="54">
        <f t="shared" si="98"/>
        <v>10.199999999999996</v>
      </c>
      <c r="AA102" s="54">
        <f t="shared" si="99"/>
        <v>4.9313717432399109</v>
      </c>
      <c r="AB102" s="54">
        <f t="shared" si="100"/>
        <v>22.668628256760091</v>
      </c>
      <c r="AC102" s="54">
        <f t="shared" si="101"/>
        <v>0.21754169186524594</v>
      </c>
      <c r="AD102" s="54">
        <v>17.5</v>
      </c>
      <c r="AE102" s="54">
        <f t="shared" si="85"/>
        <v>3.8069796076418041</v>
      </c>
      <c r="AF102" s="54">
        <f t="shared" si="86"/>
        <v>13.693020392358196</v>
      </c>
      <c r="AG102" s="54">
        <v>18</v>
      </c>
      <c r="AH102" s="54">
        <f t="shared" si="102"/>
        <v>0.21754169186524594</v>
      </c>
      <c r="AI102" s="54">
        <v>3.8</v>
      </c>
      <c r="AJ102" s="54">
        <f t="shared" si="103"/>
        <v>0.82665842908793452</v>
      </c>
      <c r="AL102" s="45">
        <v>40.6</v>
      </c>
      <c r="AM102" s="45">
        <v>29.1</v>
      </c>
      <c r="AN102" s="45">
        <f t="shared" si="104"/>
        <v>11.5</v>
      </c>
      <c r="AO102" s="52">
        <f t="shared" si="105"/>
        <v>5.199381077111644</v>
      </c>
      <c r="AP102" s="52">
        <f t="shared" si="106"/>
        <v>23.900618922888356</v>
      </c>
      <c r="AQ102" s="54">
        <f t="shared" si="107"/>
        <v>0.21754169186524591</v>
      </c>
      <c r="AR102" s="45">
        <v>8.8000000000000007</v>
      </c>
      <c r="AS102" s="52">
        <f t="shared" si="88"/>
        <v>1.9143668884141642</v>
      </c>
      <c r="AU102" s="52">
        <v>75.8</v>
      </c>
      <c r="AV102" s="52">
        <v>49.1</v>
      </c>
      <c r="AW102" s="52">
        <f t="shared" si="108"/>
        <v>26.699999999999996</v>
      </c>
      <c r="AX102" s="52">
        <f t="shared" si="109"/>
        <v>8.7728388620681024</v>
      </c>
      <c r="AY102" s="52">
        <f t="shared" si="110"/>
        <v>40.327161137931895</v>
      </c>
      <c r="AZ102" s="54">
        <f t="shared" si="111"/>
        <v>0.21754169186524597</v>
      </c>
      <c r="BA102" s="52">
        <v>21.1</v>
      </c>
      <c r="BB102" s="52">
        <f t="shared" si="112"/>
        <v>4.5901296983566899</v>
      </c>
      <c r="BE102" s="1" t="s">
        <v>17</v>
      </c>
    </row>
    <row r="103" spans="1:57" ht="15" customHeight="1" x14ac:dyDescent="0.35">
      <c r="A103" s="45" t="s">
        <v>42</v>
      </c>
      <c r="B103" s="46" t="s">
        <v>64</v>
      </c>
      <c r="C103" s="45" t="str">
        <f t="shared" si="89"/>
        <v>TB2_8-24_G</v>
      </c>
      <c r="D103" s="47">
        <v>45505</v>
      </c>
      <c r="E103" s="45" t="s">
        <v>17</v>
      </c>
      <c r="F103" s="45"/>
      <c r="G103" s="45"/>
      <c r="H103" s="45" t="str">
        <f t="shared" si="90"/>
        <v>C,N,S</v>
      </c>
      <c r="I103" s="45">
        <v>134.19999999999999</v>
      </c>
      <c r="J103" s="45"/>
      <c r="K103" s="45">
        <v>168.3</v>
      </c>
      <c r="L103" s="45">
        <f t="shared" si="87"/>
        <v>34.100000000000023</v>
      </c>
      <c r="M103" s="45">
        <f t="shared" si="91"/>
        <v>122.70000000000002</v>
      </c>
      <c r="O103" s="45">
        <f t="shared" si="92"/>
        <v>26.242868785656071</v>
      </c>
      <c r="P103" s="45">
        <f t="shared" si="93"/>
        <v>7.2932504123135491</v>
      </c>
      <c r="Q103" s="94"/>
      <c r="R103" s="45">
        <f t="shared" si="94"/>
        <v>27.383863080684595</v>
      </c>
      <c r="S103" s="45">
        <f t="shared" si="95"/>
        <v>7.6103482563271809</v>
      </c>
      <c r="T103" s="94"/>
      <c r="U103" s="45">
        <f t="shared" si="96"/>
        <v>46.373268133659323</v>
      </c>
      <c r="V103" s="45">
        <f t="shared" si="97"/>
        <v>12.887762374554065</v>
      </c>
      <c r="W103" s="94"/>
      <c r="X103" s="54">
        <v>43</v>
      </c>
      <c r="Y103" s="54">
        <v>32.200000000000003</v>
      </c>
      <c r="Z103" s="54">
        <f t="shared" si="98"/>
        <v>10.799999999999997</v>
      </c>
      <c r="AA103" s="54">
        <f t="shared" si="99"/>
        <v>7.2932504123135491</v>
      </c>
      <c r="AB103" s="54">
        <f t="shared" si="100"/>
        <v>24.906749587686456</v>
      </c>
      <c r="AC103" s="54">
        <f t="shared" si="101"/>
        <v>0.29282224830811437</v>
      </c>
      <c r="AD103" s="54">
        <v>13.5</v>
      </c>
      <c r="AE103" s="54">
        <f t="shared" si="85"/>
        <v>3.9531003521595443</v>
      </c>
      <c r="AF103" s="54">
        <f t="shared" si="86"/>
        <v>9.5468996478404549</v>
      </c>
      <c r="AG103" s="54">
        <v>14.2</v>
      </c>
      <c r="AH103" s="54">
        <f t="shared" si="102"/>
        <v>0.29282224830811437</v>
      </c>
      <c r="AI103" s="54">
        <v>3.5</v>
      </c>
      <c r="AJ103" s="54">
        <f t="shared" si="103"/>
        <v>1.0248778690784004</v>
      </c>
      <c r="AL103" s="45">
        <v>44.6</v>
      </c>
      <c r="AM103" s="45">
        <v>33.6</v>
      </c>
      <c r="AN103" s="45">
        <f t="shared" si="104"/>
        <v>11</v>
      </c>
      <c r="AO103" s="52">
        <f t="shared" si="105"/>
        <v>7.6103482563271809</v>
      </c>
      <c r="AP103" s="52">
        <f t="shared" si="106"/>
        <v>25.98965174367282</v>
      </c>
      <c r="AQ103" s="54">
        <f t="shared" si="107"/>
        <v>0.29282224830811443</v>
      </c>
      <c r="AR103" s="45">
        <v>5.8</v>
      </c>
      <c r="AS103" s="52">
        <f t="shared" si="88"/>
        <v>1.6983690401870637</v>
      </c>
      <c r="AU103" s="52">
        <v>79.099999999999994</v>
      </c>
      <c r="AV103" s="52">
        <v>56.9</v>
      </c>
      <c r="AW103" s="52">
        <f t="shared" si="108"/>
        <v>22.199999999999996</v>
      </c>
      <c r="AX103" s="52">
        <f t="shared" si="109"/>
        <v>12.887762374554065</v>
      </c>
      <c r="AY103" s="52">
        <f t="shared" si="110"/>
        <v>44.012237625445934</v>
      </c>
      <c r="AZ103" s="54">
        <f t="shared" si="111"/>
        <v>0.29282224830811437</v>
      </c>
      <c r="BA103" s="52">
        <v>17</v>
      </c>
      <c r="BB103" s="52">
        <f t="shared" si="112"/>
        <v>4.9779782212379446</v>
      </c>
      <c r="BE103" s="1" t="s">
        <v>17</v>
      </c>
    </row>
    <row r="104" spans="1:57" ht="15" customHeight="1" x14ac:dyDescent="0.35">
      <c r="A104" s="45" t="s">
        <v>43</v>
      </c>
      <c r="B104" s="46" t="s">
        <v>64</v>
      </c>
      <c r="C104" s="45" t="str">
        <f t="shared" si="89"/>
        <v>GB2_8-24_G</v>
      </c>
      <c r="D104" s="47">
        <v>45505</v>
      </c>
      <c r="E104" s="45" t="s">
        <v>17</v>
      </c>
      <c r="F104" s="45"/>
      <c r="G104" s="45"/>
      <c r="H104" s="45" t="str">
        <f t="shared" si="90"/>
        <v>C,N,S</v>
      </c>
      <c r="I104" s="45">
        <v>132.4</v>
      </c>
      <c r="J104" s="45"/>
      <c r="K104" s="45">
        <v>161</v>
      </c>
      <c r="L104" s="45">
        <f t="shared" si="87"/>
        <v>28.599999999999994</v>
      </c>
      <c r="M104" s="45">
        <f t="shared" si="91"/>
        <v>119.60000000000001</v>
      </c>
      <c r="O104" s="45">
        <f t="shared" si="92"/>
        <v>25.334448160535118</v>
      </c>
      <c r="P104" s="45">
        <f t="shared" si="93"/>
        <v>6.058237603606222</v>
      </c>
      <c r="Q104" s="94"/>
      <c r="R104" s="45">
        <f t="shared" si="94"/>
        <v>27.257525083612038</v>
      </c>
      <c r="S104" s="45">
        <f t="shared" si="95"/>
        <v>6.518103824342008</v>
      </c>
      <c r="T104" s="94"/>
      <c r="U104" s="45">
        <f t="shared" si="96"/>
        <v>47.408026755852845</v>
      </c>
      <c r="V104" s="45">
        <f t="shared" si="97"/>
        <v>11.336702050312633</v>
      </c>
      <c r="W104" s="94"/>
      <c r="X104" s="54">
        <v>38.6</v>
      </c>
      <c r="Y104" s="54">
        <v>30.3</v>
      </c>
      <c r="Z104" s="54">
        <f t="shared" si="98"/>
        <v>8.3000000000000007</v>
      </c>
      <c r="AA104" s="54">
        <f t="shared" si="99"/>
        <v>6.058237603606222</v>
      </c>
      <c r="AB104" s="54">
        <f t="shared" si="100"/>
        <v>24.241762396393778</v>
      </c>
      <c r="AC104" s="54">
        <f t="shared" si="101"/>
        <v>0.2499091239549254</v>
      </c>
      <c r="AD104" s="54">
        <v>16.8</v>
      </c>
      <c r="AE104" s="54">
        <f t="shared" si="85"/>
        <v>4.1984732824427473</v>
      </c>
      <c r="AF104" s="54">
        <f t="shared" si="86"/>
        <v>12.601526717557253</v>
      </c>
      <c r="AG104" s="54">
        <v>16.899999999999999</v>
      </c>
      <c r="AH104" s="54">
        <f t="shared" si="102"/>
        <v>0.2499091239549254</v>
      </c>
      <c r="AI104" s="54">
        <v>3.9</v>
      </c>
      <c r="AJ104" s="54">
        <f t="shared" si="103"/>
        <v>0.97464558342420904</v>
      </c>
      <c r="AL104" s="45">
        <v>42.2</v>
      </c>
      <c r="AM104" s="45">
        <v>32.6</v>
      </c>
      <c r="AN104" s="45">
        <f t="shared" si="104"/>
        <v>9.6000000000000014</v>
      </c>
      <c r="AO104" s="52">
        <f t="shared" si="105"/>
        <v>6.518103824342008</v>
      </c>
      <c r="AP104" s="52">
        <f t="shared" si="106"/>
        <v>26.081896175657995</v>
      </c>
      <c r="AQ104" s="54">
        <f t="shared" si="107"/>
        <v>0.24990912395492537</v>
      </c>
      <c r="AR104" s="45">
        <v>7.1</v>
      </c>
      <c r="AS104" s="52">
        <f t="shared" si="88"/>
        <v>1.7743547800799702</v>
      </c>
      <c r="AU104" s="52">
        <v>78.2</v>
      </c>
      <c r="AV104" s="52">
        <v>56.7</v>
      </c>
      <c r="AW104" s="52">
        <f t="shared" si="108"/>
        <v>21.5</v>
      </c>
      <c r="AX104" s="52">
        <f t="shared" si="109"/>
        <v>11.336702050312633</v>
      </c>
      <c r="AY104" s="52">
        <f t="shared" si="110"/>
        <v>45.363297949687372</v>
      </c>
      <c r="AZ104" s="54">
        <f t="shared" si="111"/>
        <v>0.24990912395492537</v>
      </c>
      <c r="BA104" s="52">
        <v>20.2</v>
      </c>
      <c r="BB104" s="52">
        <f t="shared" si="112"/>
        <v>5.0481643038894921</v>
      </c>
      <c r="BE104" s="1" t="s">
        <v>17</v>
      </c>
    </row>
    <row r="105" spans="1:57" ht="15" customHeight="1" x14ac:dyDescent="0.35">
      <c r="A105" s="45" t="s">
        <v>49</v>
      </c>
      <c r="B105" s="46" t="s">
        <v>64</v>
      </c>
      <c r="C105" s="45" t="str">
        <f t="shared" si="89"/>
        <v>SBT2_8-24_G</v>
      </c>
      <c r="D105" s="47">
        <v>45505</v>
      </c>
      <c r="E105" s="45" t="s">
        <v>17</v>
      </c>
      <c r="F105" s="45"/>
      <c r="G105" s="45"/>
      <c r="H105" s="45" t="str">
        <f t="shared" si="90"/>
        <v>C,N,S</v>
      </c>
      <c r="I105" s="45">
        <v>135.4</v>
      </c>
      <c r="J105" s="45"/>
      <c r="K105" s="45">
        <v>163.30000000000001</v>
      </c>
      <c r="L105" s="45">
        <f t="shared" si="87"/>
        <v>27.900000000000006</v>
      </c>
      <c r="M105" s="45">
        <f t="shared" si="91"/>
        <v>114.3</v>
      </c>
      <c r="O105" s="45">
        <f t="shared" si="92"/>
        <v>28.783902012248468</v>
      </c>
      <c r="P105" s="45">
        <f t="shared" si="93"/>
        <v>7.0259918297614394</v>
      </c>
      <c r="Q105" s="94"/>
      <c r="R105" s="45">
        <f t="shared" si="94"/>
        <v>25.284339457567807</v>
      </c>
      <c r="S105" s="45">
        <f t="shared" si="95"/>
        <v>6.1717678990913551</v>
      </c>
      <c r="T105" s="94"/>
      <c r="U105" s="45">
        <f t="shared" si="96"/>
        <v>45.931758530183728</v>
      </c>
      <c r="V105" s="45">
        <f t="shared" si="97"/>
        <v>11.21168909004485</v>
      </c>
      <c r="W105" s="94"/>
      <c r="X105" s="54">
        <v>41</v>
      </c>
      <c r="Y105" s="54">
        <v>32.9</v>
      </c>
      <c r="Z105" s="54">
        <f t="shared" si="98"/>
        <v>8.1000000000000014</v>
      </c>
      <c r="AA105" s="54">
        <f t="shared" si="99"/>
        <v>7.0259918297614394</v>
      </c>
      <c r="AB105" s="54">
        <f t="shared" si="100"/>
        <v>25.874008170238561</v>
      </c>
      <c r="AC105" s="54">
        <f t="shared" si="101"/>
        <v>0.27154632492707675</v>
      </c>
      <c r="AD105" s="54">
        <v>17</v>
      </c>
      <c r="AE105" s="54">
        <f t="shared" si="85"/>
        <v>4.6162875237603052</v>
      </c>
      <c r="AF105" s="54">
        <f t="shared" si="86"/>
        <v>12.383712476239694</v>
      </c>
      <c r="AG105" s="54">
        <v>18.5</v>
      </c>
      <c r="AH105" s="54">
        <f t="shared" si="102"/>
        <v>0.27154632492707675</v>
      </c>
      <c r="AI105" s="54">
        <v>3</v>
      </c>
      <c r="AJ105" s="54">
        <f t="shared" si="103"/>
        <v>0.81463897478123026</v>
      </c>
      <c r="AL105" s="45">
        <v>34</v>
      </c>
      <c r="AM105" s="45">
        <v>28.9</v>
      </c>
      <c r="AN105" s="45">
        <f t="shared" si="104"/>
        <v>5.1000000000000014</v>
      </c>
      <c r="AO105" s="52">
        <f t="shared" si="105"/>
        <v>6.1717678990913551</v>
      </c>
      <c r="AP105" s="52">
        <f t="shared" si="106"/>
        <v>22.728232100908642</v>
      </c>
      <c r="AQ105" s="54">
        <f t="shared" si="107"/>
        <v>0.27154632492707681</v>
      </c>
      <c r="AR105" s="45">
        <v>7.2</v>
      </c>
      <c r="AS105" s="52">
        <f t="shared" si="88"/>
        <v>1.9551335394749532</v>
      </c>
      <c r="AU105" s="52">
        <v>65</v>
      </c>
      <c r="AV105" s="52">
        <v>52.5</v>
      </c>
      <c r="AW105" s="52">
        <f t="shared" si="108"/>
        <v>12.5</v>
      </c>
      <c r="AX105" s="52">
        <f t="shared" si="109"/>
        <v>11.21168909004485</v>
      </c>
      <c r="AY105" s="52">
        <f t="shared" si="110"/>
        <v>41.28831090995515</v>
      </c>
      <c r="AZ105" s="54">
        <f t="shared" si="111"/>
        <v>0.27154632492707675</v>
      </c>
      <c r="BA105" s="52">
        <v>18</v>
      </c>
      <c r="BB105" s="52">
        <f t="shared" si="112"/>
        <v>4.8878338486873814</v>
      </c>
      <c r="BE105" s="1" t="s">
        <v>17</v>
      </c>
    </row>
    <row r="106" spans="1:57" ht="15" customHeight="1" x14ac:dyDescent="0.35">
      <c r="A106" s="45" t="s">
        <v>51</v>
      </c>
      <c r="B106" s="46" t="s">
        <v>64</v>
      </c>
      <c r="C106" s="45" t="str">
        <f t="shared" si="89"/>
        <v>TBC_8-24_G</v>
      </c>
      <c r="D106" s="47">
        <v>45505</v>
      </c>
      <c r="E106" s="45" t="s">
        <v>17</v>
      </c>
      <c r="F106" s="45"/>
      <c r="G106" s="45"/>
      <c r="H106" s="45" t="str">
        <f t="shared" si="90"/>
        <v>C,N,S</v>
      </c>
      <c r="I106" s="45">
        <v>133.6</v>
      </c>
      <c r="J106" s="45"/>
      <c r="K106" s="45">
        <v>163.9</v>
      </c>
      <c r="L106" s="45">
        <f t="shared" si="87"/>
        <v>30.300000000000011</v>
      </c>
      <c r="M106" s="45">
        <f t="shared" si="91"/>
        <v>114.30000000000001</v>
      </c>
      <c r="O106" s="45">
        <f t="shared" si="92"/>
        <v>24.321959755030619</v>
      </c>
      <c r="P106" s="45">
        <f t="shared" si="93"/>
        <v>6.4475536358480134</v>
      </c>
      <c r="Q106" s="94"/>
      <c r="R106" s="45">
        <f t="shared" si="94"/>
        <v>25.634295713035872</v>
      </c>
      <c r="S106" s="45">
        <f t="shared" si="95"/>
        <v>6.7954432205160726</v>
      </c>
      <c r="T106" s="94"/>
      <c r="U106" s="45">
        <f t="shared" si="96"/>
        <v>50.043744531933513</v>
      </c>
      <c r="V106" s="45">
        <f t="shared" si="97"/>
        <v>13.266189495341958</v>
      </c>
      <c r="W106" s="94"/>
      <c r="X106" s="54">
        <v>40.200000000000003</v>
      </c>
      <c r="Y106" s="54">
        <v>27.8</v>
      </c>
      <c r="Z106" s="54">
        <f t="shared" si="98"/>
        <v>12.400000000000002</v>
      </c>
      <c r="AA106" s="54">
        <f t="shared" si="99"/>
        <v>6.4475536358480134</v>
      </c>
      <c r="AB106" s="54">
        <f t="shared" si="100"/>
        <v>21.352446364151987</v>
      </c>
      <c r="AC106" s="54">
        <f t="shared" si="101"/>
        <v>0.30195854497836966</v>
      </c>
      <c r="AD106" s="54">
        <v>17.3</v>
      </c>
      <c r="AE106" s="54">
        <f t="shared" si="85"/>
        <v>5.2238828281257952</v>
      </c>
      <c r="AF106" s="54">
        <f t="shared" si="86"/>
        <v>12.076117171874206</v>
      </c>
      <c r="AG106" s="54">
        <v>20.9</v>
      </c>
      <c r="AH106" s="54">
        <f t="shared" si="102"/>
        <v>0.30195854497836966</v>
      </c>
      <c r="AI106" s="54">
        <v>2.8</v>
      </c>
      <c r="AJ106" s="54">
        <f t="shared" si="103"/>
        <v>0.845483925939435</v>
      </c>
      <c r="AL106" s="45">
        <v>44</v>
      </c>
      <c r="AM106" s="45">
        <v>29.3</v>
      </c>
      <c r="AN106" s="45">
        <f t="shared" si="104"/>
        <v>14.7</v>
      </c>
      <c r="AO106" s="52">
        <f t="shared" si="105"/>
        <v>6.7954432205160726</v>
      </c>
      <c r="AP106" s="52">
        <f t="shared" si="106"/>
        <v>22.504556779483927</v>
      </c>
      <c r="AQ106" s="54">
        <f t="shared" si="107"/>
        <v>0.30195854497836971</v>
      </c>
      <c r="AR106" s="45">
        <v>5</v>
      </c>
      <c r="AS106" s="52">
        <f t="shared" si="88"/>
        <v>1.5097927248918486</v>
      </c>
      <c r="AU106" s="52">
        <v>80.900000000000006</v>
      </c>
      <c r="AV106" s="52">
        <v>57.2</v>
      </c>
      <c r="AW106" s="52">
        <f t="shared" si="108"/>
        <v>23.700000000000003</v>
      </c>
      <c r="AX106" s="52">
        <f t="shared" si="109"/>
        <v>13.266189495341958</v>
      </c>
      <c r="AY106" s="52">
        <f t="shared" si="110"/>
        <v>43.933810504658041</v>
      </c>
      <c r="AZ106" s="54">
        <f t="shared" si="111"/>
        <v>0.30195854497836977</v>
      </c>
      <c r="BA106" s="52">
        <v>17.2</v>
      </c>
      <c r="BB106" s="52">
        <f t="shared" si="112"/>
        <v>5.1936869736279601</v>
      </c>
      <c r="BE106" s="1" t="s">
        <v>17</v>
      </c>
    </row>
    <row r="107" spans="1:57" ht="15" customHeight="1" x14ac:dyDescent="0.35">
      <c r="A107" s="45" t="s">
        <v>33</v>
      </c>
      <c r="B107" s="46" t="s">
        <v>64</v>
      </c>
      <c r="C107" s="45" t="str">
        <f t="shared" si="89"/>
        <v>DCM2_8-24_G</v>
      </c>
      <c r="D107" s="47">
        <v>45505</v>
      </c>
      <c r="E107" s="45" t="s">
        <v>17</v>
      </c>
      <c r="F107" s="45"/>
      <c r="G107" s="45"/>
      <c r="H107" s="45" t="str">
        <f t="shared" si="90"/>
        <v>C,N,S</v>
      </c>
      <c r="I107" s="45">
        <v>134.1</v>
      </c>
      <c r="J107" s="45"/>
      <c r="K107" s="45">
        <v>176.7</v>
      </c>
      <c r="L107" s="45">
        <f t="shared" si="87"/>
        <v>42.599999999999994</v>
      </c>
      <c r="M107" s="45">
        <f t="shared" si="91"/>
        <v>119.7</v>
      </c>
      <c r="O107" s="45">
        <f t="shared" si="92"/>
        <v>25.730994152046783</v>
      </c>
      <c r="P107" s="45">
        <f t="shared" si="93"/>
        <v>9.1573964150141407</v>
      </c>
      <c r="Q107" s="94"/>
      <c r="R107" s="45">
        <f t="shared" si="94"/>
        <v>22.807017543859647</v>
      </c>
      <c r="S107" s="45">
        <f t="shared" si="95"/>
        <v>8.1167831860352617</v>
      </c>
      <c r="T107" s="94"/>
      <c r="U107" s="45">
        <f t="shared" si="96"/>
        <v>51.461988304093566</v>
      </c>
      <c r="V107" s="45">
        <f t="shared" si="97"/>
        <v>18.314792830028281</v>
      </c>
      <c r="W107" s="94"/>
      <c r="X107" s="54">
        <v>44.7</v>
      </c>
      <c r="Y107" s="54">
        <v>30.8</v>
      </c>
      <c r="Z107" s="54">
        <f t="shared" si="98"/>
        <v>13.900000000000002</v>
      </c>
      <c r="AA107" s="54">
        <f t="shared" si="99"/>
        <v>9.1573964150141407</v>
      </c>
      <c r="AB107" s="54">
        <f t="shared" si="100"/>
        <v>21.64260358498586</v>
      </c>
      <c r="AC107" s="54">
        <f t="shared" si="101"/>
        <v>0.42311898284580274</v>
      </c>
      <c r="AD107" s="54">
        <v>19.8</v>
      </c>
      <c r="AE107" s="54">
        <f t="shared" si="85"/>
        <v>8.3777558603468947</v>
      </c>
      <c r="AF107" s="54">
        <f t="shared" si="86"/>
        <v>11.422244139653106</v>
      </c>
      <c r="AG107" s="54">
        <v>21.3</v>
      </c>
      <c r="AH107" s="54">
        <f t="shared" si="102"/>
        <v>0.42311898284580274</v>
      </c>
      <c r="AI107" s="54">
        <v>2.2999999999999998</v>
      </c>
      <c r="AJ107" s="54">
        <f t="shared" si="103"/>
        <v>0.97317366054534626</v>
      </c>
      <c r="AL107" s="45">
        <v>43.4</v>
      </c>
      <c r="AM107" s="45">
        <v>27.3</v>
      </c>
      <c r="AN107" s="45">
        <f t="shared" si="104"/>
        <v>16.099999999999998</v>
      </c>
      <c r="AO107" s="52">
        <f t="shared" si="105"/>
        <v>8.1167831860352617</v>
      </c>
      <c r="AP107" s="52">
        <f t="shared" si="106"/>
        <v>19.183216813964741</v>
      </c>
      <c r="AQ107" s="54">
        <f t="shared" si="107"/>
        <v>0.42311898284580274</v>
      </c>
      <c r="AR107" s="45">
        <v>3.1</v>
      </c>
      <c r="AS107" s="52">
        <f t="shared" si="88"/>
        <v>1.3116688468219886</v>
      </c>
      <c r="AU107" s="52">
        <v>89.5</v>
      </c>
      <c r="AV107" s="52">
        <v>61.6</v>
      </c>
      <c r="AW107" s="52">
        <f t="shared" si="108"/>
        <v>27.9</v>
      </c>
      <c r="AX107" s="52">
        <f t="shared" si="109"/>
        <v>18.314792830028281</v>
      </c>
      <c r="AY107" s="52">
        <f t="shared" si="110"/>
        <v>43.28520716997172</v>
      </c>
      <c r="AZ107" s="54">
        <f t="shared" si="111"/>
        <v>0.42311898284580274</v>
      </c>
      <c r="BA107" s="52">
        <v>13.1</v>
      </c>
      <c r="BB107" s="52">
        <f t="shared" si="112"/>
        <v>5.5428586752800157</v>
      </c>
      <c r="BE107" s="1" t="s">
        <v>17</v>
      </c>
    </row>
    <row r="108" spans="1:57" ht="15" customHeight="1" x14ac:dyDescent="0.35">
      <c r="A108" s="45" t="s">
        <v>24</v>
      </c>
      <c r="B108" s="46" t="s">
        <v>64</v>
      </c>
      <c r="C108" s="45" t="str">
        <f t="shared" si="89"/>
        <v>ACS1_8-24_G</v>
      </c>
      <c r="D108" s="47">
        <v>45505</v>
      </c>
      <c r="E108" s="47" t="s">
        <v>17</v>
      </c>
      <c r="F108" s="45"/>
      <c r="G108" s="45"/>
      <c r="H108" s="45" t="str">
        <f t="shared" si="90"/>
        <v>C,N,S</v>
      </c>
      <c r="I108" s="45">
        <v>135.5</v>
      </c>
      <c r="J108" s="45"/>
      <c r="K108" s="45">
        <v>176.6</v>
      </c>
      <c r="L108" s="45">
        <f t="shared" si="87"/>
        <v>41.099999999999994</v>
      </c>
      <c r="M108" s="45">
        <f t="shared" si="91"/>
        <v>119.8</v>
      </c>
      <c r="O108" s="45">
        <f t="shared" si="92"/>
        <v>25.208681135225376</v>
      </c>
      <c r="P108" s="45">
        <f t="shared" si="93"/>
        <v>8.6483872675940141</v>
      </c>
      <c r="Q108" s="94"/>
      <c r="R108" s="45">
        <f t="shared" si="94"/>
        <v>23.956594323873119</v>
      </c>
      <c r="S108" s="45">
        <f t="shared" si="95"/>
        <v>8.2188316086075552</v>
      </c>
      <c r="T108" s="94"/>
      <c r="U108" s="45">
        <f t="shared" si="96"/>
        <v>50.834724540901497</v>
      </c>
      <c r="V108" s="45">
        <f t="shared" si="97"/>
        <v>17.439959754850175</v>
      </c>
      <c r="W108" s="94"/>
      <c r="X108" s="54">
        <v>44.4</v>
      </c>
      <c r="Y108" s="54">
        <v>30.2</v>
      </c>
      <c r="Z108" s="54">
        <f t="shared" si="98"/>
        <v>14.2</v>
      </c>
      <c r="AA108" s="54">
        <f t="shared" si="99"/>
        <v>8.6483872675940141</v>
      </c>
      <c r="AB108" s="54">
        <f t="shared" si="100"/>
        <v>21.551612732405985</v>
      </c>
      <c r="AC108" s="54">
        <f t="shared" si="101"/>
        <v>0.40128724355694761</v>
      </c>
      <c r="AD108" s="54">
        <v>20</v>
      </c>
      <c r="AE108" s="54">
        <f t="shared" si="85"/>
        <v>8.0257448711389525</v>
      </c>
      <c r="AF108" s="54">
        <f t="shared" si="86"/>
        <v>11.974255128861047</v>
      </c>
      <c r="AG108" s="54">
        <v>19.600000000000001</v>
      </c>
      <c r="AH108" s="54">
        <f t="shared" si="102"/>
        <v>0.40128724355694761</v>
      </c>
      <c r="AI108" s="54">
        <v>2.2999999999999998</v>
      </c>
      <c r="AJ108" s="54">
        <f t="shared" si="103"/>
        <v>0.92296066018097944</v>
      </c>
      <c r="AL108" s="45">
        <v>42.9</v>
      </c>
      <c r="AM108" s="45">
        <v>28.7</v>
      </c>
      <c r="AN108" s="45">
        <f t="shared" si="104"/>
        <v>14.2</v>
      </c>
      <c r="AO108" s="52">
        <f t="shared" si="105"/>
        <v>8.2188316086075552</v>
      </c>
      <c r="AP108" s="52">
        <f t="shared" si="106"/>
        <v>20.481168391392444</v>
      </c>
      <c r="AQ108" s="54">
        <f t="shared" si="107"/>
        <v>0.40128724355694756</v>
      </c>
      <c r="AR108" s="45">
        <v>4</v>
      </c>
      <c r="AS108" s="52">
        <f t="shared" si="88"/>
        <v>1.6051489742277902</v>
      </c>
      <c r="AU108" s="52">
        <v>91.1</v>
      </c>
      <c r="AV108" s="52">
        <v>60.9</v>
      </c>
      <c r="AW108" s="52">
        <f t="shared" si="108"/>
        <v>30.199999999999996</v>
      </c>
      <c r="AX108" s="52">
        <f t="shared" si="109"/>
        <v>17.439959754850175</v>
      </c>
      <c r="AY108" s="52">
        <f t="shared" si="110"/>
        <v>43.460040245149827</v>
      </c>
      <c r="AZ108" s="54">
        <f t="shared" si="111"/>
        <v>0.40128724355694739</v>
      </c>
      <c r="BA108" s="52">
        <v>12.6</v>
      </c>
      <c r="BB108" s="52">
        <f t="shared" si="112"/>
        <v>5.0562192688175367</v>
      </c>
      <c r="BE108" s="1" t="s">
        <v>17</v>
      </c>
    </row>
    <row r="109" spans="1:57" ht="15" customHeight="1" x14ac:dyDescent="0.35">
      <c r="A109" s="45" t="s">
        <v>44</v>
      </c>
      <c r="B109" s="46" t="s">
        <v>64</v>
      </c>
      <c r="C109" s="45" t="str">
        <f t="shared" si="89"/>
        <v>RB_8-24_G</v>
      </c>
      <c r="D109" s="47">
        <v>45505</v>
      </c>
      <c r="E109" s="45" t="s">
        <v>17</v>
      </c>
      <c r="F109" s="45"/>
      <c r="G109" s="45"/>
      <c r="H109" s="45" t="str">
        <f t="shared" si="90"/>
        <v>C,N,S</v>
      </c>
      <c r="I109" s="45">
        <v>128.69999999999999</v>
      </c>
      <c r="J109" s="45"/>
      <c r="K109" s="45">
        <v>168.3</v>
      </c>
      <c r="L109" s="45">
        <f t="shared" si="87"/>
        <v>39.600000000000023</v>
      </c>
      <c r="M109" s="45">
        <f t="shared" si="91"/>
        <v>119</v>
      </c>
      <c r="O109" s="45">
        <f t="shared" si="92"/>
        <v>23.193277310924369</v>
      </c>
      <c r="P109" s="45">
        <f t="shared" si="93"/>
        <v>7.718099004307609</v>
      </c>
      <c r="Q109" s="94"/>
      <c r="R109" s="45">
        <f t="shared" si="94"/>
        <v>25.294117647058822</v>
      </c>
      <c r="S109" s="45">
        <f t="shared" si="95"/>
        <v>8.4172021749876471</v>
      </c>
      <c r="T109" s="94"/>
      <c r="U109" s="45">
        <f t="shared" si="96"/>
        <v>51.512605042016801</v>
      </c>
      <c r="V109" s="45">
        <f t="shared" si="97"/>
        <v>17.142009745074507</v>
      </c>
      <c r="W109" s="94"/>
      <c r="X109" s="54">
        <v>41.5</v>
      </c>
      <c r="Y109" s="54">
        <v>27.6</v>
      </c>
      <c r="Z109" s="54">
        <f t="shared" si="98"/>
        <v>13.899999999999999</v>
      </c>
      <c r="AA109" s="54">
        <f t="shared" si="99"/>
        <v>7.718099004307609</v>
      </c>
      <c r="AB109" s="54">
        <f t="shared" si="100"/>
        <v>19.881900995692391</v>
      </c>
      <c r="AC109" s="54">
        <f t="shared" si="101"/>
        <v>0.38819723556514091</v>
      </c>
      <c r="AD109" s="54">
        <v>18.2</v>
      </c>
      <c r="AE109" s="54">
        <f t="shared" si="85"/>
        <v>7.0651896872855646</v>
      </c>
      <c r="AF109" s="54">
        <f t="shared" si="86"/>
        <v>11.134810312714436</v>
      </c>
      <c r="AG109" s="54">
        <v>17.8</v>
      </c>
      <c r="AH109" s="54">
        <f t="shared" si="102"/>
        <v>0.38819723556514091</v>
      </c>
      <c r="AI109" s="54">
        <v>2.5</v>
      </c>
      <c r="AJ109" s="54">
        <f t="shared" si="103"/>
        <v>0.97049308891285224</v>
      </c>
      <c r="AL109" s="45">
        <v>42.1</v>
      </c>
      <c r="AM109" s="45">
        <v>30.1</v>
      </c>
      <c r="AN109" s="45">
        <f t="shared" si="104"/>
        <v>12</v>
      </c>
      <c r="AO109" s="52">
        <f t="shared" si="105"/>
        <v>8.4172021749876471</v>
      </c>
      <c r="AP109" s="52">
        <f t="shared" si="106"/>
        <v>21.682797825012354</v>
      </c>
      <c r="AQ109" s="54">
        <f t="shared" si="107"/>
        <v>0.38819723556514096</v>
      </c>
      <c r="AR109" s="45">
        <v>5.0999999999999996</v>
      </c>
      <c r="AS109" s="52">
        <f t="shared" si="88"/>
        <v>1.9798059013822187</v>
      </c>
      <c r="AU109" s="52">
        <v>84.3</v>
      </c>
      <c r="AV109" s="52">
        <v>61.3</v>
      </c>
      <c r="AW109" s="52">
        <f t="shared" si="108"/>
        <v>23</v>
      </c>
      <c r="AX109" s="52">
        <f t="shared" si="109"/>
        <v>17.142009745074507</v>
      </c>
      <c r="AY109" s="52">
        <f t="shared" si="110"/>
        <v>44.157990254925494</v>
      </c>
      <c r="AZ109" s="54">
        <f t="shared" si="111"/>
        <v>0.38819723556514085</v>
      </c>
      <c r="BA109" s="52">
        <v>14.1</v>
      </c>
      <c r="BB109" s="52">
        <f t="shared" si="112"/>
        <v>5.4735810214684859</v>
      </c>
      <c r="BE109" s="1" t="s">
        <v>17</v>
      </c>
    </row>
    <row r="110" spans="1:57" ht="15" customHeight="1" x14ac:dyDescent="0.35">
      <c r="A110" s="45" t="s">
        <v>27</v>
      </c>
      <c r="B110" s="46" t="s">
        <v>64</v>
      </c>
      <c r="C110" s="45" t="str">
        <f t="shared" si="89"/>
        <v>ACS4_8-24_G</v>
      </c>
      <c r="D110" s="47">
        <v>45505</v>
      </c>
      <c r="E110" s="47" t="s">
        <v>17</v>
      </c>
      <c r="F110" s="45"/>
      <c r="G110" s="45"/>
      <c r="H110" s="45" t="str">
        <f t="shared" si="90"/>
        <v>C,N,S</v>
      </c>
      <c r="I110" s="45">
        <v>132.69999999999999</v>
      </c>
      <c r="J110" s="45"/>
      <c r="K110" s="45">
        <v>175.6</v>
      </c>
      <c r="L110" s="45">
        <f t="shared" si="87"/>
        <v>42.900000000000006</v>
      </c>
      <c r="M110" s="45">
        <f t="shared" si="91"/>
        <v>130.80000000000001</v>
      </c>
      <c r="O110" s="45">
        <f t="shared" si="92"/>
        <v>27.752293577981646</v>
      </c>
      <c r="P110" s="45">
        <f t="shared" si="93"/>
        <v>9.1022430771820542</v>
      </c>
      <c r="Q110" s="94"/>
      <c r="R110" s="45">
        <f t="shared" si="94"/>
        <v>25</v>
      </c>
      <c r="S110" s="45">
        <f t="shared" si="95"/>
        <v>8.1995412844036704</v>
      </c>
      <c r="T110" s="94"/>
      <c r="U110" s="45">
        <f t="shared" si="96"/>
        <v>47.247706422018339</v>
      </c>
      <c r="V110" s="45">
        <f t="shared" si="97"/>
        <v>15.496380776028952</v>
      </c>
      <c r="W110" s="94"/>
      <c r="X110" s="54">
        <v>47.2</v>
      </c>
      <c r="Y110" s="54">
        <v>36.299999999999997</v>
      </c>
      <c r="Z110" s="54">
        <f t="shared" si="98"/>
        <v>10.900000000000006</v>
      </c>
      <c r="AA110" s="54">
        <f t="shared" si="99"/>
        <v>9.1022430771820542</v>
      </c>
      <c r="AB110" s="54">
        <f t="shared" si="100"/>
        <v>27.197756922817945</v>
      </c>
      <c r="AC110" s="54">
        <f t="shared" si="101"/>
        <v>0.334668888431222</v>
      </c>
      <c r="AD110" s="54">
        <v>23.9</v>
      </c>
      <c r="AE110" s="54">
        <f t="shared" si="85"/>
        <v>7.9985864335062056</v>
      </c>
      <c r="AF110" s="54">
        <f t="shared" si="86"/>
        <v>15.901413566493794</v>
      </c>
      <c r="AG110" s="54">
        <v>29.7</v>
      </c>
      <c r="AH110" s="54">
        <f t="shared" si="102"/>
        <v>0.334668888431222</v>
      </c>
      <c r="AI110" s="54">
        <v>3</v>
      </c>
      <c r="AJ110" s="54">
        <f t="shared" si="103"/>
        <v>1.0040066652936659</v>
      </c>
      <c r="AL110" s="45">
        <v>44.9</v>
      </c>
      <c r="AM110" s="45">
        <v>32.700000000000003</v>
      </c>
      <c r="AN110" s="45">
        <f t="shared" si="104"/>
        <v>12.199999999999996</v>
      </c>
      <c r="AO110" s="52">
        <f t="shared" si="105"/>
        <v>8.1995412844036704</v>
      </c>
      <c r="AP110" s="52">
        <f t="shared" si="106"/>
        <v>24.500458715596331</v>
      </c>
      <c r="AQ110" s="54">
        <f t="shared" si="107"/>
        <v>0.33466888843122206</v>
      </c>
      <c r="AR110" s="45">
        <v>5</v>
      </c>
      <c r="AS110" s="52">
        <f t="shared" si="88"/>
        <v>1.6733444421561103</v>
      </c>
      <c r="AU110" s="52">
        <v>72.7</v>
      </c>
      <c r="AV110" s="52">
        <v>61.8</v>
      </c>
      <c r="AW110" s="52">
        <f t="shared" si="108"/>
        <v>10.900000000000006</v>
      </c>
      <c r="AX110" s="52">
        <f t="shared" si="109"/>
        <v>15.496380776028952</v>
      </c>
      <c r="AY110" s="52">
        <f t="shared" si="110"/>
        <v>46.303619223971047</v>
      </c>
      <c r="AZ110" s="54">
        <f t="shared" si="111"/>
        <v>0.334668888431222</v>
      </c>
      <c r="BA110" s="52">
        <v>15.4</v>
      </c>
      <c r="BB110" s="52">
        <f t="shared" si="112"/>
        <v>5.1539008818408192</v>
      </c>
      <c r="BE110" s="1" t="s">
        <v>17</v>
      </c>
    </row>
    <row r="111" spans="1:57" ht="15" customHeight="1" x14ac:dyDescent="0.35">
      <c r="A111" s="45" t="s">
        <v>28</v>
      </c>
      <c r="B111" s="46" t="s">
        <v>64</v>
      </c>
      <c r="C111" s="45" t="str">
        <f t="shared" si="89"/>
        <v>ACS5_8-24_G</v>
      </c>
      <c r="D111" s="47">
        <v>45505</v>
      </c>
      <c r="E111" s="45" t="s">
        <v>17</v>
      </c>
      <c r="F111" s="45"/>
      <c r="G111" s="45"/>
      <c r="H111" s="45" t="str">
        <f t="shared" si="90"/>
        <v>C,N,S</v>
      </c>
      <c r="I111" s="45">
        <v>132.19999999999999</v>
      </c>
      <c r="J111" s="45"/>
      <c r="K111" s="45">
        <v>168.8</v>
      </c>
      <c r="L111" s="45">
        <f t="shared" si="87"/>
        <v>36.600000000000023</v>
      </c>
      <c r="M111" s="45">
        <f t="shared" si="91"/>
        <v>115.9</v>
      </c>
      <c r="O111" s="45">
        <f t="shared" si="92"/>
        <v>24.849007765314926</v>
      </c>
      <c r="P111" s="45">
        <f t="shared" si="93"/>
        <v>7.8470550837836655</v>
      </c>
      <c r="Q111" s="94"/>
      <c r="R111" s="45">
        <f t="shared" si="94"/>
        <v>27.264883520276101</v>
      </c>
      <c r="S111" s="45">
        <f t="shared" si="95"/>
        <v>8.6099632169292999</v>
      </c>
      <c r="T111" s="94"/>
      <c r="U111" s="45">
        <f t="shared" si="96"/>
        <v>47.886108714408969</v>
      </c>
      <c r="V111" s="45">
        <f t="shared" si="97"/>
        <v>15.121929067708104</v>
      </c>
      <c r="W111" s="94"/>
      <c r="X111" s="54">
        <v>40.9</v>
      </c>
      <c r="Y111" s="54">
        <v>28.8</v>
      </c>
      <c r="Z111" s="54">
        <f t="shared" si="98"/>
        <v>12.099999999999998</v>
      </c>
      <c r="AA111" s="54">
        <f t="shared" si="99"/>
        <v>7.8470550837836655</v>
      </c>
      <c r="AB111" s="54">
        <f t="shared" si="100"/>
        <v>20.952944916216335</v>
      </c>
      <c r="AC111" s="54">
        <f t="shared" si="101"/>
        <v>0.37450845764933555</v>
      </c>
      <c r="AD111" s="54">
        <v>20.100000000000001</v>
      </c>
      <c r="AE111" s="54">
        <f t="shared" ref="AE111:AE140" si="113">AD111*AC111</f>
        <v>7.5276199987516454</v>
      </c>
      <c r="AF111" s="54">
        <f t="shared" ref="AF111:AF129" si="114">AD111-AE111</f>
        <v>12.572380001248355</v>
      </c>
      <c r="AG111" s="54">
        <v>21</v>
      </c>
      <c r="AH111" s="54">
        <f t="shared" si="102"/>
        <v>0.37450845764933555</v>
      </c>
      <c r="AI111" s="54">
        <v>2.4</v>
      </c>
      <c r="AJ111" s="54">
        <f t="shared" si="103"/>
        <v>0.89882029835840527</v>
      </c>
      <c r="AL111" s="45">
        <v>44</v>
      </c>
      <c r="AM111" s="45">
        <v>31.6</v>
      </c>
      <c r="AN111" s="45">
        <f t="shared" si="104"/>
        <v>12.399999999999999</v>
      </c>
      <c r="AO111" s="52">
        <f t="shared" si="105"/>
        <v>8.6099632169292999</v>
      </c>
      <c r="AP111" s="52">
        <f t="shared" si="106"/>
        <v>22.9900367830707</v>
      </c>
      <c r="AQ111" s="54">
        <f t="shared" si="107"/>
        <v>0.37450845764933555</v>
      </c>
      <c r="AR111" s="45">
        <v>5</v>
      </c>
      <c r="AS111" s="52">
        <f t="shared" si="88"/>
        <v>1.8725422882466778</v>
      </c>
      <c r="AU111" s="52">
        <v>84</v>
      </c>
      <c r="AV111" s="52">
        <v>55.5</v>
      </c>
      <c r="AW111" s="52">
        <f t="shared" si="108"/>
        <v>28.5</v>
      </c>
      <c r="AX111" s="52">
        <f t="shared" si="109"/>
        <v>15.121929067708104</v>
      </c>
      <c r="AY111" s="52">
        <f t="shared" si="110"/>
        <v>40.378070932291898</v>
      </c>
      <c r="AZ111" s="54">
        <f t="shared" si="111"/>
        <v>0.37450845764933549</v>
      </c>
      <c r="BA111" s="52">
        <v>12.2</v>
      </c>
      <c r="BB111" s="52">
        <f t="shared" si="112"/>
        <v>4.5690031833218931</v>
      </c>
      <c r="BE111" s="1" t="s">
        <v>17</v>
      </c>
    </row>
    <row r="112" spans="1:57" ht="15" customHeight="1" x14ac:dyDescent="0.35">
      <c r="A112" s="45" t="s">
        <v>56</v>
      </c>
      <c r="B112" s="46" t="s">
        <v>64</v>
      </c>
      <c r="C112" s="45" t="str">
        <f t="shared" si="89"/>
        <v>CC_8-24_G</v>
      </c>
      <c r="D112" s="47">
        <v>45505</v>
      </c>
      <c r="E112" s="47" t="s">
        <v>17</v>
      </c>
      <c r="F112" s="45"/>
      <c r="G112" s="45"/>
      <c r="H112" s="45" t="str">
        <f t="shared" si="90"/>
        <v>C,N,S</v>
      </c>
      <c r="I112" s="45">
        <v>134</v>
      </c>
      <c r="J112" s="45"/>
      <c r="K112" s="45">
        <v>174.4</v>
      </c>
      <c r="L112" s="45">
        <f t="shared" si="87"/>
        <v>40.400000000000006</v>
      </c>
      <c r="M112" s="45">
        <f t="shared" si="91"/>
        <v>140.30000000000001</v>
      </c>
      <c r="O112" s="45">
        <f t="shared" si="92"/>
        <v>23.877405559515321</v>
      </c>
      <c r="P112" s="45">
        <f t="shared" si="93"/>
        <v>6.8756035966102562</v>
      </c>
      <c r="Q112" s="94"/>
      <c r="R112" s="45">
        <f t="shared" si="94"/>
        <v>24.946543121881682</v>
      </c>
      <c r="S112" s="45">
        <f t="shared" si="95"/>
        <v>7.1834664442196718</v>
      </c>
      <c r="T112" s="94"/>
      <c r="U112" s="45">
        <f t="shared" si="96"/>
        <v>51.176051318602987</v>
      </c>
      <c r="V112" s="45">
        <f t="shared" si="97"/>
        <v>14.73636830557064</v>
      </c>
      <c r="W112" s="94"/>
      <c r="X112" s="54">
        <v>43</v>
      </c>
      <c r="Y112" s="54">
        <v>33.5</v>
      </c>
      <c r="Z112" s="54">
        <f t="shared" si="98"/>
        <v>9.5</v>
      </c>
      <c r="AA112" s="54">
        <f t="shared" si="99"/>
        <v>6.8756035966102562</v>
      </c>
      <c r="AB112" s="54">
        <f t="shared" si="100"/>
        <v>26.624396403389746</v>
      </c>
      <c r="AC112" s="54">
        <f t="shared" si="101"/>
        <v>0.25824448721529975</v>
      </c>
      <c r="AD112" s="54">
        <v>21.2</v>
      </c>
      <c r="AE112" s="54">
        <f t="shared" si="113"/>
        <v>5.4747831289643543</v>
      </c>
      <c r="AF112" s="54">
        <f t="shared" si="114"/>
        <v>15.725216871035645</v>
      </c>
      <c r="AG112" s="54">
        <v>24</v>
      </c>
      <c r="AH112" s="54">
        <f t="shared" si="102"/>
        <v>0.25824448721529975</v>
      </c>
      <c r="AI112" s="54">
        <v>3.9</v>
      </c>
      <c r="AJ112" s="54">
        <f t="shared" si="103"/>
        <v>1.007153500139669</v>
      </c>
      <c r="AL112" s="45">
        <v>44.7</v>
      </c>
      <c r="AM112" s="45">
        <v>35</v>
      </c>
      <c r="AN112" s="45">
        <f t="shared" si="104"/>
        <v>9.7000000000000028</v>
      </c>
      <c r="AO112" s="52">
        <f t="shared" si="105"/>
        <v>7.1834664442196718</v>
      </c>
      <c r="AP112" s="52">
        <f t="shared" si="106"/>
        <v>27.816533555780328</v>
      </c>
      <c r="AQ112" s="54">
        <f t="shared" si="107"/>
        <v>0.25824448721529986</v>
      </c>
      <c r="AR112" s="45">
        <v>6.5</v>
      </c>
      <c r="AS112" s="52">
        <f t="shared" si="88"/>
        <v>1.678589166899449</v>
      </c>
      <c r="AU112" s="52">
        <v>88.9</v>
      </c>
      <c r="AV112" s="52">
        <v>71.8</v>
      </c>
      <c r="AW112" s="52">
        <f t="shared" si="108"/>
        <v>17.100000000000009</v>
      </c>
      <c r="AX112" s="52">
        <f t="shared" si="109"/>
        <v>14.73636830557064</v>
      </c>
      <c r="AY112" s="52">
        <f t="shared" si="110"/>
        <v>57.063631694429361</v>
      </c>
      <c r="AZ112" s="54">
        <f t="shared" si="111"/>
        <v>0.2582444872152998</v>
      </c>
      <c r="BA112" s="52">
        <v>18.7</v>
      </c>
      <c r="BB112" s="52">
        <f t="shared" si="112"/>
        <v>4.8291719109261058</v>
      </c>
      <c r="BE112" s="1" t="s">
        <v>17</v>
      </c>
    </row>
    <row r="113" spans="1:57" ht="15" customHeight="1" x14ac:dyDescent="0.35">
      <c r="A113" s="45" t="s">
        <v>31</v>
      </c>
      <c r="B113" s="46" t="s">
        <v>64</v>
      </c>
      <c r="C113" s="45" t="str">
        <f t="shared" si="89"/>
        <v>DCM1_8-24_G</v>
      </c>
      <c r="D113" s="47">
        <v>45505</v>
      </c>
      <c r="E113" s="45" t="s">
        <v>17</v>
      </c>
      <c r="F113" s="47">
        <v>45548</v>
      </c>
      <c r="G113" s="45"/>
      <c r="H113" s="45" t="str">
        <f t="shared" si="90"/>
        <v>C,N,S</v>
      </c>
      <c r="I113" s="45">
        <v>133.4</v>
      </c>
      <c r="J113" s="45"/>
      <c r="K113" s="45">
        <v>174</v>
      </c>
      <c r="L113" s="45">
        <f t="shared" si="87"/>
        <v>40.599999999999994</v>
      </c>
      <c r="M113" s="45">
        <f t="shared" si="91"/>
        <v>142.69999999999999</v>
      </c>
      <c r="O113" s="45">
        <f t="shared" si="92"/>
        <v>25.227750525578134</v>
      </c>
      <c r="P113" s="45">
        <f t="shared" si="93"/>
        <v>7.1776220836613334</v>
      </c>
      <c r="Q113" s="94"/>
      <c r="R113" s="45">
        <f t="shared" si="94"/>
        <v>25.227750525578134</v>
      </c>
      <c r="S113" s="45">
        <f t="shared" si="95"/>
        <v>7.1776220836613334</v>
      </c>
      <c r="T113" s="94"/>
      <c r="U113" s="45">
        <f t="shared" si="96"/>
        <v>49.544498948843732</v>
      </c>
      <c r="V113" s="45">
        <f t="shared" si="97"/>
        <v>14.096052258746008</v>
      </c>
      <c r="W113" s="94"/>
      <c r="X113" s="54">
        <v>45.4</v>
      </c>
      <c r="Y113" s="54">
        <v>36</v>
      </c>
      <c r="Z113" s="54">
        <f t="shared" si="98"/>
        <v>9.3999999999999986</v>
      </c>
      <c r="AA113" s="54">
        <f t="shared" si="99"/>
        <v>7.1776220836613334</v>
      </c>
      <c r="AB113" s="54">
        <f t="shared" si="100"/>
        <v>28.822377916338667</v>
      </c>
      <c r="AC113" s="54">
        <f t="shared" si="101"/>
        <v>0.2490294903666683</v>
      </c>
      <c r="AD113" s="54">
        <v>22.9</v>
      </c>
      <c r="AE113" s="54">
        <f t="shared" si="113"/>
        <v>5.7027753293967036</v>
      </c>
      <c r="AF113" s="54">
        <f t="shared" si="114"/>
        <v>17.197224670603294</v>
      </c>
      <c r="AG113" s="54">
        <v>23.2</v>
      </c>
      <c r="AH113" s="54">
        <f t="shared" si="102"/>
        <v>0.2490294903666683</v>
      </c>
      <c r="AI113" s="54">
        <v>4</v>
      </c>
      <c r="AJ113" s="54">
        <f t="shared" si="103"/>
        <v>0.9961179614666732</v>
      </c>
      <c r="AL113" s="45">
        <v>45.7</v>
      </c>
      <c r="AM113" s="45">
        <v>36</v>
      </c>
      <c r="AN113" s="45">
        <f t="shared" si="104"/>
        <v>9.7000000000000028</v>
      </c>
      <c r="AO113" s="52">
        <f t="shared" si="105"/>
        <v>7.1776220836613334</v>
      </c>
      <c r="AP113" s="52">
        <f t="shared" si="106"/>
        <v>28.822377916338667</v>
      </c>
      <c r="AQ113" s="54">
        <f t="shared" si="107"/>
        <v>0.2490294903666683</v>
      </c>
      <c r="AR113" s="45">
        <v>5.3</v>
      </c>
      <c r="AS113" s="52">
        <f t="shared" si="88"/>
        <v>1.319856298943342</v>
      </c>
      <c r="AU113" s="52">
        <v>82.4</v>
      </c>
      <c r="AV113" s="52">
        <v>70.7</v>
      </c>
      <c r="AW113" s="52">
        <f t="shared" si="108"/>
        <v>11.700000000000003</v>
      </c>
      <c r="AX113" s="52">
        <f t="shared" si="109"/>
        <v>14.096052258746008</v>
      </c>
      <c r="AY113" s="52">
        <f t="shared" si="110"/>
        <v>56.603947741253997</v>
      </c>
      <c r="AZ113" s="54">
        <f t="shared" si="111"/>
        <v>0.2490294903666683</v>
      </c>
      <c r="BA113" s="52">
        <v>21.8</v>
      </c>
      <c r="BB113" s="52">
        <f t="shared" si="112"/>
        <v>5.4288428899933692</v>
      </c>
      <c r="BE113" s="1" t="s">
        <v>17</v>
      </c>
    </row>
    <row r="114" spans="1:57" ht="15" customHeight="1" x14ac:dyDescent="0.35">
      <c r="A114" s="45" t="s">
        <v>25</v>
      </c>
      <c r="B114" s="46" t="s">
        <v>64</v>
      </c>
      <c r="C114" s="45" t="str">
        <f t="shared" si="89"/>
        <v>ACS2_8-24_G</v>
      </c>
      <c r="D114" s="47">
        <v>45505</v>
      </c>
      <c r="E114" s="47" t="s">
        <v>17</v>
      </c>
      <c r="F114" s="45"/>
      <c r="G114" s="45"/>
      <c r="H114" s="45" t="str">
        <f t="shared" si="90"/>
        <v>C,N,S</v>
      </c>
      <c r="I114" s="45">
        <v>133.30000000000001</v>
      </c>
      <c r="J114" s="45"/>
      <c r="K114" s="45">
        <v>162.30000000000001</v>
      </c>
      <c r="L114" s="45">
        <f t="shared" si="87"/>
        <v>29</v>
      </c>
      <c r="M114" s="45">
        <f t="shared" si="91"/>
        <v>116.5</v>
      </c>
      <c r="O114" s="45">
        <f t="shared" si="92"/>
        <v>24.463519313304722</v>
      </c>
      <c r="P114" s="45">
        <f t="shared" si="93"/>
        <v>6.0896314170458101</v>
      </c>
      <c r="Q114" s="94"/>
      <c r="R114" s="45">
        <f t="shared" si="94"/>
        <v>26.180257510729614</v>
      </c>
      <c r="S114" s="45">
        <f t="shared" si="95"/>
        <v>6.516973972627973</v>
      </c>
      <c r="T114" s="94"/>
      <c r="U114" s="45">
        <f t="shared" si="96"/>
        <v>49.356223175965667</v>
      </c>
      <c r="V114" s="45">
        <f t="shared" si="97"/>
        <v>12.286098472987161</v>
      </c>
      <c r="W114" s="94"/>
      <c r="X114" s="54">
        <v>34.1</v>
      </c>
      <c r="Y114" s="54">
        <v>28.5</v>
      </c>
      <c r="Z114" s="54">
        <f t="shared" si="98"/>
        <v>5.6000000000000014</v>
      </c>
      <c r="AA114" s="54">
        <f t="shared" si="99"/>
        <v>6.0896314170458101</v>
      </c>
      <c r="AB114" s="54">
        <f t="shared" si="100"/>
        <v>22.410368582954192</v>
      </c>
      <c r="AC114" s="54">
        <f t="shared" si="101"/>
        <v>0.2717327648808826</v>
      </c>
      <c r="AD114" s="54">
        <v>21.5</v>
      </c>
      <c r="AE114" s="54">
        <f t="shared" si="113"/>
        <v>5.8422544449389759</v>
      </c>
      <c r="AF114" s="54">
        <f t="shared" si="114"/>
        <v>15.657745555061023</v>
      </c>
      <c r="AG114" s="54">
        <v>21.7</v>
      </c>
      <c r="AH114" s="54">
        <f t="shared" si="102"/>
        <v>0.2717327648808826</v>
      </c>
      <c r="AI114" s="54">
        <v>3.6</v>
      </c>
      <c r="AJ114" s="54">
        <f t="shared" si="103"/>
        <v>0.97823795357117738</v>
      </c>
      <c r="AL114" s="45">
        <v>41.4</v>
      </c>
      <c r="AM114" s="45">
        <v>30.5</v>
      </c>
      <c r="AN114" s="45">
        <f t="shared" si="104"/>
        <v>10.899999999999999</v>
      </c>
      <c r="AO114" s="52">
        <f t="shared" si="105"/>
        <v>6.516973972627973</v>
      </c>
      <c r="AP114" s="52">
        <f t="shared" si="106"/>
        <v>23.983026027372027</v>
      </c>
      <c r="AQ114" s="54">
        <f t="shared" si="107"/>
        <v>0.27173276488088266</v>
      </c>
      <c r="AR114" s="45">
        <v>6.5</v>
      </c>
      <c r="AS114" s="52">
        <f t="shared" si="88"/>
        <v>1.7662629717257372</v>
      </c>
      <c r="AU114" s="52">
        <v>84.4</v>
      </c>
      <c r="AV114" s="52">
        <v>57.5</v>
      </c>
      <c r="AW114" s="52">
        <f t="shared" si="108"/>
        <v>26.900000000000006</v>
      </c>
      <c r="AX114" s="52">
        <f t="shared" si="109"/>
        <v>12.286098472987161</v>
      </c>
      <c r="AY114" s="52">
        <f t="shared" si="110"/>
        <v>45.213901527012837</v>
      </c>
      <c r="AZ114" s="54">
        <f t="shared" si="111"/>
        <v>0.27173276488088266</v>
      </c>
      <c r="BA114" s="52">
        <v>18.899999999999999</v>
      </c>
      <c r="BB114" s="52">
        <f t="shared" si="112"/>
        <v>5.1357492562486815</v>
      </c>
      <c r="BE114" s="1" t="s">
        <v>17</v>
      </c>
    </row>
    <row r="115" spans="1:57" ht="15" customHeight="1" x14ac:dyDescent="0.35">
      <c r="A115" s="45" t="s">
        <v>48</v>
      </c>
      <c r="B115" s="46" t="s">
        <v>64</v>
      </c>
      <c r="C115" s="45" t="str">
        <f t="shared" si="89"/>
        <v>SBT1_8-24_G</v>
      </c>
      <c r="D115" s="47">
        <v>45505</v>
      </c>
      <c r="E115" s="45" t="s">
        <v>17</v>
      </c>
      <c r="F115" s="45"/>
      <c r="G115" s="45"/>
      <c r="H115" s="45" t="str">
        <f t="shared" si="90"/>
        <v>C,N,S</v>
      </c>
      <c r="I115" s="45">
        <v>133.30000000000001</v>
      </c>
      <c r="J115" s="45"/>
      <c r="K115" s="45">
        <v>164.7</v>
      </c>
      <c r="L115" s="45">
        <f t="shared" si="87"/>
        <v>31.399999999999977</v>
      </c>
      <c r="M115" s="45">
        <f t="shared" si="91"/>
        <v>126.4</v>
      </c>
      <c r="O115" s="45">
        <f t="shared" si="92"/>
        <v>27.768987341772149</v>
      </c>
      <c r="P115" s="45">
        <f t="shared" si="93"/>
        <v>6.8983085643326332</v>
      </c>
      <c r="Q115" s="94"/>
      <c r="R115" s="45">
        <f t="shared" si="94"/>
        <v>23.575949367088608</v>
      </c>
      <c r="S115" s="45">
        <f t="shared" si="95"/>
        <v>5.8566836244191594</v>
      </c>
      <c r="T115" s="94"/>
      <c r="U115" s="45">
        <f t="shared" si="96"/>
        <v>48.655063291139236</v>
      </c>
      <c r="V115" s="45">
        <f t="shared" si="97"/>
        <v>12.08677996314692</v>
      </c>
      <c r="W115" s="94"/>
      <c r="X115" s="54">
        <v>43.6</v>
      </c>
      <c r="Y115" s="54">
        <v>35.1</v>
      </c>
      <c r="Z115" s="54">
        <f t="shared" si="98"/>
        <v>8.5</v>
      </c>
      <c r="AA115" s="54">
        <f t="shared" si="99"/>
        <v>6.8983085643326332</v>
      </c>
      <c r="AB115" s="54">
        <f t="shared" si="100"/>
        <v>28.201691435667367</v>
      </c>
      <c r="AC115" s="54">
        <f t="shared" si="101"/>
        <v>0.24460619959865862</v>
      </c>
      <c r="AD115" s="54">
        <v>22.4</v>
      </c>
      <c r="AE115" s="54">
        <f t="shared" si="113"/>
        <v>5.4791788710099532</v>
      </c>
      <c r="AF115" s="54">
        <f t="shared" si="114"/>
        <v>16.920821128990045</v>
      </c>
      <c r="AG115" s="54">
        <v>22.2</v>
      </c>
      <c r="AH115" s="54">
        <f t="shared" si="102"/>
        <v>0.24460619959865862</v>
      </c>
      <c r="AI115" s="54">
        <v>4.3</v>
      </c>
      <c r="AJ115" s="54">
        <f t="shared" si="103"/>
        <v>1.051806658274232</v>
      </c>
      <c r="AL115" s="45">
        <v>40.200000000000003</v>
      </c>
      <c r="AM115" s="45">
        <v>29.8</v>
      </c>
      <c r="AN115" s="45">
        <f t="shared" si="104"/>
        <v>10.400000000000002</v>
      </c>
      <c r="AO115" s="52">
        <f t="shared" si="105"/>
        <v>5.8566836244191594</v>
      </c>
      <c r="AP115" s="52">
        <f t="shared" si="106"/>
        <v>23.943316375580842</v>
      </c>
      <c r="AQ115" s="54">
        <f t="shared" si="107"/>
        <v>0.24460619959865865</v>
      </c>
      <c r="AR115" s="45">
        <v>8.1</v>
      </c>
      <c r="AS115" s="52">
        <f t="shared" si="88"/>
        <v>1.981310216749135</v>
      </c>
      <c r="AU115" s="52">
        <v>81.2</v>
      </c>
      <c r="AV115" s="52">
        <v>61.5</v>
      </c>
      <c r="AW115" s="52">
        <f t="shared" si="108"/>
        <v>19.700000000000003</v>
      </c>
      <c r="AX115" s="52">
        <f t="shared" si="109"/>
        <v>12.08677996314692</v>
      </c>
      <c r="AY115" s="52">
        <f t="shared" si="110"/>
        <v>49.413220036853076</v>
      </c>
      <c r="AZ115" s="54">
        <f t="shared" si="111"/>
        <v>0.24460619959865862</v>
      </c>
      <c r="BA115" s="52">
        <v>19.5</v>
      </c>
      <c r="BB115" s="52">
        <f t="shared" si="112"/>
        <v>4.7698208921738434</v>
      </c>
      <c r="BE115" s="1" t="s">
        <v>17</v>
      </c>
    </row>
    <row r="116" spans="1:57" ht="15" customHeight="1" x14ac:dyDescent="0.35">
      <c r="A116" s="45" t="s">
        <v>54</v>
      </c>
      <c r="B116" s="46" t="s">
        <v>64</v>
      </c>
      <c r="C116" s="45" t="str">
        <f t="shared" si="89"/>
        <v>TKB_8-24_G</v>
      </c>
      <c r="D116" s="47">
        <v>45505</v>
      </c>
      <c r="E116" s="45" t="s">
        <v>17</v>
      </c>
      <c r="F116" s="45"/>
      <c r="G116" s="45"/>
      <c r="H116" s="45" t="str">
        <f t="shared" si="90"/>
        <v>C,N,S</v>
      </c>
      <c r="I116" s="45">
        <v>128.80000000000001</v>
      </c>
      <c r="J116" s="45"/>
      <c r="K116" s="45">
        <v>157.5</v>
      </c>
      <c r="L116" s="45">
        <f t="shared" si="87"/>
        <v>28.699999999999989</v>
      </c>
      <c r="M116" s="45">
        <f t="shared" si="91"/>
        <v>127.8</v>
      </c>
      <c r="O116" s="45">
        <f t="shared" si="92"/>
        <v>22.691705790297341</v>
      </c>
      <c r="P116" s="45">
        <f t="shared" si="93"/>
        <v>5.0958682017334391</v>
      </c>
      <c r="Q116" s="94"/>
      <c r="R116" s="45">
        <f t="shared" si="94"/>
        <v>23.865414710485133</v>
      </c>
      <c r="S116" s="45">
        <f t="shared" si="95"/>
        <v>5.3594475914782711</v>
      </c>
      <c r="T116" s="94"/>
      <c r="U116" s="45">
        <f t="shared" si="96"/>
        <v>53.442879499217518</v>
      </c>
      <c r="V116" s="45">
        <f t="shared" si="97"/>
        <v>12.00164821304806</v>
      </c>
      <c r="W116" s="94"/>
      <c r="X116" s="54">
        <v>38.1</v>
      </c>
      <c r="Y116" s="54">
        <v>29</v>
      </c>
      <c r="Z116" s="54">
        <f t="shared" si="98"/>
        <v>9.1000000000000014</v>
      </c>
      <c r="AA116" s="54">
        <f t="shared" si="99"/>
        <v>5.0958682017334391</v>
      </c>
      <c r="AB116" s="54">
        <f t="shared" si="100"/>
        <v>23.904131798266562</v>
      </c>
      <c r="AC116" s="54">
        <f t="shared" si="101"/>
        <v>0.2131793885985423</v>
      </c>
      <c r="AD116" s="54">
        <v>21.2</v>
      </c>
      <c r="AE116" s="54">
        <f t="shared" si="113"/>
        <v>4.5194030382890968</v>
      </c>
      <c r="AF116" s="54">
        <f t="shared" si="114"/>
        <v>16.680596961710904</v>
      </c>
      <c r="AG116" s="54">
        <v>20.8</v>
      </c>
      <c r="AH116" s="54">
        <f t="shared" si="102"/>
        <v>0.2131793885985423</v>
      </c>
      <c r="AI116" s="54">
        <v>3.9</v>
      </c>
      <c r="AJ116" s="54">
        <f t="shared" si="103"/>
        <v>0.83139961553431496</v>
      </c>
      <c r="AL116" s="45">
        <v>38.6</v>
      </c>
      <c r="AM116" s="45">
        <v>30.5</v>
      </c>
      <c r="AN116" s="45">
        <f t="shared" si="104"/>
        <v>8.1000000000000014</v>
      </c>
      <c r="AO116" s="52">
        <f t="shared" si="105"/>
        <v>5.3594475914782711</v>
      </c>
      <c r="AP116" s="52">
        <f t="shared" si="106"/>
        <v>25.140552408521728</v>
      </c>
      <c r="AQ116" s="54">
        <f t="shared" si="107"/>
        <v>0.21317938859854227</v>
      </c>
      <c r="AR116" s="45">
        <v>8.3000000000000007</v>
      </c>
      <c r="AS116" s="52">
        <f t="shared" si="88"/>
        <v>1.7693889253679009</v>
      </c>
      <c r="AU116" s="52">
        <v>81.8</v>
      </c>
      <c r="AV116" s="52">
        <v>68.3</v>
      </c>
      <c r="AW116" s="52">
        <f t="shared" si="108"/>
        <v>13.5</v>
      </c>
      <c r="AX116" s="52">
        <f t="shared" si="109"/>
        <v>12.00164821304806</v>
      </c>
      <c r="AY116" s="52">
        <f t="shared" si="110"/>
        <v>56.29835178695194</v>
      </c>
      <c r="AZ116" s="54">
        <f t="shared" si="111"/>
        <v>0.21317938859854221</v>
      </c>
      <c r="BA116" s="52">
        <v>26.2</v>
      </c>
      <c r="BB116" s="52">
        <f t="shared" si="112"/>
        <v>5.585299981281806</v>
      </c>
      <c r="BE116" s="1" t="s">
        <v>17</v>
      </c>
    </row>
    <row r="117" spans="1:57" ht="15" customHeight="1" x14ac:dyDescent="0.35">
      <c r="A117" s="45" t="s">
        <v>45</v>
      </c>
      <c r="B117" s="46" t="s">
        <v>64</v>
      </c>
      <c r="C117" s="45" t="str">
        <f t="shared" si="89"/>
        <v>TSM1_8-24_G</v>
      </c>
      <c r="D117" s="47">
        <v>45505</v>
      </c>
      <c r="E117" s="45" t="s">
        <v>17</v>
      </c>
      <c r="F117" s="47">
        <v>45548</v>
      </c>
      <c r="G117" s="45"/>
      <c r="H117" s="45" t="str">
        <f t="shared" si="90"/>
        <v>C,N,S</v>
      </c>
      <c r="I117" s="45">
        <v>131.1</v>
      </c>
      <c r="J117" s="45"/>
      <c r="K117" s="45">
        <v>156.9</v>
      </c>
      <c r="L117" s="45">
        <f t="shared" si="87"/>
        <v>25.800000000000011</v>
      </c>
      <c r="M117" s="45">
        <f t="shared" si="91"/>
        <v>111.7</v>
      </c>
      <c r="O117" s="45">
        <f t="shared" si="92"/>
        <v>24.888093106535365</v>
      </c>
      <c r="P117" s="45">
        <f t="shared" si="93"/>
        <v>5.7485479153859682</v>
      </c>
      <c r="Q117" s="94"/>
      <c r="R117" s="45">
        <f t="shared" si="94"/>
        <v>24.888093106535365</v>
      </c>
      <c r="S117" s="45">
        <f t="shared" si="95"/>
        <v>5.7485479153859682</v>
      </c>
      <c r="T117" s="94"/>
      <c r="U117" s="45">
        <f t="shared" si="96"/>
        <v>50.22381378692927</v>
      </c>
      <c r="V117" s="45">
        <f t="shared" si="97"/>
        <v>11.600486980329237</v>
      </c>
      <c r="W117" s="94"/>
      <c r="X117" s="54">
        <v>27.8</v>
      </c>
      <c r="Y117" s="54">
        <v>27.8</v>
      </c>
      <c r="Z117" s="54">
        <f t="shared" si="98"/>
        <v>0</v>
      </c>
      <c r="AA117" s="54">
        <f t="shared" si="99"/>
        <v>5.7485479153859682</v>
      </c>
      <c r="AB117" s="54">
        <f t="shared" si="100"/>
        <v>22.051452084614034</v>
      </c>
      <c r="AC117" s="54">
        <f t="shared" si="101"/>
        <v>0.26068795348841922</v>
      </c>
      <c r="AD117" s="54">
        <v>17.899999999999999</v>
      </c>
      <c r="AE117" s="54">
        <f t="shared" si="113"/>
        <v>4.6663143674427037</v>
      </c>
      <c r="AF117" s="54">
        <f t="shared" si="114"/>
        <v>13.233685632557295</v>
      </c>
      <c r="AG117" s="54">
        <v>18</v>
      </c>
      <c r="AH117" s="54">
        <f t="shared" si="102"/>
        <v>0.26068795348841922</v>
      </c>
      <c r="AI117" s="54">
        <v>4.2</v>
      </c>
      <c r="AJ117" s="54">
        <f t="shared" si="103"/>
        <v>1.0948894046513609</v>
      </c>
      <c r="AL117" s="45">
        <v>27.8</v>
      </c>
      <c r="AM117" s="45">
        <v>27.8</v>
      </c>
      <c r="AN117" s="45">
        <f t="shared" si="104"/>
        <v>0</v>
      </c>
      <c r="AO117" s="52">
        <f t="shared" si="105"/>
        <v>5.7485479153859682</v>
      </c>
      <c r="AP117" s="52">
        <f t="shared" si="106"/>
        <v>22.051452084614034</v>
      </c>
      <c r="AQ117" s="54">
        <f t="shared" si="107"/>
        <v>0.26068795348841922</v>
      </c>
      <c r="AR117" s="45">
        <v>6.1</v>
      </c>
      <c r="AS117" s="52">
        <f t="shared" si="88"/>
        <v>1.5901965162793572</v>
      </c>
      <c r="AU117" s="52">
        <v>56.1</v>
      </c>
      <c r="AV117" s="52">
        <v>56.1</v>
      </c>
      <c r="AW117" s="52">
        <f t="shared" si="108"/>
        <v>0</v>
      </c>
      <c r="AX117" s="52">
        <f t="shared" si="109"/>
        <v>11.600486980329237</v>
      </c>
      <c r="AY117" s="52">
        <f t="shared" si="110"/>
        <v>44.499513019670765</v>
      </c>
      <c r="AZ117" s="54">
        <f t="shared" si="111"/>
        <v>0.26068795348841917</v>
      </c>
      <c r="BA117" s="52">
        <v>20.100000000000001</v>
      </c>
      <c r="BB117" s="52">
        <f t="shared" si="112"/>
        <v>5.2398278651172259</v>
      </c>
      <c r="BE117" s="1" t="s">
        <v>17</v>
      </c>
    </row>
    <row r="118" spans="1:57" ht="15" customHeight="1" x14ac:dyDescent="0.35">
      <c r="A118" s="45" t="s">
        <v>32</v>
      </c>
      <c r="B118" s="46" t="s">
        <v>64</v>
      </c>
      <c r="C118" s="45" t="str">
        <f t="shared" si="89"/>
        <v>DC2_8-24_G</v>
      </c>
      <c r="D118" s="47">
        <v>45505</v>
      </c>
      <c r="E118" s="45" t="s">
        <v>17</v>
      </c>
      <c r="F118" s="45"/>
      <c r="G118" s="45"/>
      <c r="H118" s="45" t="str">
        <f t="shared" si="90"/>
        <v>C,N,S</v>
      </c>
      <c r="I118" s="45">
        <v>128.19999999999999</v>
      </c>
      <c r="J118" s="45"/>
      <c r="K118" s="45">
        <v>151.80000000000001</v>
      </c>
      <c r="L118" s="45">
        <f t="shared" ref="L118:L140" si="115">K118-I118</f>
        <v>23.600000000000023</v>
      </c>
      <c r="M118" s="45">
        <f t="shared" si="91"/>
        <v>107.8</v>
      </c>
      <c r="O118" s="45">
        <f t="shared" si="92"/>
        <v>24.489795918367346</v>
      </c>
      <c r="P118" s="45">
        <f t="shared" si="93"/>
        <v>5.3614024459505565</v>
      </c>
      <c r="Q118" s="94"/>
      <c r="R118" s="45">
        <f t="shared" si="94"/>
        <v>25.881261595547311</v>
      </c>
      <c r="S118" s="45">
        <f t="shared" si="95"/>
        <v>5.6660275849250201</v>
      </c>
      <c r="T118" s="94"/>
      <c r="U118" s="45">
        <f t="shared" si="96"/>
        <v>49.628942486085343</v>
      </c>
      <c r="V118" s="45">
        <f t="shared" si="97"/>
        <v>10.864963290089195</v>
      </c>
      <c r="W118" s="94"/>
      <c r="X118" s="54">
        <v>37.1</v>
      </c>
      <c r="Y118" s="54">
        <v>26.4</v>
      </c>
      <c r="Z118" s="54">
        <f t="shared" si="98"/>
        <v>10.700000000000003</v>
      </c>
      <c r="AA118" s="54">
        <f t="shared" si="99"/>
        <v>5.3614024459505565</v>
      </c>
      <c r="AB118" s="54">
        <f t="shared" si="100"/>
        <v>21.038597554049442</v>
      </c>
      <c r="AC118" s="54">
        <f t="shared" si="101"/>
        <v>0.2548364943136911</v>
      </c>
      <c r="AD118" s="54">
        <v>19.2</v>
      </c>
      <c r="AE118" s="54">
        <f t="shared" si="113"/>
        <v>4.8928606908228689</v>
      </c>
      <c r="AF118" s="54">
        <f t="shared" si="114"/>
        <v>14.307139309177131</v>
      </c>
      <c r="AG118" s="54">
        <v>20.6</v>
      </c>
      <c r="AH118" s="54">
        <f t="shared" si="102"/>
        <v>0.2548364943136911</v>
      </c>
      <c r="AI118" s="54">
        <v>3.6</v>
      </c>
      <c r="AJ118" s="54">
        <f t="shared" si="103"/>
        <v>0.91741137952928797</v>
      </c>
      <c r="AL118" s="45">
        <v>39</v>
      </c>
      <c r="AM118" s="45">
        <v>27.9</v>
      </c>
      <c r="AN118" s="45">
        <f t="shared" si="104"/>
        <v>11.100000000000001</v>
      </c>
      <c r="AO118" s="52">
        <f t="shared" si="105"/>
        <v>5.6660275849250201</v>
      </c>
      <c r="AP118" s="52">
        <f t="shared" si="106"/>
        <v>22.23397241507498</v>
      </c>
      <c r="AQ118" s="54">
        <f t="shared" si="107"/>
        <v>0.2548364943136911</v>
      </c>
      <c r="AR118" s="45">
        <v>7.5</v>
      </c>
      <c r="AS118" s="52">
        <f t="shared" ref="AS118:AS140" si="116">AR118*AQ118</f>
        <v>1.9112737073526833</v>
      </c>
      <c r="AU118" s="52">
        <v>75.2</v>
      </c>
      <c r="AV118" s="52">
        <v>53.5</v>
      </c>
      <c r="AW118" s="52">
        <f t="shared" si="108"/>
        <v>21.700000000000003</v>
      </c>
      <c r="AX118" s="52">
        <f t="shared" si="109"/>
        <v>10.864963290089195</v>
      </c>
      <c r="AY118" s="52">
        <f t="shared" si="110"/>
        <v>42.635036709910807</v>
      </c>
      <c r="AZ118" s="54">
        <f t="shared" si="111"/>
        <v>0.25483649431369104</v>
      </c>
      <c r="BA118" s="52">
        <v>20.7</v>
      </c>
      <c r="BB118" s="52">
        <f t="shared" si="112"/>
        <v>5.2751154322934042</v>
      </c>
      <c r="BE118" s="1" t="s">
        <v>17</v>
      </c>
    </row>
    <row r="119" spans="1:57" ht="15" customHeight="1" x14ac:dyDescent="0.35">
      <c r="A119" s="45" t="s">
        <v>53</v>
      </c>
      <c r="B119" s="46" t="s">
        <v>64</v>
      </c>
      <c r="C119" s="45" t="str">
        <f t="shared" si="89"/>
        <v>WB2_8-24_G</v>
      </c>
      <c r="D119" s="47">
        <v>45505</v>
      </c>
      <c r="E119" s="45" t="s">
        <v>17</v>
      </c>
      <c r="F119" s="45"/>
      <c r="G119" s="45"/>
      <c r="H119" s="45" t="str">
        <f t="shared" si="90"/>
        <v>C,N,S</v>
      </c>
      <c r="I119" s="45">
        <v>129.1</v>
      </c>
      <c r="J119" s="45"/>
      <c r="K119" s="45">
        <v>150.69999999999999</v>
      </c>
      <c r="L119" s="45">
        <f t="shared" si="115"/>
        <v>21.599999999999994</v>
      </c>
      <c r="M119" s="45">
        <f t="shared" si="91"/>
        <v>102.4</v>
      </c>
      <c r="O119" s="45">
        <f t="shared" si="92"/>
        <v>25.292968749999993</v>
      </c>
      <c r="P119" s="45">
        <f t="shared" si="93"/>
        <v>5.3352355957031214</v>
      </c>
      <c r="Q119" s="94"/>
      <c r="R119" s="45">
        <f t="shared" si="94"/>
        <v>24.90234375</v>
      </c>
      <c r="S119" s="45">
        <f t="shared" si="95"/>
        <v>5.2528381347656232</v>
      </c>
      <c r="T119" s="94"/>
      <c r="U119" s="45">
        <f t="shared" si="96"/>
        <v>49.8046875</v>
      </c>
      <c r="V119" s="45">
        <f t="shared" si="97"/>
        <v>10.505676269531246</v>
      </c>
      <c r="W119" s="94"/>
      <c r="X119" s="54">
        <v>38</v>
      </c>
      <c r="Y119" s="54">
        <v>25.9</v>
      </c>
      <c r="Z119" s="54">
        <f t="shared" si="98"/>
        <v>12.100000000000001</v>
      </c>
      <c r="AA119" s="54">
        <f t="shared" si="99"/>
        <v>5.3352355957031214</v>
      </c>
      <c r="AB119" s="54">
        <f t="shared" si="100"/>
        <v>20.564764404296877</v>
      </c>
      <c r="AC119" s="54">
        <f t="shared" si="101"/>
        <v>0.25943577523253114</v>
      </c>
      <c r="AD119" s="54">
        <v>18.100000000000001</v>
      </c>
      <c r="AE119" s="54">
        <f t="shared" si="113"/>
        <v>4.695787531708814</v>
      </c>
      <c r="AF119" s="54">
        <f t="shared" si="114"/>
        <v>13.404212468291188</v>
      </c>
      <c r="AG119" s="54">
        <v>18.100000000000001</v>
      </c>
      <c r="AH119" s="54">
        <f t="shared" si="102"/>
        <v>0.25943577523253114</v>
      </c>
      <c r="AI119" s="54">
        <v>3.3</v>
      </c>
      <c r="AJ119" s="54">
        <f t="shared" si="103"/>
        <v>0.85613805826735268</v>
      </c>
      <c r="AL119" s="45">
        <v>37.4</v>
      </c>
      <c r="AM119" s="45">
        <v>25.5</v>
      </c>
      <c r="AN119" s="45">
        <f t="shared" si="104"/>
        <v>11.899999999999999</v>
      </c>
      <c r="AO119" s="52">
        <f t="shared" si="105"/>
        <v>5.2528381347656232</v>
      </c>
      <c r="AP119" s="52">
        <f t="shared" si="106"/>
        <v>20.247161865234375</v>
      </c>
      <c r="AQ119" s="54">
        <f t="shared" si="107"/>
        <v>0.25943577523253125</v>
      </c>
      <c r="AR119" s="45">
        <v>6.1</v>
      </c>
      <c r="AS119" s="52">
        <f t="shared" si="116"/>
        <v>1.5825582289184406</v>
      </c>
      <c r="AU119" s="52">
        <v>76.400000000000006</v>
      </c>
      <c r="AV119" s="52">
        <v>51</v>
      </c>
      <c r="AW119" s="52">
        <f t="shared" si="108"/>
        <v>25.400000000000006</v>
      </c>
      <c r="AX119" s="52">
        <f t="shared" si="109"/>
        <v>10.505676269531246</v>
      </c>
      <c r="AY119" s="52">
        <f t="shared" si="110"/>
        <v>40.49432373046875</v>
      </c>
      <c r="AZ119" s="54">
        <f t="shared" si="111"/>
        <v>0.25943577523253125</v>
      </c>
      <c r="BA119" s="52">
        <v>18.899999999999999</v>
      </c>
      <c r="BB119" s="52">
        <f t="shared" si="112"/>
        <v>4.9033361518948402</v>
      </c>
      <c r="BE119" s="1" t="s">
        <v>17</v>
      </c>
    </row>
    <row r="120" spans="1:57" ht="15" customHeight="1" x14ac:dyDescent="0.35">
      <c r="A120" s="45" t="s">
        <v>40</v>
      </c>
      <c r="B120" s="46" t="s">
        <v>64</v>
      </c>
      <c r="C120" s="45" t="str">
        <f t="shared" si="89"/>
        <v>TBCM_8-24_G</v>
      </c>
      <c r="D120" s="47">
        <v>45505</v>
      </c>
      <c r="E120" s="45" t="s">
        <v>17</v>
      </c>
      <c r="F120" s="45"/>
      <c r="G120" s="45"/>
      <c r="H120" s="45" t="str">
        <f t="shared" si="90"/>
        <v>C,N,S</v>
      </c>
      <c r="I120" s="45">
        <v>129.5</v>
      </c>
      <c r="J120" s="45"/>
      <c r="K120" s="45">
        <v>152</v>
      </c>
      <c r="L120" s="45">
        <f t="shared" si="115"/>
        <v>22.5</v>
      </c>
      <c r="M120" s="45">
        <f t="shared" si="91"/>
        <v>104.89999999999999</v>
      </c>
      <c r="O120" s="45">
        <f t="shared" si="92"/>
        <v>26.406101048617732</v>
      </c>
      <c r="P120" s="45">
        <f t="shared" si="93"/>
        <v>5.6638443621916021</v>
      </c>
      <c r="Q120" s="94"/>
      <c r="R120" s="45">
        <f t="shared" si="94"/>
        <v>24.690181124880837</v>
      </c>
      <c r="S120" s="45">
        <f t="shared" si="95"/>
        <v>5.295796714106948</v>
      </c>
      <c r="T120" s="94"/>
      <c r="U120" s="45">
        <f t="shared" si="96"/>
        <v>48.903717826501428</v>
      </c>
      <c r="V120" s="45">
        <f t="shared" si="97"/>
        <v>10.489357970412604</v>
      </c>
      <c r="W120" s="94"/>
      <c r="X120" s="54">
        <v>37.700000000000003</v>
      </c>
      <c r="Y120" s="54">
        <v>27.7</v>
      </c>
      <c r="Z120" s="54">
        <f t="shared" si="98"/>
        <v>10.000000000000004</v>
      </c>
      <c r="AA120" s="54">
        <f t="shared" si="99"/>
        <v>5.6638443621916021</v>
      </c>
      <c r="AB120" s="54">
        <f t="shared" si="100"/>
        <v>22.036155637808399</v>
      </c>
      <c r="AC120" s="54">
        <f t="shared" si="101"/>
        <v>0.25702506622679211</v>
      </c>
      <c r="AD120" s="54">
        <v>19.3</v>
      </c>
      <c r="AE120" s="54">
        <f t="shared" si="113"/>
        <v>4.9605837781770878</v>
      </c>
      <c r="AF120" s="54">
        <f t="shared" si="114"/>
        <v>14.339416221822912</v>
      </c>
      <c r="AG120" s="54">
        <v>17.7</v>
      </c>
      <c r="AH120" s="54">
        <f t="shared" si="102"/>
        <v>0.25702506622679211</v>
      </c>
      <c r="AI120" s="54">
        <v>4.0999999999999996</v>
      </c>
      <c r="AJ120" s="54">
        <f t="shared" si="103"/>
        <v>1.0538027715298475</v>
      </c>
      <c r="AL120" s="45">
        <v>36.9</v>
      </c>
      <c r="AM120" s="45">
        <v>25.9</v>
      </c>
      <c r="AN120" s="45">
        <f t="shared" si="104"/>
        <v>11</v>
      </c>
      <c r="AO120" s="52">
        <f t="shared" si="105"/>
        <v>5.295796714106948</v>
      </c>
      <c r="AP120" s="52">
        <f t="shared" si="106"/>
        <v>20.60420328589305</v>
      </c>
      <c r="AQ120" s="54">
        <f t="shared" si="107"/>
        <v>0.25702506622679205</v>
      </c>
      <c r="AR120" s="45">
        <v>5.8</v>
      </c>
      <c r="AS120" s="52">
        <f t="shared" si="116"/>
        <v>1.4907453841153939</v>
      </c>
      <c r="AU120" s="52">
        <v>78.099999999999994</v>
      </c>
      <c r="AV120" s="52">
        <v>51.3</v>
      </c>
      <c r="AW120" s="52">
        <f t="shared" si="108"/>
        <v>26.799999999999997</v>
      </c>
      <c r="AX120" s="52">
        <f t="shared" si="109"/>
        <v>10.489357970412604</v>
      </c>
      <c r="AY120" s="52">
        <f t="shared" si="110"/>
        <v>40.810642029587392</v>
      </c>
      <c r="AZ120" s="54">
        <f t="shared" si="111"/>
        <v>0.25702506622679205</v>
      </c>
      <c r="BA120" s="52">
        <v>17.8</v>
      </c>
      <c r="BB120" s="52">
        <f t="shared" si="112"/>
        <v>4.5750461788368986</v>
      </c>
      <c r="BE120" s="1" t="s">
        <v>17</v>
      </c>
    </row>
    <row r="121" spans="1:57" ht="18.75" customHeight="1" x14ac:dyDescent="0.35">
      <c r="A121" s="45" t="s">
        <v>26</v>
      </c>
      <c r="B121" s="46" t="s">
        <v>64</v>
      </c>
      <c r="C121" s="45" t="str">
        <f t="shared" si="89"/>
        <v>ACS3_8-24_G</v>
      </c>
      <c r="D121" s="47">
        <v>45505</v>
      </c>
      <c r="E121" s="47" t="s">
        <v>17</v>
      </c>
      <c r="F121" s="45"/>
      <c r="G121" s="45"/>
      <c r="H121" s="45" t="str">
        <f t="shared" si="90"/>
        <v>C,N,S</v>
      </c>
      <c r="I121" s="45">
        <v>133.1</v>
      </c>
      <c r="J121" s="45"/>
      <c r="K121" s="45">
        <v>156</v>
      </c>
      <c r="L121" s="45">
        <f t="shared" si="115"/>
        <v>22.900000000000006</v>
      </c>
      <c r="M121" s="45">
        <f t="shared" si="91"/>
        <v>112.80000000000001</v>
      </c>
      <c r="O121" s="45">
        <f t="shared" si="92"/>
        <v>24.999999999999996</v>
      </c>
      <c r="P121" s="45">
        <f t="shared" si="93"/>
        <v>5.0753546099290787</v>
      </c>
      <c r="Q121" s="94"/>
      <c r="R121" s="45">
        <f t="shared" si="94"/>
        <v>23.492907801418436</v>
      </c>
      <c r="S121" s="45">
        <f t="shared" si="95"/>
        <v>4.7693935164227153</v>
      </c>
      <c r="T121" s="94"/>
      <c r="U121" s="45">
        <f t="shared" si="96"/>
        <v>51.50709219858156</v>
      </c>
      <c r="V121" s="45">
        <f t="shared" si="97"/>
        <v>10.456670313364519</v>
      </c>
      <c r="W121" s="94"/>
      <c r="X121" s="54">
        <v>38.1</v>
      </c>
      <c r="Y121" s="54">
        <v>28.2</v>
      </c>
      <c r="Z121" s="54">
        <f t="shared" si="98"/>
        <v>9.9000000000000021</v>
      </c>
      <c r="AA121" s="54">
        <f t="shared" si="99"/>
        <v>5.0753546099290787</v>
      </c>
      <c r="AB121" s="54">
        <f t="shared" si="100"/>
        <v>23.124645390070921</v>
      </c>
      <c r="AC121" s="54">
        <f t="shared" si="101"/>
        <v>0.21947815952707733</v>
      </c>
      <c r="AD121" s="54">
        <v>17.8</v>
      </c>
      <c r="AE121" s="54">
        <f t="shared" si="113"/>
        <v>3.9067112395819765</v>
      </c>
      <c r="AF121" s="54">
        <f t="shared" si="114"/>
        <v>13.893288760418024</v>
      </c>
      <c r="AG121" s="54">
        <v>21.1</v>
      </c>
      <c r="AH121" s="54">
        <f t="shared" si="102"/>
        <v>0.21947815952707733</v>
      </c>
      <c r="AI121" s="54">
        <v>3.9</v>
      </c>
      <c r="AJ121" s="54">
        <f t="shared" si="103"/>
        <v>0.85596482215560155</v>
      </c>
      <c r="AL121" s="45">
        <v>39.5</v>
      </c>
      <c r="AM121" s="45">
        <v>26.5</v>
      </c>
      <c r="AN121" s="45">
        <f t="shared" si="104"/>
        <v>13</v>
      </c>
      <c r="AO121" s="52">
        <f t="shared" si="105"/>
        <v>4.7693935164227153</v>
      </c>
      <c r="AP121" s="52">
        <f t="shared" si="106"/>
        <v>21.730606483577283</v>
      </c>
      <c r="AQ121" s="54">
        <f t="shared" si="107"/>
        <v>0.2194781595270773</v>
      </c>
      <c r="AR121" s="45">
        <v>7.6</v>
      </c>
      <c r="AS121" s="52">
        <f t="shared" si="116"/>
        <v>1.6680340124057875</v>
      </c>
      <c r="AU121" s="52">
        <v>78.900000000000006</v>
      </c>
      <c r="AV121" s="52">
        <v>58.1</v>
      </c>
      <c r="AW121" s="52">
        <f t="shared" si="108"/>
        <v>20.800000000000004</v>
      </c>
      <c r="AX121" s="52">
        <f t="shared" si="109"/>
        <v>10.456670313364519</v>
      </c>
      <c r="AY121" s="52">
        <f t="shared" si="110"/>
        <v>47.643329686635482</v>
      </c>
      <c r="AZ121" s="54">
        <f t="shared" si="111"/>
        <v>0.21947815952707728</v>
      </c>
      <c r="BA121" s="52">
        <v>23.2</v>
      </c>
      <c r="BB121" s="52">
        <f t="shared" si="112"/>
        <v>5.0918933010281924</v>
      </c>
      <c r="BE121" s="1" t="s">
        <v>17</v>
      </c>
    </row>
    <row r="122" spans="1:57" ht="15" customHeight="1" x14ac:dyDescent="0.35">
      <c r="A122" s="45" t="s">
        <v>46</v>
      </c>
      <c r="B122" s="46" t="s">
        <v>64</v>
      </c>
      <c r="C122" s="45" t="str">
        <f t="shared" si="89"/>
        <v>TSM3_8-24_G</v>
      </c>
      <c r="D122" s="47">
        <v>45505</v>
      </c>
      <c r="E122" s="45" t="s">
        <v>17</v>
      </c>
      <c r="F122" s="47">
        <v>45548</v>
      </c>
      <c r="G122" s="45"/>
      <c r="H122" s="45" t="str">
        <f t="shared" si="90"/>
        <v>C,N,S</v>
      </c>
      <c r="I122" s="45">
        <v>133.80000000000001</v>
      </c>
      <c r="J122" s="45"/>
      <c r="K122" s="45">
        <v>157.9</v>
      </c>
      <c r="L122" s="45">
        <f t="shared" si="115"/>
        <v>24.099999999999994</v>
      </c>
      <c r="M122" s="45">
        <f t="shared" si="91"/>
        <v>119.89999999999999</v>
      </c>
      <c r="O122" s="45">
        <f t="shared" si="92"/>
        <v>27.356130108423688</v>
      </c>
      <c r="P122" s="45">
        <f t="shared" si="93"/>
        <v>5.4986049675814073</v>
      </c>
      <c r="Q122" s="94"/>
      <c r="R122" s="45">
        <f t="shared" si="94"/>
        <v>26.105087572977482</v>
      </c>
      <c r="S122" s="45">
        <f t="shared" si="95"/>
        <v>5.2471443745517696</v>
      </c>
      <c r="T122" s="94"/>
      <c r="U122" s="45">
        <f t="shared" si="96"/>
        <v>46.538782318598834</v>
      </c>
      <c r="V122" s="45">
        <f t="shared" si="97"/>
        <v>9.3543340607025165</v>
      </c>
      <c r="W122" s="94"/>
      <c r="X122" s="54">
        <v>40.799999999999997</v>
      </c>
      <c r="Y122" s="54">
        <v>32.799999999999997</v>
      </c>
      <c r="Z122" s="54">
        <f t="shared" si="98"/>
        <v>8</v>
      </c>
      <c r="AA122" s="54">
        <f t="shared" si="99"/>
        <v>5.4986049675814073</v>
      </c>
      <c r="AB122" s="54">
        <f t="shared" si="100"/>
        <v>27.30139503241859</v>
      </c>
      <c r="AC122" s="54">
        <f t="shared" si="101"/>
        <v>0.20140380962409357</v>
      </c>
      <c r="AD122" s="54">
        <v>23.2</v>
      </c>
      <c r="AE122" s="54">
        <f t="shared" si="113"/>
        <v>4.6725683832789704</v>
      </c>
      <c r="AF122" s="54">
        <f t="shared" si="114"/>
        <v>18.527431616721028</v>
      </c>
      <c r="AG122" s="54">
        <v>22.8</v>
      </c>
      <c r="AH122" s="54">
        <f t="shared" si="102"/>
        <v>0.20140380962409357</v>
      </c>
      <c r="AI122" s="54">
        <v>5.0999999999999996</v>
      </c>
      <c r="AJ122" s="54">
        <f t="shared" si="103"/>
        <v>1.0271594290828772</v>
      </c>
      <c r="AL122" s="45">
        <v>39.6</v>
      </c>
      <c r="AM122" s="45">
        <v>31.3</v>
      </c>
      <c r="AN122" s="45">
        <f t="shared" si="104"/>
        <v>8.3000000000000007</v>
      </c>
      <c r="AO122" s="52">
        <f t="shared" si="105"/>
        <v>5.2471443745517696</v>
      </c>
      <c r="AP122" s="52">
        <f t="shared" si="106"/>
        <v>26.052855625448231</v>
      </c>
      <c r="AQ122" s="54">
        <f t="shared" si="107"/>
        <v>0.20140380962409352</v>
      </c>
      <c r="AR122" s="45">
        <v>8</v>
      </c>
      <c r="AS122" s="52">
        <f t="shared" si="116"/>
        <v>1.6112304769927481</v>
      </c>
      <c r="AU122" s="52">
        <v>77.8</v>
      </c>
      <c r="AV122" s="52">
        <v>55.8</v>
      </c>
      <c r="AW122" s="52">
        <f t="shared" si="108"/>
        <v>22</v>
      </c>
      <c r="AX122" s="52">
        <f t="shared" si="109"/>
        <v>9.3543340607025165</v>
      </c>
      <c r="AY122" s="52">
        <f t="shared" si="110"/>
        <v>46.445665939297484</v>
      </c>
      <c r="AZ122" s="54">
        <f t="shared" si="111"/>
        <v>0.20140380962409354</v>
      </c>
      <c r="BA122" s="52">
        <v>26.5</v>
      </c>
      <c r="BB122" s="52">
        <f t="shared" si="112"/>
        <v>5.3372009550384787</v>
      </c>
      <c r="BE122" s="1" t="s">
        <v>17</v>
      </c>
    </row>
    <row r="123" spans="1:57" ht="14.5" x14ac:dyDescent="0.35">
      <c r="A123" s="45" t="s">
        <v>37</v>
      </c>
      <c r="B123" s="46" t="s">
        <v>64</v>
      </c>
      <c r="C123" s="45" t="str">
        <f t="shared" si="89"/>
        <v>MCS3_8-24_G</v>
      </c>
      <c r="D123" s="47">
        <v>45505</v>
      </c>
      <c r="E123" s="45" t="s">
        <v>17</v>
      </c>
      <c r="F123" s="45"/>
      <c r="G123" s="45"/>
      <c r="H123" s="45" t="str">
        <f t="shared" si="90"/>
        <v>C,N,S</v>
      </c>
      <c r="I123" s="45">
        <v>133.30000000000001</v>
      </c>
      <c r="J123" s="45"/>
      <c r="K123" s="45">
        <v>149</v>
      </c>
      <c r="L123" s="45">
        <f t="shared" si="115"/>
        <v>15.699999999999989</v>
      </c>
      <c r="M123" s="45">
        <f t="shared" si="91"/>
        <v>112.1</v>
      </c>
      <c r="O123" s="45">
        <f t="shared" si="92"/>
        <v>23.104371097234612</v>
      </c>
      <c r="P123" s="45">
        <f t="shared" si="93"/>
        <v>3.2358485836448097</v>
      </c>
      <c r="Q123" s="94"/>
      <c r="R123" s="45">
        <f t="shared" si="94"/>
        <v>24.442462087421944</v>
      </c>
      <c r="S123" s="45">
        <f t="shared" si="95"/>
        <v>3.4232529417709565</v>
      </c>
      <c r="T123" s="94"/>
      <c r="U123" s="45">
        <f t="shared" si="96"/>
        <v>52.453166815343444</v>
      </c>
      <c r="V123" s="45">
        <f t="shared" si="97"/>
        <v>7.3462508385449734</v>
      </c>
      <c r="W123" s="94"/>
      <c r="X123" s="54">
        <v>35.799999999999997</v>
      </c>
      <c r="Y123" s="54">
        <v>25.9</v>
      </c>
      <c r="Z123" s="54">
        <f t="shared" si="98"/>
        <v>9.8999999999999986</v>
      </c>
      <c r="AA123" s="54">
        <f t="shared" si="99"/>
        <v>3.2358485836448097</v>
      </c>
      <c r="AB123" s="54">
        <f t="shared" si="100"/>
        <v>22.664151416355189</v>
      </c>
      <c r="AC123" s="54">
        <f t="shared" si="101"/>
        <v>0.14277386892631314</v>
      </c>
      <c r="AD123" s="54">
        <v>18.100000000000001</v>
      </c>
      <c r="AE123" s="54">
        <f t="shared" si="113"/>
        <v>2.5842070275662681</v>
      </c>
      <c r="AF123" s="54">
        <f t="shared" si="114"/>
        <v>15.515792972433733</v>
      </c>
      <c r="AG123" s="54">
        <v>18.600000000000001</v>
      </c>
      <c r="AH123" s="54">
        <f t="shared" si="102"/>
        <v>0.14277386892631314</v>
      </c>
      <c r="AI123" s="54">
        <v>5.6</v>
      </c>
      <c r="AJ123" s="54">
        <f t="shared" si="103"/>
        <v>0.79953366598735354</v>
      </c>
      <c r="AL123" s="45">
        <v>36.299999999999997</v>
      </c>
      <c r="AM123" s="45">
        <v>27.4</v>
      </c>
      <c r="AN123" s="45">
        <f t="shared" si="104"/>
        <v>8.8999999999999986</v>
      </c>
      <c r="AO123" s="52">
        <f t="shared" si="105"/>
        <v>3.4232529417709565</v>
      </c>
      <c r="AP123" s="52">
        <f t="shared" si="106"/>
        <v>23.976747058229041</v>
      </c>
      <c r="AQ123" s="54">
        <f t="shared" si="107"/>
        <v>0.14277386892631311</v>
      </c>
      <c r="AR123" s="45">
        <v>11.1</v>
      </c>
      <c r="AS123" s="52">
        <f t="shared" si="116"/>
        <v>1.5847899450820755</v>
      </c>
      <c r="AU123" s="52">
        <v>77.099999999999994</v>
      </c>
      <c r="AV123" s="52">
        <v>58.8</v>
      </c>
      <c r="AW123" s="52">
        <f t="shared" si="108"/>
        <v>18.299999999999997</v>
      </c>
      <c r="AX123" s="52">
        <f t="shared" si="109"/>
        <v>7.3462508385449734</v>
      </c>
      <c r="AY123" s="52">
        <f t="shared" si="110"/>
        <v>51.453749161455022</v>
      </c>
      <c r="AZ123" s="54">
        <f t="shared" si="111"/>
        <v>0.14277386892631314</v>
      </c>
      <c r="BA123" s="52">
        <v>36.700000000000003</v>
      </c>
      <c r="BB123" s="52">
        <f t="shared" si="112"/>
        <v>5.2398009895956923</v>
      </c>
      <c r="BE123" s="1" t="s">
        <v>17</v>
      </c>
    </row>
    <row r="124" spans="1:57" ht="15" customHeight="1" x14ac:dyDescent="0.35">
      <c r="A124" s="45" t="s">
        <v>52</v>
      </c>
      <c r="B124" s="46" t="s">
        <v>64</v>
      </c>
      <c r="C124" s="45" t="str">
        <f t="shared" si="89"/>
        <v>WB1_8-24_G</v>
      </c>
      <c r="D124" s="47">
        <v>45505</v>
      </c>
      <c r="E124" s="45" t="s">
        <v>17</v>
      </c>
      <c r="F124" s="45"/>
      <c r="G124" s="45"/>
      <c r="H124" s="45" t="str">
        <f t="shared" si="90"/>
        <v>C,N,S</v>
      </c>
      <c r="I124" s="45">
        <v>135.30000000000001</v>
      </c>
      <c r="J124" s="45"/>
      <c r="K124" s="45">
        <v>151.6</v>
      </c>
      <c r="L124" s="45">
        <f t="shared" si="115"/>
        <v>16.299999999999983</v>
      </c>
      <c r="M124" s="45">
        <f t="shared" si="91"/>
        <v>109.3</v>
      </c>
      <c r="O124" s="45">
        <f t="shared" si="92"/>
        <v>25.617566331198539</v>
      </c>
      <c r="P124" s="45">
        <f t="shared" si="93"/>
        <v>3.8203689954120383</v>
      </c>
      <c r="Q124" s="94"/>
      <c r="R124" s="45">
        <f t="shared" si="94"/>
        <v>25.526075022872824</v>
      </c>
      <c r="S124" s="45">
        <f t="shared" si="95"/>
        <v>3.8067248204284225</v>
      </c>
      <c r="T124" s="94"/>
      <c r="U124" s="45">
        <f t="shared" si="96"/>
        <v>48.856358645928637</v>
      </c>
      <c r="V124" s="45">
        <f t="shared" si="97"/>
        <v>7.2859894412501003</v>
      </c>
      <c r="W124" s="94"/>
      <c r="X124" s="54">
        <v>40</v>
      </c>
      <c r="Y124" s="54">
        <v>28</v>
      </c>
      <c r="Z124" s="54">
        <f t="shared" si="98"/>
        <v>12</v>
      </c>
      <c r="AA124" s="54">
        <f t="shared" si="99"/>
        <v>3.8203689954120383</v>
      </c>
      <c r="AB124" s="54">
        <f t="shared" si="100"/>
        <v>24.179631004587961</v>
      </c>
      <c r="AC124" s="54">
        <f t="shared" si="101"/>
        <v>0.15799947462751368</v>
      </c>
      <c r="AD124" s="54">
        <v>16.5</v>
      </c>
      <c r="AE124" s="54">
        <f t="shared" si="113"/>
        <v>2.6069913313539756</v>
      </c>
      <c r="AF124" s="54">
        <f t="shared" si="114"/>
        <v>13.893008668646024</v>
      </c>
      <c r="AG124" s="54">
        <v>16.8</v>
      </c>
      <c r="AH124" s="54">
        <f t="shared" si="102"/>
        <v>0.15799947462751368</v>
      </c>
      <c r="AI124" s="54">
        <v>6.2</v>
      </c>
      <c r="AJ124" s="54">
        <f t="shared" si="103"/>
        <v>0.97959674269058483</v>
      </c>
      <c r="AL124" s="45">
        <v>39</v>
      </c>
      <c r="AM124" s="45">
        <v>27.9</v>
      </c>
      <c r="AN124" s="45">
        <f t="shared" si="104"/>
        <v>11.100000000000001</v>
      </c>
      <c r="AO124" s="52">
        <f t="shared" si="105"/>
        <v>3.8067248204284225</v>
      </c>
      <c r="AP124" s="52">
        <f t="shared" si="106"/>
        <v>24.093275179571577</v>
      </c>
      <c r="AQ124" s="54">
        <f t="shared" si="107"/>
        <v>0.1579994746275136</v>
      </c>
      <c r="AR124" s="45">
        <v>10.4</v>
      </c>
      <c r="AS124" s="52">
        <f t="shared" si="116"/>
        <v>1.6431945361261415</v>
      </c>
      <c r="AU124" s="52">
        <v>72.5</v>
      </c>
      <c r="AV124" s="52">
        <v>53.4</v>
      </c>
      <c r="AW124" s="52">
        <f t="shared" si="108"/>
        <v>19.100000000000001</v>
      </c>
      <c r="AX124" s="52">
        <f t="shared" si="109"/>
        <v>7.2859894412501003</v>
      </c>
      <c r="AY124" s="52">
        <f t="shared" si="110"/>
        <v>46.114010558749897</v>
      </c>
      <c r="AZ124" s="54">
        <f t="shared" si="111"/>
        <v>0.15799947462751363</v>
      </c>
      <c r="BA124" s="52">
        <v>32.4</v>
      </c>
      <c r="BB124" s="52">
        <f t="shared" si="112"/>
        <v>5.1191829779314411</v>
      </c>
      <c r="BE124" s="1" t="s">
        <v>17</v>
      </c>
    </row>
    <row r="125" spans="1:57" ht="15" customHeight="1" x14ac:dyDescent="0.35">
      <c r="A125" s="45" t="s">
        <v>35</v>
      </c>
      <c r="B125" s="46" t="s">
        <v>64</v>
      </c>
      <c r="C125" s="45" t="str">
        <f t="shared" si="89"/>
        <v>MCS1_8-24_G</v>
      </c>
      <c r="D125" s="47">
        <v>45505</v>
      </c>
      <c r="E125" s="45" t="s">
        <v>17</v>
      </c>
      <c r="F125" s="45"/>
      <c r="G125" s="45"/>
      <c r="H125" s="45" t="str">
        <f t="shared" si="90"/>
        <v>C,N,S</v>
      </c>
      <c r="I125" s="45">
        <v>128.69999999999999</v>
      </c>
      <c r="J125" s="45"/>
      <c r="K125" s="45">
        <v>144.1</v>
      </c>
      <c r="L125" s="45">
        <f t="shared" si="115"/>
        <v>15.400000000000006</v>
      </c>
      <c r="M125" s="45">
        <f t="shared" si="91"/>
        <v>101.80000000000001</v>
      </c>
      <c r="O125" s="45">
        <f t="shared" si="92"/>
        <v>26.031434184675835</v>
      </c>
      <c r="P125" s="45">
        <f t="shared" si="93"/>
        <v>3.9379576271513552</v>
      </c>
      <c r="Q125" s="94"/>
      <c r="R125" s="45">
        <f t="shared" si="94"/>
        <v>26.2278978388998</v>
      </c>
      <c r="S125" s="45">
        <f t="shared" si="95"/>
        <v>3.9676780620732517</v>
      </c>
      <c r="T125" s="94"/>
      <c r="U125" s="45">
        <f t="shared" si="96"/>
        <v>47.740667976424355</v>
      </c>
      <c r="V125" s="45">
        <f t="shared" si="97"/>
        <v>7.2220656860209749</v>
      </c>
      <c r="W125" s="94"/>
      <c r="X125" s="54">
        <v>36.1</v>
      </c>
      <c r="Y125" s="54">
        <v>26.5</v>
      </c>
      <c r="Z125" s="54">
        <f t="shared" si="98"/>
        <v>9.6000000000000014</v>
      </c>
      <c r="AA125" s="54">
        <f t="shared" si="99"/>
        <v>3.9379576271513552</v>
      </c>
      <c r="AB125" s="54">
        <f t="shared" si="100"/>
        <v>22.562042372848644</v>
      </c>
      <c r="AC125" s="54">
        <f t="shared" si="101"/>
        <v>0.17453905821444282</v>
      </c>
      <c r="AD125" s="54">
        <v>19.100000000000001</v>
      </c>
      <c r="AE125" s="54">
        <f t="shared" si="113"/>
        <v>3.3336960118958583</v>
      </c>
      <c r="AF125" s="54">
        <f t="shared" si="114"/>
        <v>15.766303988104143</v>
      </c>
      <c r="AG125" s="54">
        <v>19.3</v>
      </c>
      <c r="AH125" s="54">
        <f t="shared" si="102"/>
        <v>0.17453905821444282</v>
      </c>
      <c r="AI125" s="54">
        <v>5.3</v>
      </c>
      <c r="AJ125" s="54">
        <f t="shared" si="103"/>
        <v>0.92505700853654693</v>
      </c>
      <c r="AL125" s="45">
        <v>36.6</v>
      </c>
      <c r="AM125" s="45">
        <v>26.7</v>
      </c>
      <c r="AN125" s="45">
        <f t="shared" si="104"/>
        <v>9.9000000000000021</v>
      </c>
      <c r="AO125" s="52">
        <f t="shared" si="105"/>
        <v>3.9676780620732517</v>
      </c>
      <c r="AP125" s="52">
        <f t="shared" si="106"/>
        <v>22.732321937926748</v>
      </c>
      <c r="AQ125" s="54">
        <f t="shared" si="107"/>
        <v>0.17453905821444279</v>
      </c>
      <c r="AR125" s="45">
        <v>8.6</v>
      </c>
      <c r="AS125" s="52">
        <f t="shared" si="116"/>
        <v>1.501035900644208</v>
      </c>
      <c r="AU125" s="52">
        <v>71.5</v>
      </c>
      <c r="AV125" s="52">
        <v>48.6</v>
      </c>
      <c r="AW125" s="52">
        <f t="shared" si="108"/>
        <v>22.9</v>
      </c>
      <c r="AX125" s="52">
        <f t="shared" si="109"/>
        <v>7.2220656860209749</v>
      </c>
      <c r="AY125" s="52">
        <f t="shared" si="110"/>
        <v>41.377934313979026</v>
      </c>
      <c r="AZ125" s="54">
        <f t="shared" si="111"/>
        <v>0.17453905821444279</v>
      </c>
      <c r="BA125" s="52">
        <v>27.4</v>
      </c>
      <c r="BB125" s="52">
        <f t="shared" si="112"/>
        <v>4.7823701950757327</v>
      </c>
      <c r="BE125" s="1" t="s">
        <v>17</v>
      </c>
    </row>
    <row r="126" spans="1:57" ht="15" customHeight="1" x14ac:dyDescent="0.35">
      <c r="A126" s="45" t="s">
        <v>41</v>
      </c>
      <c r="B126" s="46" t="s">
        <v>64</v>
      </c>
      <c r="C126" s="45" t="str">
        <f t="shared" si="89"/>
        <v>TB1_8-24_G</v>
      </c>
      <c r="D126" s="47">
        <v>45505</v>
      </c>
      <c r="E126" s="45" t="s">
        <v>17</v>
      </c>
      <c r="F126" s="45"/>
      <c r="G126" s="45"/>
      <c r="H126" s="45" t="str">
        <f t="shared" si="90"/>
        <v>C,N,S</v>
      </c>
      <c r="I126" s="45">
        <v>133.6</v>
      </c>
      <c r="J126" s="45"/>
      <c r="K126" s="45">
        <v>147.9</v>
      </c>
      <c r="L126" s="45">
        <f t="shared" si="115"/>
        <v>14.300000000000011</v>
      </c>
      <c r="M126" s="45">
        <f t="shared" si="91"/>
        <v>107</v>
      </c>
      <c r="O126" s="45">
        <f t="shared" si="92"/>
        <v>23.551401869158877</v>
      </c>
      <c r="P126" s="45">
        <f t="shared" si="93"/>
        <v>3.1475238012053475</v>
      </c>
      <c r="Q126" s="94"/>
      <c r="R126" s="45">
        <f t="shared" si="94"/>
        <v>22.523364485981308</v>
      </c>
      <c r="S126" s="45">
        <f t="shared" si="95"/>
        <v>3.0101318892479716</v>
      </c>
      <c r="T126" s="94"/>
      <c r="U126" s="45">
        <f t="shared" si="96"/>
        <v>53.925233644859816</v>
      </c>
      <c r="V126" s="45">
        <f t="shared" si="97"/>
        <v>7.2068302908551019</v>
      </c>
      <c r="W126" s="94"/>
      <c r="X126" s="54">
        <v>38.4</v>
      </c>
      <c r="Y126" s="54">
        <v>25.2</v>
      </c>
      <c r="Z126" s="54">
        <f t="shared" si="98"/>
        <v>13.2</v>
      </c>
      <c r="AA126" s="54">
        <f t="shared" si="99"/>
        <v>3.1475238012053475</v>
      </c>
      <c r="AB126" s="54">
        <f t="shared" si="100"/>
        <v>22.05247619879465</v>
      </c>
      <c r="AC126" s="54">
        <f t="shared" si="101"/>
        <v>0.14272881525102318</v>
      </c>
      <c r="AD126" s="54">
        <v>16.3</v>
      </c>
      <c r="AE126" s="54">
        <f t="shared" si="113"/>
        <v>2.3264796885916779</v>
      </c>
      <c r="AF126" s="54">
        <f t="shared" si="114"/>
        <v>13.973520311408322</v>
      </c>
      <c r="AG126" s="54">
        <v>16.100000000000001</v>
      </c>
      <c r="AH126" s="54">
        <f t="shared" si="102"/>
        <v>0.14272881525102318</v>
      </c>
      <c r="AI126" s="54">
        <v>6</v>
      </c>
      <c r="AJ126" s="54">
        <f t="shared" si="103"/>
        <v>0.85637289150613904</v>
      </c>
      <c r="AL126" s="45">
        <v>35.4</v>
      </c>
      <c r="AM126" s="45">
        <v>24.1</v>
      </c>
      <c r="AN126" s="45">
        <f t="shared" si="104"/>
        <v>11.299999999999997</v>
      </c>
      <c r="AO126" s="52">
        <f t="shared" si="105"/>
        <v>3.0101318892479716</v>
      </c>
      <c r="AP126" s="52">
        <f t="shared" si="106"/>
        <v>21.089868110752029</v>
      </c>
      <c r="AQ126" s="54">
        <f t="shared" si="107"/>
        <v>0.14272881525102318</v>
      </c>
      <c r="AR126" s="45">
        <v>12.4</v>
      </c>
      <c r="AS126" s="52">
        <f t="shared" si="116"/>
        <v>1.7698373091126876</v>
      </c>
      <c r="AU126" s="52">
        <v>74.400000000000006</v>
      </c>
      <c r="AV126" s="52">
        <v>57.7</v>
      </c>
      <c r="AW126" s="52">
        <f t="shared" si="108"/>
        <v>16.700000000000003</v>
      </c>
      <c r="AX126" s="52">
        <f t="shared" si="109"/>
        <v>7.2068302908551019</v>
      </c>
      <c r="AY126" s="52">
        <f t="shared" si="110"/>
        <v>50.493169709144901</v>
      </c>
      <c r="AZ126" s="54">
        <f t="shared" si="111"/>
        <v>0.14272881525102316</v>
      </c>
      <c r="BA126" s="52">
        <v>36.1</v>
      </c>
      <c r="BB126" s="52">
        <f t="shared" si="112"/>
        <v>5.1525102305619361</v>
      </c>
      <c r="BE126" s="1" t="s">
        <v>17</v>
      </c>
    </row>
    <row r="127" spans="1:57" ht="15" customHeight="1" x14ac:dyDescent="0.35">
      <c r="A127" s="45" t="s">
        <v>55</v>
      </c>
      <c r="B127" s="46" t="s">
        <v>64</v>
      </c>
      <c r="C127" s="45" t="str">
        <f t="shared" si="89"/>
        <v>JB_8-24_G</v>
      </c>
      <c r="D127" s="47">
        <v>45505</v>
      </c>
      <c r="E127" s="45" t="s">
        <v>17</v>
      </c>
      <c r="F127" s="45"/>
      <c r="G127" s="45"/>
      <c r="H127" s="45" t="str">
        <f t="shared" si="90"/>
        <v>C,N,S</v>
      </c>
      <c r="I127" s="45">
        <v>133.4</v>
      </c>
      <c r="J127" s="45"/>
      <c r="K127" s="45">
        <v>146.69999999999999</v>
      </c>
      <c r="L127" s="45">
        <f t="shared" si="115"/>
        <v>13.299999999999983</v>
      </c>
      <c r="M127" s="45">
        <f t="shared" si="91"/>
        <v>102.4</v>
      </c>
      <c r="O127" s="45">
        <f t="shared" si="92"/>
        <v>26.757812499999993</v>
      </c>
      <c r="P127" s="45">
        <f t="shared" si="93"/>
        <v>3.4753799438476505</v>
      </c>
      <c r="Q127" s="94"/>
      <c r="R127" s="45">
        <f t="shared" si="94"/>
        <v>24.0234375</v>
      </c>
      <c r="S127" s="45">
        <f t="shared" si="95"/>
        <v>3.1202316284179648</v>
      </c>
      <c r="T127" s="94"/>
      <c r="U127" s="45">
        <f t="shared" si="96"/>
        <v>49.218749999999993</v>
      </c>
      <c r="V127" s="45">
        <f t="shared" si="97"/>
        <v>6.3926696777343652</v>
      </c>
      <c r="W127" s="94"/>
      <c r="X127" s="54">
        <v>37.9</v>
      </c>
      <c r="Y127" s="54">
        <v>27.4</v>
      </c>
      <c r="Z127" s="54">
        <f t="shared" si="98"/>
        <v>10.5</v>
      </c>
      <c r="AA127" s="54">
        <f t="shared" si="99"/>
        <v>3.4753799438476505</v>
      </c>
      <c r="AB127" s="54">
        <f t="shared" si="100"/>
        <v>23.924620056152349</v>
      </c>
      <c r="AC127" s="54">
        <f t="shared" si="101"/>
        <v>0.14526374653769838</v>
      </c>
      <c r="AD127" s="54">
        <v>16.7</v>
      </c>
      <c r="AE127" s="54">
        <f t="shared" si="113"/>
        <v>2.4259045671795629</v>
      </c>
      <c r="AF127" s="54">
        <f t="shared" si="114"/>
        <v>14.274095432820436</v>
      </c>
      <c r="AG127" s="54">
        <v>16.8</v>
      </c>
      <c r="AH127" s="54">
        <f t="shared" si="102"/>
        <v>0.14526374653769838</v>
      </c>
      <c r="AI127" s="54">
        <v>7.6</v>
      </c>
      <c r="AJ127" s="54">
        <f t="shared" si="103"/>
        <v>1.1040044736865078</v>
      </c>
      <c r="AL127" s="45">
        <v>37.200000000000003</v>
      </c>
      <c r="AM127" s="45">
        <v>24.6</v>
      </c>
      <c r="AN127" s="45">
        <f t="shared" si="104"/>
        <v>12.600000000000001</v>
      </c>
      <c r="AO127" s="52">
        <f t="shared" si="105"/>
        <v>3.1202316284179648</v>
      </c>
      <c r="AP127" s="52">
        <f t="shared" si="106"/>
        <v>21.479768371582036</v>
      </c>
      <c r="AQ127" s="54">
        <f t="shared" si="107"/>
        <v>0.14526374653769844</v>
      </c>
      <c r="AR127" s="45">
        <v>11.6</v>
      </c>
      <c r="AS127" s="52">
        <f t="shared" si="116"/>
        <v>1.6850594598373019</v>
      </c>
      <c r="AU127" s="52">
        <v>71.7</v>
      </c>
      <c r="AV127" s="52">
        <v>50.4</v>
      </c>
      <c r="AW127" s="52">
        <f t="shared" si="108"/>
        <v>21.300000000000004</v>
      </c>
      <c r="AX127" s="52">
        <f t="shared" si="109"/>
        <v>6.3926696777343652</v>
      </c>
      <c r="AY127" s="52">
        <f t="shared" si="110"/>
        <v>44.007330322265631</v>
      </c>
      <c r="AZ127" s="54">
        <f t="shared" si="111"/>
        <v>0.14526374653769844</v>
      </c>
      <c r="BA127" s="52">
        <v>33.4</v>
      </c>
      <c r="BB127" s="52">
        <f t="shared" si="112"/>
        <v>4.8518091343591276</v>
      </c>
      <c r="BE127" s="1" t="s">
        <v>17</v>
      </c>
    </row>
    <row r="128" spans="1:57" ht="15" customHeight="1" x14ac:dyDescent="0.35">
      <c r="A128" s="45" t="s">
        <v>36</v>
      </c>
      <c r="B128" s="46" t="s">
        <v>64</v>
      </c>
      <c r="C128" s="45" t="str">
        <f t="shared" si="89"/>
        <v>MCS2_8-24_G</v>
      </c>
      <c r="D128" s="47">
        <v>45505</v>
      </c>
      <c r="E128" s="45" t="s">
        <v>17</v>
      </c>
      <c r="F128" s="47">
        <v>45552</v>
      </c>
      <c r="G128" s="45"/>
      <c r="H128" s="45" t="str">
        <f t="shared" si="90"/>
        <v>C,N,S</v>
      </c>
      <c r="I128" s="45">
        <v>131.9</v>
      </c>
      <c r="J128" s="45"/>
      <c r="K128" s="45">
        <v>146.5</v>
      </c>
      <c r="L128" s="45">
        <f t="shared" si="115"/>
        <v>14.599999999999994</v>
      </c>
      <c r="M128" s="45">
        <f t="shared" si="91"/>
        <v>116.1</v>
      </c>
      <c r="O128" s="45">
        <f t="shared" si="92"/>
        <v>24.46167097329888</v>
      </c>
      <c r="P128" s="45">
        <f t="shared" si="93"/>
        <v>3.0761446701995134</v>
      </c>
      <c r="Q128" s="94"/>
      <c r="R128" s="45">
        <f t="shared" si="94"/>
        <v>28.85443583118002</v>
      </c>
      <c r="S128" s="45">
        <f t="shared" si="95"/>
        <v>3.6285509313973137</v>
      </c>
      <c r="T128" s="94"/>
      <c r="U128" s="45">
        <f t="shared" si="96"/>
        <v>46.683893195521108</v>
      </c>
      <c r="V128" s="45">
        <f t="shared" si="97"/>
        <v>5.8706704621413266</v>
      </c>
      <c r="W128" s="94"/>
      <c r="X128" s="54">
        <v>37.200000000000003</v>
      </c>
      <c r="Y128" s="54">
        <v>28.4</v>
      </c>
      <c r="Z128" s="54">
        <f t="shared" si="98"/>
        <v>8.8000000000000043</v>
      </c>
      <c r="AA128" s="54">
        <f t="shared" si="99"/>
        <v>3.0761446701995134</v>
      </c>
      <c r="AB128" s="54">
        <f t="shared" si="100"/>
        <v>25.323855329800484</v>
      </c>
      <c r="AC128" s="54">
        <f t="shared" si="101"/>
        <v>0.12147220990397867</v>
      </c>
      <c r="AD128" s="54">
        <v>18.899999999999999</v>
      </c>
      <c r="AE128" s="54">
        <f t="shared" si="113"/>
        <v>2.2958247671851968</v>
      </c>
      <c r="AF128" s="54">
        <f t="shared" si="114"/>
        <v>16.604175232814804</v>
      </c>
      <c r="AG128" s="54">
        <v>18.5</v>
      </c>
      <c r="AH128" s="54">
        <f t="shared" si="102"/>
        <v>0.12147220990397867</v>
      </c>
      <c r="AI128" s="54">
        <v>6.2</v>
      </c>
      <c r="AJ128" s="54">
        <f t="shared" si="103"/>
        <v>0.75312770140466778</v>
      </c>
      <c r="AL128" s="45">
        <v>39.799999999999997</v>
      </c>
      <c r="AM128" s="45">
        <v>33.5</v>
      </c>
      <c r="AN128" s="45">
        <f t="shared" si="104"/>
        <v>6.2999999999999972</v>
      </c>
      <c r="AO128" s="52">
        <f t="shared" si="105"/>
        <v>3.6285509313973137</v>
      </c>
      <c r="AP128" s="52">
        <f t="shared" si="106"/>
        <v>29.871449068602686</v>
      </c>
      <c r="AQ128" s="54">
        <f t="shared" si="107"/>
        <v>0.12147220990397867</v>
      </c>
      <c r="AR128" s="45">
        <v>14.8</v>
      </c>
      <c r="AS128" s="52">
        <f t="shared" si="116"/>
        <v>1.7977887065788845</v>
      </c>
      <c r="AU128" s="52">
        <v>69.8</v>
      </c>
      <c r="AV128" s="52">
        <v>54.2</v>
      </c>
      <c r="AW128" s="52">
        <f t="shared" si="108"/>
        <v>15.599999999999994</v>
      </c>
      <c r="AX128" s="52">
        <f t="shared" si="109"/>
        <v>5.8706704621413266</v>
      </c>
      <c r="AY128" s="52">
        <f t="shared" si="110"/>
        <v>48.329329537858676</v>
      </c>
      <c r="AZ128" s="54">
        <f t="shared" si="111"/>
        <v>0.1214722099039787</v>
      </c>
      <c r="BA128" s="52">
        <v>36.9</v>
      </c>
      <c r="BB128" s="52">
        <f t="shared" si="112"/>
        <v>4.4823245454568132</v>
      </c>
      <c r="BE128" s="1" t="s">
        <v>17</v>
      </c>
    </row>
    <row r="129" spans="1:307" ht="15" customHeight="1" x14ac:dyDescent="0.35">
      <c r="A129" s="84" t="s">
        <v>24</v>
      </c>
      <c r="B129" s="85" t="s">
        <v>111</v>
      </c>
      <c r="C129" s="84" t="str">
        <f t="shared" si="89"/>
        <v>ACS1_11-24_G</v>
      </c>
      <c r="D129" s="86">
        <v>45606</v>
      </c>
      <c r="E129" s="45" t="s">
        <v>17</v>
      </c>
      <c r="F129" s="86"/>
      <c r="G129" s="84"/>
      <c r="H129" s="105" t="str">
        <f t="shared" si="90"/>
        <v>C,N,S</v>
      </c>
      <c r="I129" s="84">
        <v>134.6</v>
      </c>
      <c r="J129" s="84"/>
      <c r="K129" s="84">
        <v>145.19999999999999</v>
      </c>
      <c r="L129" s="84">
        <f t="shared" si="115"/>
        <v>10.599999999999994</v>
      </c>
      <c r="M129" s="84">
        <f t="shared" si="91"/>
        <v>103.89999999999999</v>
      </c>
      <c r="N129" s="95"/>
      <c r="O129" s="84">
        <f t="shared" si="92"/>
        <v>25.21655437921078</v>
      </c>
      <c r="P129" s="84">
        <f t="shared" si="93"/>
        <v>2.5726224871957091</v>
      </c>
      <c r="Q129" s="95"/>
      <c r="R129" s="84">
        <f t="shared" si="94"/>
        <v>26.371511068334939</v>
      </c>
      <c r="S129" s="84">
        <f t="shared" si="95"/>
        <v>2.6904525247771915</v>
      </c>
      <c r="T129" s="95"/>
      <c r="U129" s="84">
        <f t="shared" si="96"/>
        <v>48.411934552454284</v>
      </c>
      <c r="V129" s="84">
        <f t="shared" si="97"/>
        <v>4.9390424086238225</v>
      </c>
      <c r="W129" s="95"/>
      <c r="X129" s="87">
        <v>37.299999999999997</v>
      </c>
      <c r="Y129" s="87">
        <v>26.2</v>
      </c>
      <c r="Z129" s="87">
        <f t="shared" si="98"/>
        <v>11.099999999999998</v>
      </c>
      <c r="AA129" s="87">
        <f t="shared" si="99"/>
        <v>2.5726224871957091</v>
      </c>
      <c r="AB129" s="87">
        <f t="shared" si="100"/>
        <v>23.627377512804291</v>
      </c>
      <c r="AC129" s="87">
        <f t="shared" si="101"/>
        <v>0.10888311602934088</v>
      </c>
      <c r="AD129" s="87">
        <v>16</v>
      </c>
      <c r="AE129" s="87">
        <f t="shared" si="113"/>
        <v>1.7421298564694541</v>
      </c>
      <c r="AF129" s="87">
        <f t="shared" si="114"/>
        <v>14.257870143530546</v>
      </c>
      <c r="AG129" s="87">
        <v>16</v>
      </c>
      <c r="AH129" s="87">
        <f t="shared" si="102"/>
        <v>0.10888311602934088</v>
      </c>
      <c r="AI129" s="87">
        <v>8</v>
      </c>
      <c r="AJ129" s="87">
        <f t="shared" si="103"/>
        <v>0.87106492823472703</v>
      </c>
      <c r="AK129" s="95"/>
      <c r="AL129" s="84">
        <v>36.799999999999997</v>
      </c>
      <c r="AM129" s="84">
        <v>27.4</v>
      </c>
      <c r="AN129" s="84">
        <f t="shared" si="104"/>
        <v>9.3999999999999986</v>
      </c>
      <c r="AO129" s="88">
        <f t="shared" si="105"/>
        <v>2.6904525247771915</v>
      </c>
      <c r="AP129" s="88">
        <f t="shared" si="106"/>
        <v>24.709547475222806</v>
      </c>
      <c r="AQ129" s="87">
        <f t="shared" si="107"/>
        <v>0.10888311602934087</v>
      </c>
      <c r="AR129" s="84">
        <v>14.5</v>
      </c>
      <c r="AS129" s="88">
        <f t="shared" si="116"/>
        <v>1.5788051824254425</v>
      </c>
      <c r="AT129" s="95"/>
      <c r="AU129" s="88">
        <v>71.3</v>
      </c>
      <c r="AV129" s="88">
        <v>50.3</v>
      </c>
      <c r="AW129" s="88">
        <f t="shared" si="108"/>
        <v>21</v>
      </c>
      <c r="AX129" s="88">
        <f t="shared" si="109"/>
        <v>4.9390424086238225</v>
      </c>
      <c r="AY129" s="88">
        <f t="shared" si="110"/>
        <v>45.360957591376177</v>
      </c>
      <c r="AZ129" s="87">
        <f t="shared" si="111"/>
        <v>0.10888311602934087</v>
      </c>
      <c r="BA129" s="88">
        <v>24.6</v>
      </c>
      <c r="BB129" s="88">
        <f t="shared" si="112"/>
        <v>2.6785246543217855</v>
      </c>
      <c r="BC129" s="95"/>
      <c r="BD129" s="89"/>
      <c r="BE129" s="1" t="s">
        <v>17</v>
      </c>
      <c r="BF129" s="89"/>
    </row>
    <row r="130" spans="1:307" ht="15" customHeight="1" x14ac:dyDescent="0.35">
      <c r="A130" s="79" t="s">
        <v>46</v>
      </c>
      <c r="B130" s="80" t="s">
        <v>111</v>
      </c>
      <c r="C130" s="79" t="str">
        <f t="shared" ref="C130:C140" si="117">A130&amp;"_"&amp;B130&amp;"_G"</f>
        <v>TSM3_11-24_G</v>
      </c>
      <c r="D130" s="81">
        <v>45606</v>
      </c>
      <c r="E130" s="45" t="s">
        <v>17</v>
      </c>
      <c r="F130" s="81"/>
      <c r="G130" s="79"/>
      <c r="H130" s="45" t="str">
        <f t="shared" ref="H130:H140" si="118">IF(OR(AI130&lt;&gt;"", AR130&lt;&gt;"", BA130&lt;&gt;""),
    IF(AI130&lt;&gt;"", "C", "") &amp;
    IF(BA130&lt;&gt;"", IF(AI130&lt;&gt;"", ",N", "N"), "") &amp;
    IF(BA130&lt;&gt;"", IF(OR(AI130&lt;&gt;"", AR130&lt;&gt;""), ",S", "S"), ""),
"")</f>
        <v>C,N,S</v>
      </c>
      <c r="I130" s="79">
        <v>132.9</v>
      </c>
      <c r="J130" s="79"/>
      <c r="K130" s="79">
        <v>150.9</v>
      </c>
      <c r="L130" s="79">
        <f t="shared" si="115"/>
        <v>18</v>
      </c>
      <c r="M130" s="79">
        <f t="shared" ref="M130:M140" si="119">Y130+AM130+AV130</f>
        <v>109.1</v>
      </c>
      <c r="N130" s="95"/>
      <c r="O130" s="79">
        <f t="shared" ref="O130:O140" si="120">(Y130/M130)*100</f>
        <v>25.297891842346477</v>
      </c>
      <c r="P130" s="79">
        <f t="shared" ref="P130:P140" si="121">((O130/M130)*L130)</f>
        <v>4.1738043369590887</v>
      </c>
      <c r="Q130" s="95"/>
      <c r="R130" s="79">
        <f t="shared" ref="R130:R140" si="122">(AM130/M130)*100</f>
        <v>26.48945921173236</v>
      </c>
      <c r="S130" s="79">
        <f t="shared" ref="S130:S140" si="123">((R130/M130)*L130)</f>
        <v>4.3703965702216543</v>
      </c>
      <c r="T130" s="95"/>
      <c r="U130" s="79">
        <f t="shared" ref="U130:U140" si="124">(AV130/M130)*100</f>
        <v>48.212648945921174</v>
      </c>
      <c r="V130" s="79">
        <f t="shared" ref="V130:V140" si="125">((U130/M130)*L130)</f>
        <v>7.9544242073930445</v>
      </c>
      <c r="W130" s="95"/>
      <c r="X130" s="82">
        <v>41.4</v>
      </c>
      <c r="Y130" s="82">
        <v>27.6</v>
      </c>
      <c r="Z130" s="82">
        <f t="shared" ref="Z130:Z140" si="126">X130-Y130</f>
        <v>13.799999999999997</v>
      </c>
      <c r="AA130" s="82">
        <f t="shared" ref="AA130:AA140" si="127">P130</f>
        <v>4.1738043369590887</v>
      </c>
      <c r="AB130" s="82">
        <f t="shared" ref="AB130:AB140" si="128">Y130-AA130</f>
        <v>23.426195663040914</v>
      </c>
      <c r="AC130" s="82">
        <f t="shared" ref="AC130:AC140" si="129">AA130/AB130</f>
        <v>0.17816825219914065</v>
      </c>
      <c r="AD130" s="82">
        <v>20.9</v>
      </c>
      <c r="AE130" s="82">
        <f t="shared" si="113"/>
        <v>3.7237164709620392</v>
      </c>
      <c r="AF130" s="82">
        <v>16.2</v>
      </c>
      <c r="AG130" s="82">
        <v>18.7</v>
      </c>
      <c r="AH130" s="82">
        <f t="shared" ref="AH130:AH140" si="130">AC130</f>
        <v>0.17816825219914065</v>
      </c>
      <c r="AI130" s="82">
        <v>5.2</v>
      </c>
      <c r="AJ130" s="82">
        <f t="shared" ref="AJ130:AJ140" si="131">AI130*AH130</f>
        <v>0.9264749114355314</v>
      </c>
      <c r="AK130" s="95"/>
      <c r="AL130" s="79">
        <v>38</v>
      </c>
      <c r="AM130" s="79">
        <v>28.9</v>
      </c>
      <c r="AN130" s="79">
        <f t="shared" ref="AN130:AN140" si="132">AL130-AM130</f>
        <v>9.1000000000000014</v>
      </c>
      <c r="AO130" s="83">
        <f t="shared" ref="AO130:AO140" si="133">S130</f>
        <v>4.3703965702216543</v>
      </c>
      <c r="AP130" s="83">
        <f t="shared" ref="AP130:AP140" si="134">AM130-AO130</f>
        <v>24.529603429778344</v>
      </c>
      <c r="AQ130" s="82">
        <f t="shared" ref="AQ130:AQ140" si="135">AO130/AP130</f>
        <v>0.17816825219914068</v>
      </c>
      <c r="AR130" s="79">
        <v>8.6999999999999993</v>
      </c>
      <c r="AS130" s="83">
        <f t="shared" si="116"/>
        <v>1.5500637941325237</v>
      </c>
      <c r="AT130" s="95"/>
      <c r="AU130" s="83">
        <v>72</v>
      </c>
      <c r="AV130" s="83">
        <v>52.6</v>
      </c>
      <c r="AW130" s="83">
        <f t="shared" ref="AW130:AW140" si="136">AU130-AV130</f>
        <v>19.399999999999999</v>
      </c>
      <c r="AX130" s="83">
        <f t="shared" ref="AX130:AX140" si="137">V130</f>
        <v>7.9544242073930445</v>
      </c>
      <c r="AY130" s="83">
        <f t="shared" ref="AY130:AY140" si="138">AV130-AX130</f>
        <v>44.645575792606955</v>
      </c>
      <c r="AZ130" s="82">
        <f t="shared" ref="AZ130:AZ140" si="139">AX130/AY130</f>
        <v>0.17816825219914065</v>
      </c>
      <c r="BA130" s="83">
        <v>26.9</v>
      </c>
      <c r="BB130" s="83">
        <f t="shared" ref="BB130:BB140" si="140">BA130*AZ130</f>
        <v>4.792725984156883</v>
      </c>
      <c r="BC130" s="95"/>
      <c r="BD130" s="89"/>
      <c r="BE130" s="1" t="s">
        <v>17</v>
      </c>
      <c r="BF130" s="89"/>
    </row>
    <row r="131" spans="1:307" ht="15" customHeight="1" x14ac:dyDescent="0.35">
      <c r="A131" s="79" t="s">
        <v>48</v>
      </c>
      <c r="B131" s="80" t="s">
        <v>111</v>
      </c>
      <c r="C131" s="79" t="str">
        <f t="shared" si="117"/>
        <v>SBT1_11-24_G</v>
      </c>
      <c r="D131" s="81">
        <v>45606</v>
      </c>
      <c r="E131" s="45" t="s">
        <v>17</v>
      </c>
      <c r="F131" s="81"/>
      <c r="G131" s="79"/>
      <c r="H131" s="45" t="str">
        <f t="shared" si="118"/>
        <v>C,N,S</v>
      </c>
      <c r="I131" s="79">
        <v>133.6</v>
      </c>
      <c r="J131" s="79"/>
      <c r="K131" s="79">
        <v>161.19999999999999</v>
      </c>
      <c r="L131" s="79">
        <f t="shared" si="115"/>
        <v>27.599999999999994</v>
      </c>
      <c r="M131" s="79">
        <f t="shared" si="119"/>
        <v>118</v>
      </c>
      <c r="N131" s="95"/>
      <c r="O131" s="79">
        <f t="shared" si="120"/>
        <v>24.83050847457627</v>
      </c>
      <c r="P131" s="79">
        <f t="shared" si="121"/>
        <v>5.8078138465958036</v>
      </c>
      <c r="Q131" s="95"/>
      <c r="R131" s="79">
        <f t="shared" si="122"/>
        <v>21.1864406779661</v>
      </c>
      <c r="S131" s="79">
        <f t="shared" si="123"/>
        <v>4.955472565354782</v>
      </c>
      <c r="T131" s="95"/>
      <c r="U131" s="79">
        <f t="shared" si="124"/>
        <v>53.983050847457626</v>
      </c>
      <c r="V131" s="79">
        <f t="shared" si="125"/>
        <v>12.626544096523984</v>
      </c>
      <c r="W131" s="95"/>
      <c r="X131" s="82">
        <v>36.5</v>
      </c>
      <c r="Y131" s="82">
        <v>29.3</v>
      </c>
      <c r="Z131" s="82">
        <f t="shared" si="126"/>
        <v>7.1999999999999993</v>
      </c>
      <c r="AA131" s="82">
        <f t="shared" si="127"/>
        <v>5.8078138465958036</v>
      </c>
      <c r="AB131" s="82">
        <f t="shared" si="128"/>
        <v>23.492186153404198</v>
      </c>
      <c r="AC131" s="82">
        <f t="shared" si="129"/>
        <v>0.24722321748477236</v>
      </c>
      <c r="AD131" s="82">
        <v>15.6</v>
      </c>
      <c r="AE131" s="82">
        <f t="shared" si="113"/>
        <v>3.8566821927624488</v>
      </c>
      <c r="AF131" s="82">
        <f t="shared" ref="AF131:AF138" si="141">AD131-AE131</f>
        <v>11.743317807237551</v>
      </c>
      <c r="AG131" s="82">
        <v>16.2</v>
      </c>
      <c r="AH131" s="82">
        <f t="shared" si="130"/>
        <v>0.24722321748477236</v>
      </c>
      <c r="AI131" s="82">
        <v>4.2</v>
      </c>
      <c r="AJ131" s="82">
        <f t="shared" si="131"/>
        <v>1.038337513436044</v>
      </c>
      <c r="AK131" s="95"/>
      <c r="AL131" s="79">
        <v>37.700000000000003</v>
      </c>
      <c r="AM131" s="79">
        <v>25</v>
      </c>
      <c r="AN131" s="79">
        <f t="shared" si="132"/>
        <v>12.700000000000003</v>
      </c>
      <c r="AO131" s="83">
        <f t="shared" si="133"/>
        <v>4.955472565354782</v>
      </c>
      <c r="AP131" s="83">
        <f t="shared" si="134"/>
        <v>20.044527434645218</v>
      </c>
      <c r="AQ131" s="82">
        <f t="shared" si="135"/>
        <v>0.24722321748477241</v>
      </c>
      <c r="AR131" s="79">
        <v>8.1</v>
      </c>
      <c r="AS131" s="83">
        <f t="shared" si="116"/>
        <v>2.0025080616266564</v>
      </c>
      <c r="AT131" s="95"/>
      <c r="AU131" s="83">
        <v>86.8</v>
      </c>
      <c r="AV131" s="83">
        <v>63.7</v>
      </c>
      <c r="AW131" s="83">
        <f t="shared" si="136"/>
        <v>23.099999999999994</v>
      </c>
      <c r="AX131" s="83">
        <f t="shared" si="137"/>
        <v>12.626544096523984</v>
      </c>
      <c r="AY131" s="83">
        <f t="shared" si="138"/>
        <v>51.073455903476017</v>
      </c>
      <c r="AZ131" s="82">
        <f t="shared" si="139"/>
        <v>0.24722321748477241</v>
      </c>
      <c r="BA131" s="83">
        <v>18.8</v>
      </c>
      <c r="BB131" s="83">
        <f t="shared" si="140"/>
        <v>4.6477964887137215</v>
      </c>
      <c r="BC131" s="95"/>
      <c r="BD131" s="89"/>
      <c r="BE131" s="1" t="s">
        <v>17</v>
      </c>
      <c r="BF131" s="89"/>
    </row>
    <row r="132" spans="1:307" ht="15" customHeight="1" x14ac:dyDescent="0.35">
      <c r="A132" s="79" t="s">
        <v>34</v>
      </c>
      <c r="B132" s="80" t="s">
        <v>111</v>
      </c>
      <c r="C132" s="79" t="str">
        <f t="shared" si="117"/>
        <v>GB1_11-24_G</v>
      </c>
      <c r="D132" s="81">
        <v>45612</v>
      </c>
      <c r="E132" s="45" t="s">
        <v>17</v>
      </c>
      <c r="F132" s="81"/>
      <c r="G132" s="79"/>
      <c r="H132" s="45" t="str">
        <f t="shared" si="118"/>
        <v>C,N,S</v>
      </c>
      <c r="I132" s="79">
        <v>134.30000000000001</v>
      </c>
      <c r="J132" s="79"/>
      <c r="K132" s="79">
        <v>151.19999999999999</v>
      </c>
      <c r="L132" s="79">
        <f t="shared" si="115"/>
        <v>16.899999999999977</v>
      </c>
      <c r="M132" s="79">
        <f t="shared" si="119"/>
        <v>103.8</v>
      </c>
      <c r="N132" s="95"/>
      <c r="O132" s="79">
        <f t="shared" si="120"/>
        <v>24.181117533718691</v>
      </c>
      <c r="P132" s="79">
        <f t="shared" si="121"/>
        <v>3.9370027583800131</v>
      </c>
      <c r="Q132" s="95"/>
      <c r="R132" s="79">
        <f t="shared" si="122"/>
        <v>25.240847784200387</v>
      </c>
      <c r="S132" s="79">
        <f t="shared" si="123"/>
        <v>4.1095407278707707</v>
      </c>
      <c r="T132" s="95"/>
      <c r="U132" s="79">
        <f t="shared" si="124"/>
        <v>50.578034682080933</v>
      </c>
      <c r="V132" s="79">
        <f t="shared" si="125"/>
        <v>8.2347667256952466</v>
      </c>
      <c r="W132" s="95"/>
      <c r="X132" s="82">
        <v>39.200000000000003</v>
      </c>
      <c r="Y132" s="82">
        <v>25.1</v>
      </c>
      <c r="Z132" s="82">
        <f t="shared" si="126"/>
        <v>14.100000000000001</v>
      </c>
      <c r="AA132" s="82">
        <f t="shared" si="127"/>
        <v>3.9370027583800131</v>
      </c>
      <c r="AB132" s="82">
        <f t="shared" si="128"/>
        <v>21.162997241619987</v>
      </c>
      <c r="AC132" s="82">
        <f t="shared" si="129"/>
        <v>0.18603238064206462</v>
      </c>
      <c r="AD132" s="82">
        <v>12.5</v>
      </c>
      <c r="AE132" s="82">
        <f t="shared" si="113"/>
        <v>2.3254047580258077</v>
      </c>
      <c r="AF132" s="82">
        <f t="shared" si="141"/>
        <v>10.174595241974192</v>
      </c>
      <c r="AG132" s="82">
        <v>13.4</v>
      </c>
      <c r="AH132" s="82">
        <f t="shared" si="130"/>
        <v>0.18603238064206462</v>
      </c>
      <c r="AI132" s="82">
        <v>5.0999999999999996</v>
      </c>
      <c r="AJ132" s="82">
        <f t="shared" si="131"/>
        <v>0.94876514127452949</v>
      </c>
      <c r="AK132" s="95"/>
      <c r="AL132" s="79">
        <v>38.4</v>
      </c>
      <c r="AM132" s="79">
        <v>26.2</v>
      </c>
      <c r="AN132" s="79">
        <f t="shared" si="132"/>
        <v>12.2</v>
      </c>
      <c r="AO132" s="83">
        <f t="shared" si="133"/>
        <v>4.1095407278707707</v>
      </c>
      <c r="AP132" s="83">
        <f t="shared" si="134"/>
        <v>22.09045927212923</v>
      </c>
      <c r="AQ132" s="82">
        <f t="shared" si="135"/>
        <v>0.18603238064206462</v>
      </c>
      <c r="AR132" s="79">
        <v>9.1</v>
      </c>
      <c r="AS132" s="83">
        <f t="shared" si="116"/>
        <v>1.692894663842788</v>
      </c>
      <c r="AT132" s="95"/>
      <c r="AU132" s="83">
        <v>74.2</v>
      </c>
      <c r="AV132" s="83">
        <v>52.5</v>
      </c>
      <c r="AW132" s="83">
        <f t="shared" si="136"/>
        <v>21.700000000000003</v>
      </c>
      <c r="AX132" s="83">
        <f t="shared" si="137"/>
        <v>8.2347667256952466</v>
      </c>
      <c r="AY132" s="83">
        <f t="shared" si="138"/>
        <v>44.265233274304755</v>
      </c>
      <c r="AZ132" s="82">
        <f t="shared" si="139"/>
        <v>0.18603238064206462</v>
      </c>
      <c r="BA132" s="83">
        <v>25.5</v>
      </c>
      <c r="BB132" s="83">
        <f t="shared" si="140"/>
        <v>4.7438257063726477</v>
      </c>
      <c r="BC132" s="95"/>
      <c r="BD132" s="89"/>
      <c r="BE132" s="1" t="s">
        <v>17</v>
      </c>
      <c r="BF132" s="89"/>
    </row>
    <row r="133" spans="1:307" ht="15" customHeight="1" x14ac:dyDescent="0.35">
      <c r="A133" s="79" t="s">
        <v>42</v>
      </c>
      <c r="B133" s="80" t="s">
        <v>111</v>
      </c>
      <c r="C133" s="79" t="str">
        <f t="shared" si="117"/>
        <v>TB2_11-24_G</v>
      </c>
      <c r="D133" s="81">
        <v>45612</v>
      </c>
      <c r="E133" s="45" t="s">
        <v>17</v>
      </c>
      <c r="F133" s="81"/>
      <c r="G133" s="79"/>
      <c r="H133" s="45" t="str">
        <f t="shared" si="118"/>
        <v>C,N,S</v>
      </c>
      <c r="I133" s="79">
        <v>134.4</v>
      </c>
      <c r="J133" s="79"/>
      <c r="K133" s="79">
        <v>157.4</v>
      </c>
      <c r="L133" s="79">
        <f t="shared" si="115"/>
        <v>23</v>
      </c>
      <c r="M133" s="79">
        <f t="shared" si="119"/>
        <v>114.4</v>
      </c>
      <c r="N133" s="95"/>
      <c r="O133" s="79">
        <f t="shared" si="120"/>
        <v>28.146853146853147</v>
      </c>
      <c r="P133" s="79">
        <f t="shared" si="121"/>
        <v>5.6588953005036915</v>
      </c>
      <c r="Q133" s="95"/>
      <c r="R133" s="79">
        <f t="shared" si="122"/>
        <v>26.223776223776223</v>
      </c>
      <c r="S133" s="79">
        <f t="shared" si="123"/>
        <v>5.2722627023326316</v>
      </c>
      <c r="T133" s="95"/>
      <c r="U133" s="79">
        <f t="shared" si="124"/>
        <v>45.629370629370634</v>
      </c>
      <c r="V133" s="79">
        <f t="shared" si="125"/>
        <v>9.1737371020587801</v>
      </c>
      <c r="W133" s="95"/>
      <c r="X133" s="82">
        <v>42.1</v>
      </c>
      <c r="Y133" s="82">
        <v>32.200000000000003</v>
      </c>
      <c r="Z133" s="82">
        <f t="shared" si="126"/>
        <v>9.8999999999999986</v>
      </c>
      <c r="AA133" s="82">
        <f t="shared" si="127"/>
        <v>5.6588953005036915</v>
      </c>
      <c r="AB133" s="82">
        <f t="shared" si="128"/>
        <v>26.541104699496312</v>
      </c>
      <c r="AC133" s="82">
        <f t="shared" si="129"/>
        <v>0.21321250055620647</v>
      </c>
      <c r="AD133" s="82">
        <v>16.8</v>
      </c>
      <c r="AE133" s="82">
        <f t="shared" si="113"/>
        <v>3.581970009344269</v>
      </c>
      <c r="AF133" s="82">
        <f t="shared" si="141"/>
        <v>13.218029990655731</v>
      </c>
      <c r="AG133" s="82">
        <v>18.2</v>
      </c>
      <c r="AH133" s="82">
        <f t="shared" si="130"/>
        <v>0.21321250055620647</v>
      </c>
      <c r="AI133" s="82">
        <v>3.6</v>
      </c>
      <c r="AJ133" s="82">
        <f t="shared" si="131"/>
        <v>0.76756500200234334</v>
      </c>
      <c r="AK133" s="95"/>
      <c r="AL133" s="79">
        <v>40.5</v>
      </c>
      <c r="AM133" s="79">
        <v>30</v>
      </c>
      <c r="AN133" s="79">
        <f t="shared" si="132"/>
        <v>10.5</v>
      </c>
      <c r="AO133" s="83">
        <f t="shared" si="133"/>
        <v>5.2722627023326316</v>
      </c>
      <c r="AP133" s="83">
        <f t="shared" si="134"/>
        <v>24.727737297667367</v>
      </c>
      <c r="AQ133" s="82">
        <f t="shared" si="135"/>
        <v>0.2132125005562065</v>
      </c>
      <c r="AR133" s="79">
        <v>8.6999999999999993</v>
      </c>
      <c r="AS133" s="83">
        <f t="shared" si="116"/>
        <v>1.8549487548389965</v>
      </c>
      <c r="AT133" s="95"/>
      <c r="AU133" s="83">
        <v>76.099999999999994</v>
      </c>
      <c r="AV133" s="83">
        <v>52.2</v>
      </c>
      <c r="AW133" s="83">
        <f t="shared" si="136"/>
        <v>23.899999999999991</v>
      </c>
      <c r="AX133" s="83">
        <f t="shared" si="137"/>
        <v>9.1737371020587801</v>
      </c>
      <c r="AY133" s="83">
        <f t="shared" si="138"/>
        <v>43.026262897941223</v>
      </c>
      <c r="AZ133" s="82">
        <f t="shared" si="139"/>
        <v>0.2132125005562065</v>
      </c>
      <c r="BA133" s="83">
        <v>26.5</v>
      </c>
      <c r="BB133" s="83">
        <f t="shared" si="140"/>
        <v>5.6501312647394721</v>
      </c>
      <c r="BC133" s="95"/>
      <c r="BD133" s="89"/>
      <c r="BE133" s="1" t="s">
        <v>17</v>
      </c>
      <c r="BF133" s="89"/>
    </row>
    <row r="134" spans="1:307" ht="15" customHeight="1" x14ac:dyDescent="0.35">
      <c r="A134" s="79" t="s">
        <v>49</v>
      </c>
      <c r="B134" s="80" t="s">
        <v>111</v>
      </c>
      <c r="C134" s="79" t="str">
        <f t="shared" si="117"/>
        <v>SBT2_11-24_G</v>
      </c>
      <c r="D134" s="81">
        <v>45612</v>
      </c>
      <c r="E134" s="45" t="s">
        <v>17</v>
      </c>
      <c r="F134" s="81"/>
      <c r="G134" s="79"/>
      <c r="H134" s="45" t="str">
        <f t="shared" si="118"/>
        <v>C,N,S</v>
      </c>
      <c r="I134" s="79">
        <v>134.69999999999999</v>
      </c>
      <c r="J134" s="79"/>
      <c r="K134" s="79">
        <v>164.2</v>
      </c>
      <c r="L134" s="79">
        <f t="shared" si="115"/>
        <v>29.5</v>
      </c>
      <c r="M134" s="79">
        <f t="shared" si="119"/>
        <v>118.8</v>
      </c>
      <c r="N134" s="95"/>
      <c r="O134" s="79">
        <f t="shared" si="120"/>
        <v>25.841750841750844</v>
      </c>
      <c r="P134" s="79">
        <f t="shared" si="121"/>
        <v>6.4169330793909927</v>
      </c>
      <c r="Q134" s="95"/>
      <c r="R134" s="79">
        <f t="shared" si="122"/>
        <v>24.747474747474747</v>
      </c>
      <c r="S134" s="79">
        <f t="shared" si="123"/>
        <v>6.145206271468898</v>
      </c>
      <c r="T134" s="95"/>
      <c r="U134" s="79">
        <f t="shared" si="124"/>
        <v>49.410774410774415</v>
      </c>
      <c r="V134" s="79">
        <f t="shared" si="125"/>
        <v>12.269510480789943</v>
      </c>
      <c r="W134" s="95"/>
      <c r="X134" s="82">
        <v>40.4</v>
      </c>
      <c r="Y134" s="82">
        <v>30.7</v>
      </c>
      <c r="Z134" s="82">
        <f t="shared" si="126"/>
        <v>9.6999999999999993</v>
      </c>
      <c r="AA134" s="82">
        <f t="shared" si="127"/>
        <v>6.4169330793909927</v>
      </c>
      <c r="AB134" s="82">
        <f t="shared" si="128"/>
        <v>24.283066920609006</v>
      </c>
      <c r="AC134" s="82">
        <f t="shared" si="129"/>
        <v>0.26425546247393283</v>
      </c>
      <c r="AD134" s="82">
        <v>17.5</v>
      </c>
      <c r="AE134" s="82">
        <f t="shared" si="113"/>
        <v>4.6244705932938244</v>
      </c>
      <c r="AF134" s="82">
        <f t="shared" si="141"/>
        <v>12.875529406706175</v>
      </c>
      <c r="AG134" s="82">
        <v>19.2</v>
      </c>
      <c r="AH134" s="82">
        <f t="shared" si="130"/>
        <v>0.26425546247393283</v>
      </c>
      <c r="AI134" s="82">
        <v>3.8</v>
      </c>
      <c r="AJ134" s="82">
        <f t="shared" si="131"/>
        <v>1.0041707574009446</v>
      </c>
      <c r="AK134" s="95"/>
      <c r="AL134" s="79">
        <v>39.799999999999997</v>
      </c>
      <c r="AM134" s="79">
        <v>29.4</v>
      </c>
      <c r="AN134" s="79">
        <f t="shared" si="132"/>
        <v>10.399999999999999</v>
      </c>
      <c r="AO134" s="83">
        <f t="shared" si="133"/>
        <v>6.145206271468898</v>
      </c>
      <c r="AP134" s="83">
        <f t="shared" si="134"/>
        <v>23.254793728531101</v>
      </c>
      <c r="AQ134" s="82">
        <f t="shared" si="135"/>
        <v>0.26425546247393278</v>
      </c>
      <c r="AR134" s="79">
        <v>6.2</v>
      </c>
      <c r="AS134" s="83">
        <f t="shared" si="116"/>
        <v>1.6383838673383833</v>
      </c>
      <c r="AT134" s="95"/>
      <c r="AU134" s="83">
        <v>84.3</v>
      </c>
      <c r="AV134" s="83">
        <v>58.7</v>
      </c>
      <c r="AW134" s="83">
        <f t="shared" si="136"/>
        <v>25.599999999999994</v>
      </c>
      <c r="AX134" s="83">
        <f t="shared" si="137"/>
        <v>12.269510480789943</v>
      </c>
      <c r="AY134" s="83">
        <f t="shared" si="138"/>
        <v>46.430489519210056</v>
      </c>
      <c r="AZ134" s="82">
        <f t="shared" si="139"/>
        <v>0.26425546247393278</v>
      </c>
      <c r="BA134" s="83">
        <v>20.2</v>
      </c>
      <c r="BB134" s="83">
        <f t="shared" si="140"/>
        <v>5.3379603419734423</v>
      </c>
      <c r="BC134" s="95"/>
      <c r="BD134" s="89"/>
      <c r="BE134" s="1" t="s">
        <v>17</v>
      </c>
      <c r="BF134" s="89"/>
    </row>
    <row r="135" spans="1:307" ht="15" customHeight="1" x14ac:dyDescent="0.35">
      <c r="A135" s="79" t="s">
        <v>55</v>
      </c>
      <c r="B135" s="80" t="s">
        <v>111</v>
      </c>
      <c r="C135" s="79" t="str">
        <f t="shared" si="117"/>
        <v>JB_11-24_G</v>
      </c>
      <c r="D135" s="81">
        <v>45612</v>
      </c>
      <c r="E135" s="45" t="s">
        <v>17</v>
      </c>
      <c r="F135" s="81"/>
      <c r="G135" s="79"/>
      <c r="H135" s="45" t="str">
        <f t="shared" si="118"/>
        <v>C,N,S</v>
      </c>
      <c r="I135" s="79">
        <v>133.4</v>
      </c>
      <c r="J135" s="79"/>
      <c r="K135" s="79">
        <v>159.19999999999999</v>
      </c>
      <c r="L135" s="79">
        <f t="shared" si="115"/>
        <v>25.799999999999983</v>
      </c>
      <c r="M135" s="79">
        <f t="shared" si="119"/>
        <v>117.1</v>
      </c>
      <c r="N135" s="95"/>
      <c r="O135" s="79">
        <f t="shared" si="120"/>
        <v>25.533731853116993</v>
      </c>
      <c r="P135" s="79">
        <f t="shared" si="121"/>
        <v>5.6257069326252607</v>
      </c>
      <c r="Q135" s="95"/>
      <c r="R135" s="79">
        <f t="shared" si="122"/>
        <v>26.13151152860803</v>
      </c>
      <c r="S135" s="79">
        <f t="shared" si="123"/>
        <v>5.757412446098094</v>
      </c>
      <c r="T135" s="95"/>
      <c r="U135" s="79">
        <f t="shared" si="124"/>
        <v>48.33475661827498</v>
      </c>
      <c r="V135" s="79">
        <f t="shared" si="125"/>
        <v>10.649331517946147</v>
      </c>
      <c r="W135" s="95"/>
      <c r="X135" s="82">
        <v>39.4</v>
      </c>
      <c r="Y135" s="82">
        <v>29.9</v>
      </c>
      <c r="Z135" s="82">
        <f t="shared" si="126"/>
        <v>9.5</v>
      </c>
      <c r="AA135" s="82">
        <f t="shared" si="127"/>
        <v>5.6257069326252607</v>
      </c>
      <c r="AB135" s="82">
        <f t="shared" si="128"/>
        <v>24.274293067374739</v>
      </c>
      <c r="AC135" s="82">
        <f t="shared" si="129"/>
        <v>0.23175574740779381</v>
      </c>
      <c r="AD135" s="82">
        <v>14.9</v>
      </c>
      <c r="AE135" s="82">
        <f t="shared" si="113"/>
        <v>3.4531606363761278</v>
      </c>
      <c r="AF135" s="82">
        <f t="shared" si="141"/>
        <v>11.446839363623873</v>
      </c>
      <c r="AG135" s="82">
        <v>15.9</v>
      </c>
      <c r="AH135" s="82">
        <f t="shared" si="130"/>
        <v>0.23175574740779381</v>
      </c>
      <c r="AI135" s="82">
        <v>3.8</v>
      </c>
      <c r="AJ135" s="82">
        <f t="shared" si="131"/>
        <v>0.88067184014961641</v>
      </c>
      <c r="AK135" s="95"/>
      <c r="AL135" s="79">
        <v>41.5</v>
      </c>
      <c r="AM135" s="79">
        <v>30.6</v>
      </c>
      <c r="AN135" s="79">
        <f t="shared" si="132"/>
        <v>10.899999999999999</v>
      </c>
      <c r="AO135" s="83">
        <f t="shared" si="133"/>
        <v>5.757412446098094</v>
      </c>
      <c r="AP135" s="83">
        <f t="shared" si="134"/>
        <v>24.842587553901907</v>
      </c>
      <c r="AQ135" s="82">
        <f t="shared" si="135"/>
        <v>0.23175574740779387</v>
      </c>
      <c r="AR135" s="79">
        <v>6.6</v>
      </c>
      <c r="AS135" s="83">
        <f t="shared" si="116"/>
        <v>1.5295879328914395</v>
      </c>
      <c r="AT135" s="95"/>
      <c r="AU135" s="83">
        <v>78.7</v>
      </c>
      <c r="AV135" s="83">
        <v>56.6</v>
      </c>
      <c r="AW135" s="83">
        <f t="shared" si="136"/>
        <v>22.1</v>
      </c>
      <c r="AX135" s="83">
        <f t="shared" si="137"/>
        <v>10.649331517946147</v>
      </c>
      <c r="AY135" s="83">
        <f t="shared" si="138"/>
        <v>45.950668482053857</v>
      </c>
      <c r="AZ135" s="82">
        <f t="shared" si="139"/>
        <v>0.23175574740779384</v>
      </c>
      <c r="BA135" s="83">
        <v>21.7</v>
      </c>
      <c r="BB135" s="83">
        <f t="shared" si="140"/>
        <v>5.0290997187491264</v>
      </c>
      <c r="BC135" s="95"/>
      <c r="BD135" s="89"/>
      <c r="BE135" s="1" t="s">
        <v>17</v>
      </c>
      <c r="BF135" s="89"/>
    </row>
    <row r="136" spans="1:307" ht="15" customHeight="1" x14ac:dyDescent="0.35">
      <c r="A136" s="79" t="s">
        <v>44</v>
      </c>
      <c r="B136" s="80" t="s">
        <v>111</v>
      </c>
      <c r="C136" s="79" t="str">
        <f t="shared" si="117"/>
        <v>RB_11-24_G</v>
      </c>
      <c r="D136" s="81">
        <v>45612</v>
      </c>
      <c r="E136" s="45" t="s">
        <v>17</v>
      </c>
      <c r="F136" s="81"/>
      <c r="G136" s="79"/>
      <c r="H136" s="45" t="str">
        <f t="shared" si="118"/>
        <v>C,N,S</v>
      </c>
      <c r="I136" s="79">
        <v>133.69999999999999</v>
      </c>
      <c r="J136" s="79"/>
      <c r="K136" s="79">
        <v>151.1</v>
      </c>
      <c r="L136" s="79">
        <f t="shared" si="115"/>
        <v>17.400000000000006</v>
      </c>
      <c r="M136" s="79">
        <f t="shared" si="119"/>
        <v>104.80000000000001</v>
      </c>
      <c r="N136" s="95"/>
      <c r="O136" s="79">
        <f t="shared" si="120"/>
        <v>25.095419847328245</v>
      </c>
      <c r="P136" s="79">
        <f t="shared" si="121"/>
        <v>4.1666059670182403</v>
      </c>
      <c r="Q136" s="95"/>
      <c r="R136" s="79">
        <f t="shared" si="122"/>
        <v>26.622137404580148</v>
      </c>
      <c r="S136" s="79">
        <f t="shared" si="123"/>
        <v>4.4200876988520479</v>
      </c>
      <c r="T136" s="95"/>
      <c r="U136" s="79">
        <f t="shared" si="124"/>
        <v>48.282442748091597</v>
      </c>
      <c r="V136" s="79">
        <f t="shared" si="125"/>
        <v>8.0163597692442181</v>
      </c>
      <c r="W136" s="95"/>
      <c r="X136" s="82">
        <v>37.200000000000003</v>
      </c>
      <c r="Y136" s="82">
        <v>26.3</v>
      </c>
      <c r="Z136" s="82">
        <f t="shared" si="126"/>
        <v>10.900000000000002</v>
      </c>
      <c r="AA136" s="82">
        <f t="shared" si="127"/>
        <v>4.1666059670182403</v>
      </c>
      <c r="AB136" s="82">
        <f t="shared" si="128"/>
        <v>22.133394032981762</v>
      </c>
      <c r="AC136" s="82">
        <f t="shared" si="129"/>
        <v>0.18824975332790947</v>
      </c>
      <c r="AD136" s="82">
        <v>14.3</v>
      </c>
      <c r="AE136" s="82">
        <f t="shared" si="113"/>
        <v>2.6919714725891057</v>
      </c>
      <c r="AF136" s="82">
        <f t="shared" si="141"/>
        <v>11.608028527410895</v>
      </c>
      <c r="AG136" s="82">
        <v>14.4</v>
      </c>
      <c r="AH136" s="82">
        <f t="shared" si="130"/>
        <v>0.18824975332790947</v>
      </c>
      <c r="AI136" s="82">
        <v>4.4000000000000004</v>
      </c>
      <c r="AJ136" s="82">
        <f t="shared" si="131"/>
        <v>0.8282989146428017</v>
      </c>
      <c r="AK136" s="95"/>
      <c r="AL136" s="79">
        <v>39</v>
      </c>
      <c r="AM136" s="79">
        <v>27.9</v>
      </c>
      <c r="AN136" s="79">
        <f t="shared" si="132"/>
        <v>11.100000000000001</v>
      </c>
      <c r="AO136" s="83">
        <f t="shared" si="133"/>
        <v>4.4200876988520479</v>
      </c>
      <c r="AP136" s="83">
        <f t="shared" si="134"/>
        <v>23.479912301147952</v>
      </c>
      <c r="AQ136" s="82">
        <f t="shared" si="135"/>
        <v>0.18824975332790941</v>
      </c>
      <c r="AR136" s="79">
        <v>10</v>
      </c>
      <c r="AS136" s="83">
        <f t="shared" si="116"/>
        <v>1.8824975332790941</v>
      </c>
      <c r="AT136" s="95"/>
      <c r="AU136" s="83">
        <v>75.5</v>
      </c>
      <c r="AV136" s="83">
        <v>50.6</v>
      </c>
      <c r="AW136" s="83">
        <f t="shared" si="136"/>
        <v>24.9</v>
      </c>
      <c r="AX136" s="83">
        <f t="shared" si="137"/>
        <v>8.0163597692442181</v>
      </c>
      <c r="AY136" s="83">
        <f t="shared" si="138"/>
        <v>42.583640230755783</v>
      </c>
      <c r="AZ136" s="82">
        <f t="shared" si="139"/>
        <v>0.18824975332790947</v>
      </c>
      <c r="BA136" s="83">
        <v>26.7</v>
      </c>
      <c r="BB136" s="83">
        <f t="shared" si="140"/>
        <v>5.026268413855183</v>
      </c>
      <c r="BC136" s="95"/>
      <c r="BD136" s="89"/>
      <c r="BE136" s="1" t="s">
        <v>17</v>
      </c>
      <c r="BF136" s="8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  <c r="BQ136" s="119"/>
      <c r="BR136" s="119"/>
      <c r="BS136" s="119"/>
      <c r="BT136" s="119"/>
      <c r="BU136" s="119"/>
      <c r="BV136" s="119"/>
      <c r="BW136" s="119"/>
      <c r="BX136" s="119"/>
      <c r="BY136" s="119"/>
      <c r="BZ136" s="119"/>
      <c r="CA136" s="119"/>
      <c r="CB136" s="119"/>
      <c r="CC136" s="119"/>
      <c r="CD136" s="119"/>
      <c r="CE136" s="119"/>
      <c r="CF136" s="119"/>
      <c r="CG136" s="119"/>
      <c r="CH136" s="119"/>
      <c r="CI136" s="119"/>
      <c r="CJ136" s="119"/>
      <c r="CK136" s="119"/>
      <c r="CL136" s="119"/>
      <c r="CM136" s="119"/>
      <c r="CN136" s="119"/>
      <c r="CO136" s="119"/>
      <c r="CP136" s="119"/>
      <c r="CQ136" s="119"/>
      <c r="CR136" s="119"/>
      <c r="CS136" s="119"/>
      <c r="CT136" s="119"/>
      <c r="CU136" s="119"/>
      <c r="CV136" s="119"/>
      <c r="CW136" s="119"/>
      <c r="CX136" s="119"/>
      <c r="CY136" s="119"/>
      <c r="CZ136" s="119"/>
      <c r="DA136" s="119"/>
      <c r="DB136" s="119"/>
      <c r="DC136" s="119"/>
      <c r="DD136" s="119"/>
      <c r="DE136" s="119"/>
      <c r="DF136" s="119"/>
      <c r="DG136" s="119"/>
      <c r="DH136" s="119"/>
      <c r="DI136" s="119"/>
      <c r="DJ136" s="119"/>
      <c r="DK136" s="119"/>
      <c r="DL136" s="119"/>
      <c r="DM136" s="119"/>
      <c r="DN136" s="119"/>
      <c r="DO136" s="119"/>
      <c r="DP136" s="119"/>
      <c r="DQ136" s="119"/>
      <c r="DR136" s="119"/>
      <c r="DS136" s="119"/>
      <c r="DT136" s="119"/>
      <c r="DU136" s="119"/>
      <c r="DV136" s="119"/>
      <c r="DW136" s="119"/>
      <c r="DX136" s="119"/>
      <c r="DY136" s="119"/>
      <c r="DZ136" s="119"/>
      <c r="EA136" s="119"/>
      <c r="EB136" s="119"/>
      <c r="EC136" s="119"/>
      <c r="ED136" s="119"/>
      <c r="EE136" s="119"/>
      <c r="EF136" s="119"/>
      <c r="EG136" s="119"/>
      <c r="EH136" s="119"/>
      <c r="EI136" s="119"/>
      <c r="EJ136" s="119"/>
      <c r="EK136" s="119"/>
      <c r="EL136" s="119"/>
      <c r="EM136" s="119"/>
      <c r="EN136" s="119"/>
      <c r="EO136" s="119"/>
      <c r="EP136" s="119"/>
      <c r="EQ136" s="119"/>
      <c r="ER136" s="119"/>
      <c r="ES136" s="119"/>
      <c r="ET136" s="119"/>
      <c r="EU136" s="119"/>
      <c r="EV136" s="119"/>
      <c r="EW136" s="119"/>
      <c r="EX136" s="119"/>
      <c r="EY136" s="119"/>
      <c r="EZ136" s="119"/>
      <c r="FA136" s="119"/>
      <c r="FB136" s="119"/>
      <c r="FC136" s="119"/>
      <c r="FD136" s="119"/>
      <c r="FE136" s="119"/>
      <c r="FF136" s="119"/>
      <c r="FG136" s="119"/>
      <c r="FH136" s="119"/>
      <c r="FI136" s="119"/>
      <c r="FJ136" s="119"/>
      <c r="FK136" s="119"/>
      <c r="FL136" s="119"/>
      <c r="FM136" s="119"/>
      <c r="FN136" s="119"/>
      <c r="FO136" s="119"/>
      <c r="FP136" s="119"/>
      <c r="FQ136" s="119"/>
      <c r="FR136" s="119"/>
      <c r="FS136" s="119"/>
      <c r="FT136" s="119"/>
      <c r="FU136" s="119"/>
      <c r="FV136" s="119"/>
      <c r="FW136" s="119"/>
      <c r="FX136" s="119"/>
      <c r="FY136" s="119"/>
      <c r="FZ136" s="119"/>
      <c r="GA136" s="119"/>
      <c r="GB136" s="119"/>
      <c r="GC136" s="119"/>
      <c r="GD136" s="119"/>
      <c r="GE136" s="119"/>
      <c r="GF136" s="119"/>
      <c r="GG136" s="119"/>
      <c r="GH136" s="119"/>
      <c r="GI136" s="119"/>
      <c r="GJ136" s="119"/>
      <c r="GK136" s="119"/>
      <c r="GL136" s="119"/>
      <c r="GM136" s="119"/>
      <c r="GN136" s="119"/>
      <c r="GO136" s="119"/>
      <c r="GP136" s="119"/>
      <c r="GQ136" s="119"/>
      <c r="GR136" s="119"/>
      <c r="GS136" s="119"/>
      <c r="GT136" s="119"/>
      <c r="GU136" s="119"/>
      <c r="GV136" s="119"/>
      <c r="GW136" s="119"/>
      <c r="GX136" s="119"/>
      <c r="GY136" s="119"/>
      <c r="GZ136" s="119"/>
      <c r="HA136" s="119"/>
      <c r="HB136" s="119"/>
      <c r="HC136" s="119"/>
      <c r="HD136" s="119"/>
      <c r="HE136" s="119"/>
      <c r="HF136" s="119"/>
      <c r="HG136" s="119"/>
      <c r="HH136" s="119"/>
      <c r="HI136" s="119"/>
      <c r="HJ136" s="119"/>
      <c r="HK136" s="119"/>
      <c r="HL136" s="119"/>
      <c r="HM136" s="119"/>
      <c r="HN136" s="119"/>
      <c r="HO136" s="119"/>
      <c r="HP136" s="119"/>
      <c r="HQ136" s="119"/>
      <c r="HR136" s="119"/>
      <c r="HS136" s="119"/>
      <c r="HT136" s="119"/>
      <c r="HU136" s="119"/>
      <c r="HV136" s="119"/>
      <c r="HW136" s="119"/>
      <c r="HX136" s="119"/>
      <c r="HY136" s="119"/>
      <c r="HZ136" s="119"/>
      <c r="IA136" s="119"/>
      <c r="IB136" s="119"/>
      <c r="IC136" s="119"/>
      <c r="ID136" s="119"/>
      <c r="IE136" s="119"/>
      <c r="IF136" s="119"/>
      <c r="IG136" s="119"/>
      <c r="IH136" s="119"/>
      <c r="II136" s="119"/>
      <c r="IJ136" s="119"/>
      <c r="IK136" s="119"/>
      <c r="IL136" s="119"/>
      <c r="IM136" s="119"/>
      <c r="IN136" s="119"/>
      <c r="IO136" s="119"/>
      <c r="IP136" s="119"/>
      <c r="IQ136" s="119"/>
      <c r="IR136" s="119"/>
      <c r="IS136" s="119"/>
      <c r="IT136" s="119"/>
      <c r="IU136" s="119"/>
      <c r="IV136" s="119"/>
      <c r="IW136" s="119"/>
      <c r="IX136" s="119"/>
      <c r="IY136" s="119"/>
      <c r="IZ136" s="119"/>
      <c r="JA136" s="119"/>
      <c r="JB136" s="119"/>
      <c r="JC136" s="119"/>
      <c r="JD136" s="119"/>
      <c r="JE136" s="119"/>
      <c r="JF136" s="119"/>
      <c r="JG136" s="119"/>
      <c r="JH136" s="119"/>
      <c r="JI136" s="119"/>
      <c r="JJ136" s="119"/>
      <c r="JK136" s="119"/>
      <c r="JL136" s="119"/>
      <c r="JM136" s="119"/>
      <c r="JN136" s="119"/>
      <c r="JO136" s="119"/>
      <c r="JP136" s="119"/>
      <c r="JQ136" s="119"/>
      <c r="JR136" s="119"/>
      <c r="JS136" s="119"/>
      <c r="JT136" s="119"/>
      <c r="JU136" s="119"/>
      <c r="JV136" s="119"/>
      <c r="JW136" s="119"/>
      <c r="JX136" s="119"/>
      <c r="JY136" s="119"/>
      <c r="JZ136" s="119"/>
      <c r="KA136" s="119"/>
      <c r="KB136" s="119"/>
      <c r="KC136" s="119"/>
      <c r="KD136" s="119"/>
      <c r="KE136" s="119"/>
      <c r="KF136" s="119"/>
      <c r="KG136" s="119"/>
      <c r="KH136" s="119"/>
      <c r="KI136" s="119"/>
      <c r="KJ136" s="119"/>
      <c r="KK136" s="119"/>
      <c r="KL136" s="119"/>
      <c r="KM136" s="119"/>
      <c r="KN136" s="119"/>
      <c r="KO136" s="119"/>
      <c r="KP136" s="119"/>
      <c r="KQ136" s="119"/>
      <c r="KR136" s="119"/>
      <c r="KS136" s="119"/>
      <c r="KT136" s="119"/>
      <c r="KU136" s="119"/>
    </row>
    <row r="137" spans="1:307" ht="15" customHeight="1" x14ac:dyDescent="0.35">
      <c r="A137" s="79" t="s">
        <v>41</v>
      </c>
      <c r="B137" s="80" t="s">
        <v>111</v>
      </c>
      <c r="C137" s="79" t="str">
        <f t="shared" si="117"/>
        <v>TB1_11-24_G</v>
      </c>
      <c r="D137" s="81">
        <v>45612</v>
      </c>
      <c r="E137" s="45" t="s">
        <v>17</v>
      </c>
      <c r="F137" s="81"/>
      <c r="G137" s="79"/>
      <c r="H137" s="45" t="str">
        <f t="shared" si="118"/>
        <v>C,N,S</v>
      </c>
      <c r="I137" s="79">
        <v>132.1</v>
      </c>
      <c r="J137" s="79"/>
      <c r="K137" s="79">
        <v>160.1</v>
      </c>
      <c r="L137" s="79">
        <f t="shared" si="115"/>
        <v>28</v>
      </c>
      <c r="M137" s="79">
        <f t="shared" si="119"/>
        <v>111.80000000000001</v>
      </c>
      <c r="N137" s="95"/>
      <c r="O137" s="79">
        <f t="shared" si="120"/>
        <v>25.581395348837212</v>
      </c>
      <c r="P137" s="79">
        <f t="shared" si="121"/>
        <v>6.4067895328035949</v>
      </c>
      <c r="Q137" s="95"/>
      <c r="R137" s="79">
        <f t="shared" si="122"/>
        <v>25.134168157423968</v>
      </c>
      <c r="S137" s="79">
        <f t="shared" si="123"/>
        <v>6.2947827227895443</v>
      </c>
      <c r="T137" s="95"/>
      <c r="U137" s="79">
        <f t="shared" si="124"/>
        <v>49.284436493738816</v>
      </c>
      <c r="V137" s="79">
        <f t="shared" si="125"/>
        <v>12.343150463548183</v>
      </c>
      <c r="W137" s="95"/>
      <c r="X137" s="82">
        <v>40.700000000000003</v>
      </c>
      <c r="Y137" s="82">
        <v>28.6</v>
      </c>
      <c r="Z137" s="82">
        <f t="shared" si="126"/>
        <v>12.100000000000001</v>
      </c>
      <c r="AA137" s="82">
        <f t="shared" si="127"/>
        <v>6.4067895328035949</v>
      </c>
      <c r="AB137" s="82">
        <f t="shared" si="128"/>
        <v>22.193210467196408</v>
      </c>
      <c r="AC137" s="82">
        <f t="shared" si="129"/>
        <v>0.28868241223023655</v>
      </c>
      <c r="AD137" s="82">
        <v>14.7</v>
      </c>
      <c r="AE137" s="82">
        <f t="shared" si="113"/>
        <v>4.2436314597844769</v>
      </c>
      <c r="AF137" s="82">
        <f t="shared" si="141"/>
        <v>10.456368540215522</v>
      </c>
      <c r="AG137" s="82">
        <v>15</v>
      </c>
      <c r="AH137" s="82">
        <f t="shared" si="130"/>
        <v>0.28868241223023655</v>
      </c>
      <c r="AI137" s="82">
        <v>3.7</v>
      </c>
      <c r="AJ137" s="82">
        <f t="shared" si="131"/>
        <v>1.0681249252518752</v>
      </c>
      <c r="AK137" s="95"/>
      <c r="AL137" s="79">
        <v>41.6</v>
      </c>
      <c r="AM137" s="79">
        <v>28.1</v>
      </c>
      <c r="AN137" s="79">
        <f t="shared" si="132"/>
        <v>13.5</v>
      </c>
      <c r="AO137" s="83">
        <f t="shared" si="133"/>
        <v>6.2947827227895443</v>
      </c>
      <c r="AP137" s="83">
        <f t="shared" si="134"/>
        <v>21.805217277210456</v>
      </c>
      <c r="AQ137" s="82">
        <f t="shared" si="135"/>
        <v>0.2886824122302365</v>
      </c>
      <c r="AR137" s="79">
        <v>6.7</v>
      </c>
      <c r="AS137" s="83">
        <f t="shared" si="116"/>
        <v>1.9341721619425847</v>
      </c>
      <c r="AT137" s="95"/>
      <c r="AU137" s="83">
        <v>79</v>
      </c>
      <c r="AV137" s="83">
        <v>55.1</v>
      </c>
      <c r="AW137" s="83">
        <f t="shared" si="136"/>
        <v>23.9</v>
      </c>
      <c r="AX137" s="83">
        <f t="shared" si="137"/>
        <v>12.343150463548183</v>
      </c>
      <c r="AY137" s="83">
        <f t="shared" si="138"/>
        <v>42.756849536451817</v>
      </c>
      <c r="AZ137" s="82">
        <f t="shared" si="139"/>
        <v>0.28868241223023655</v>
      </c>
      <c r="BA137" s="83">
        <v>18.399999999999999</v>
      </c>
      <c r="BB137" s="83">
        <f t="shared" si="140"/>
        <v>5.3117563850363521</v>
      </c>
      <c r="BC137" s="95"/>
      <c r="BD137" s="89"/>
      <c r="BE137" s="1" t="s">
        <v>17</v>
      </c>
      <c r="BF137" s="89"/>
    </row>
    <row r="138" spans="1:307" ht="15" customHeight="1" x14ac:dyDescent="0.35">
      <c r="A138" s="79" t="s">
        <v>30</v>
      </c>
      <c r="B138" s="80" t="s">
        <v>111</v>
      </c>
      <c r="C138" s="79" t="str">
        <f t="shared" si="117"/>
        <v>DC1_11-24_G</v>
      </c>
      <c r="D138" s="81">
        <v>45612</v>
      </c>
      <c r="E138" s="45" t="s">
        <v>17</v>
      </c>
      <c r="F138" s="81"/>
      <c r="G138" s="79"/>
      <c r="H138" s="45" t="str">
        <f t="shared" si="118"/>
        <v>C,N,S</v>
      </c>
      <c r="I138" s="79">
        <v>133.6</v>
      </c>
      <c r="J138" s="79"/>
      <c r="K138" s="79">
        <v>162.5</v>
      </c>
      <c r="L138" s="79">
        <f t="shared" si="115"/>
        <v>28.900000000000006</v>
      </c>
      <c r="M138" s="79">
        <f t="shared" si="119"/>
        <v>116.5</v>
      </c>
      <c r="N138" s="95"/>
      <c r="O138" s="79">
        <f t="shared" si="120"/>
        <v>23.519313304721027</v>
      </c>
      <c r="P138" s="79">
        <f t="shared" si="121"/>
        <v>5.8344047597119131</v>
      </c>
      <c r="Q138" s="95"/>
      <c r="R138" s="79">
        <f t="shared" si="122"/>
        <v>27.210300429184546</v>
      </c>
      <c r="S138" s="79">
        <f t="shared" si="123"/>
        <v>6.750023024922176</v>
      </c>
      <c r="T138" s="95"/>
      <c r="U138" s="79">
        <f t="shared" si="124"/>
        <v>49.27038626609442</v>
      </c>
      <c r="V138" s="79">
        <f t="shared" si="125"/>
        <v>12.222439168155613</v>
      </c>
      <c r="W138" s="95"/>
      <c r="X138" s="82">
        <v>38.9</v>
      </c>
      <c r="Y138" s="82">
        <v>27.4</v>
      </c>
      <c r="Z138" s="82">
        <f t="shared" si="126"/>
        <v>11.5</v>
      </c>
      <c r="AA138" s="82">
        <f t="shared" si="127"/>
        <v>5.8344047597119131</v>
      </c>
      <c r="AB138" s="82">
        <f t="shared" si="128"/>
        <v>21.565595240288086</v>
      </c>
      <c r="AC138" s="82">
        <f t="shared" si="129"/>
        <v>0.27054225467481108</v>
      </c>
      <c r="AD138" s="82">
        <v>15.3</v>
      </c>
      <c r="AE138" s="82">
        <f t="shared" si="113"/>
        <v>4.1392964965246097</v>
      </c>
      <c r="AF138" s="82">
        <f t="shared" si="141"/>
        <v>11.160703503475391</v>
      </c>
      <c r="AG138" s="82">
        <v>16.7</v>
      </c>
      <c r="AH138" s="82">
        <f t="shared" si="130"/>
        <v>0.27054225467481108</v>
      </c>
      <c r="AI138" s="82">
        <v>3.1</v>
      </c>
      <c r="AJ138" s="82">
        <f t="shared" si="131"/>
        <v>0.83868098949191439</v>
      </c>
      <c r="AK138" s="95"/>
      <c r="AL138" s="79">
        <v>42.9</v>
      </c>
      <c r="AM138" s="79">
        <v>31.7</v>
      </c>
      <c r="AN138" s="79">
        <f t="shared" si="132"/>
        <v>11.2</v>
      </c>
      <c r="AO138" s="83">
        <f t="shared" si="133"/>
        <v>6.750023024922176</v>
      </c>
      <c r="AP138" s="83">
        <f t="shared" si="134"/>
        <v>24.949976975077824</v>
      </c>
      <c r="AQ138" s="82">
        <f t="shared" si="135"/>
        <v>0.27054225467481102</v>
      </c>
      <c r="AR138" s="79">
        <v>7.7</v>
      </c>
      <c r="AS138" s="83">
        <f t="shared" si="116"/>
        <v>2.0831753609960448</v>
      </c>
      <c r="AT138" s="95"/>
      <c r="AU138" s="83">
        <v>82.6</v>
      </c>
      <c r="AV138" s="83">
        <v>57.4</v>
      </c>
      <c r="AW138" s="83">
        <f t="shared" si="136"/>
        <v>25.199999999999996</v>
      </c>
      <c r="AX138" s="83">
        <f t="shared" si="137"/>
        <v>12.222439168155613</v>
      </c>
      <c r="AY138" s="83">
        <f t="shared" si="138"/>
        <v>45.177560831844389</v>
      </c>
      <c r="AZ138" s="82">
        <f t="shared" si="139"/>
        <v>0.27054225467481108</v>
      </c>
      <c r="BA138" s="83">
        <v>19</v>
      </c>
      <c r="BB138" s="83">
        <f t="shared" si="140"/>
        <v>5.1403028388214107</v>
      </c>
      <c r="BC138" s="95"/>
      <c r="BD138" s="89"/>
      <c r="BE138" s="1" t="s">
        <v>17</v>
      </c>
      <c r="BF138" s="89"/>
    </row>
    <row r="139" spans="1:307" ht="15" customHeight="1" x14ac:dyDescent="0.35">
      <c r="A139" s="79" t="s">
        <v>35</v>
      </c>
      <c r="B139" s="80" t="s">
        <v>111</v>
      </c>
      <c r="C139" s="79" t="str">
        <f t="shared" si="117"/>
        <v>MCS1_11-24_G</v>
      </c>
      <c r="D139" s="81">
        <v>45612</v>
      </c>
      <c r="E139" s="45" t="s">
        <v>17</v>
      </c>
      <c r="F139" s="81"/>
      <c r="G139" s="79"/>
      <c r="H139" s="45" t="str">
        <f t="shared" si="118"/>
        <v>C,N,S</v>
      </c>
      <c r="I139" s="79">
        <v>133.1</v>
      </c>
      <c r="J139" s="79"/>
      <c r="K139" s="79">
        <v>152.4</v>
      </c>
      <c r="L139" s="79">
        <f t="shared" si="115"/>
        <v>19.300000000000011</v>
      </c>
      <c r="M139" s="79">
        <f t="shared" si="119"/>
        <v>103.9</v>
      </c>
      <c r="N139" s="95"/>
      <c r="O139" s="79">
        <f t="shared" si="120"/>
        <v>27.141482194417708</v>
      </c>
      <c r="P139" s="79">
        <f t="shared" si="121"/>
        <v>5.0416805231209052</v>
      </c>
      <c r="Q139" s="95"/>
      <c r="R139" s="79">
        <f t="shared" si="122"/>
        <v>26.179018286814244</v>
      </c>
      <c r="S139" s="79">
        <f t="shared" si="123"/>
        <v>4.8628975258471145</v>
      </c>
      <c r="T139" s="95"/>
      <c r="U139" s="79">
        <f t="shared" si="124"/>
        <v>46.67949951876804</v>
      </c>
      <c r="V139" s="79">
        <f t="shared" si="125"/>
        <v>8.6709753677788601</v>
      </c>
      <c r="W139" s="95"/>
      <c r="X139" s="82">
        <v>41.8</v>
      </c>
      <c r="Y139" s="82">
        <v>28.2</v>
      </c>
      <c r="Z139" s="82">
        <f t="shared" si="126"/>
        <v>13.599999999999998</v>
      </c>
      <c r="AA139" s="82">
        <f t="shared" si="127"/>
        <v>5.0416805231209052</v>
      </c>
      <c r="AB139" s="82">
        <f t="shared" si="128"/>
        <v>23.158319476879093</v>
      </c>
      <c r="AC139" s="82">
        <f t="shared" si="129"/>
        <v>0.21770493874369601</v>
      </c>
      <c r="AD139" s="82">
        <v>15.7</v>
      </c>
      <c r="AE139" s="82">
        <f t="shared" si="113"/>
        <v>3.4179675382760273</v>
      </c>
      <c r="AF139" s="82">
        <v>15.6</v>
      </c>
      <c r="AG139" s="82">
        <v>16.2</v>
      </c>
      <c r="AH139" s="82">
        <f t="shared" si="130"/>
        <v>0.21770493874369601</v>
      </c>
      <c r="AI139" s="82">
        <v>4.5999999999999996</v>
      </c>
      <c r="AJ139" s="82">
        <f t="shared" si="131"/>
        <v>1.0014427182210015</v>
      </c>
      <c r="AK139" s="95"/>
      <c r="AL139" s="79">
        <v>38.799999999999997</v>
      </c>
      <c r="AM139" s="79">
        <v>27.2</v>
      </c>
      <c r="AN139" s="79">
        <f t="shared" si="132"/>
        <v>11.599999999999998</v>
      </c>
      <c r="AO139" s="83">
        <f t="shared" si="133"/>
        <v>4.8628975258471145</v>
      </c>
      <c r="AP139" s="83">
        <f t="shared" si="134"/>
        <v>22.337102474152886</v>
      </c>
      <c r="AQ139" s="82">
        <f t="shared" si="135"/>
        <v>0.21770493874369601</v>
      </c>
      <c r="AR139" s="79">
        <v>6.3</v>
      </c>
      <c r="AS139" s="83">
        <f t="shared" si="116"/>
        <v>1.3715411140852849</v>
      </c>
      <c r="AT139" s="95"/>
      <c r="AU139" s="83">
        <v>76.099999999999994</v>
      </c>
      <c r="AV139" s="83">
        <v>48.5</v>
      </c>
      <c r="AW139" s="83">
        <f t="shared" si="136"/>
        <v>27.599999999999994</v>
      </c>
      <c r="AX139" s="83">
        <f t="shared" si="137"/>
        <v>8.6709753677788601</v>
      </c>
      <c r="AY139" s="83">
        <f t="shared" si="138"/>
        <v>39.829024632221142</v>
      </c>
      <c r="AZ139" s="82">
        <f t="shared" si="139"/>
        <v>0.21770493874369592</v>
      </c>
      <c r="BA139" s="83">
        <v>24.2</v>
      </c>
      <c r="BB139" s="83">
        <f t="shared" si="140"/>
        <v>5.2684595175974414</v>
      </c>
      <c r="BC139" s="95"/>
      <c r="BD139" s="89"/>
      <c r="BE139" s="1" t="s">
        <v>17</v>
      </c>
      <c r="BF139" s="89"/>
    </row>
    <row r="140" spans="1:307" ht="15" customHeight="1" x14ac:dyDescent="0.35">
      <c r="A140" s="79" t="s">
        <v>54</v>
      </c>
      <c r="B140" s="80" t="s">
        <v>111</v>
      </c>
      <c r="C140" s="79" t="str">
        <f t="shared" si="117"/>
        <v>TKB_11-24_G</v>
      </c>
      <c r="D140" s="81">
        <v>45612</v>
      </c>
      <c r="E140" s="45" t="s">
        <v>17</v>
      </c>
      <c r="F140" s="81"/>
      <c r="G140" s="79"/>
      <c r="H140" s="45" t="str">
        <f t="shared" si="118"/>
        <v>C,N,S</v>
      </c>
      <c r="I140" s="79">
        <v>134.1</v>
      </c>
      <c r="J140" s="79"/>
      <c r="K140" s="79">
        <v>167.5</v>
      </c>
      <c r="L140" s="79">
        <f t="shared" si="115"/>
        <v>33.400000000000006</v>
      </c>
      <c r="M140" s="79">
        <f t="shared" si="119"/>
        <v>115.6</v>
      </c>
      <c r="N140" s="95"/>
      <c r="O140" s="79">
        <f t="shared" si="120"/>
        <v>24.307958477508652</v>
      </c>
      <c r="P140" s="79">
        <f t="shared" si="121"/>
        <v>7.0232336777576911</v>
      </c>
      <c r="Q140" s="95"/>
      <c r="R140" s="79">
        <f t="shared" si="122"/>
        <v>27.941176470588236</v>
      </c>
      <c r="S140" s="79">
        <f t="shared" si="123"/>
        <v>8.0729696722979867</v>
      </c>
      <c r="T140" s="95"/>
      <c r="U140" s="79">
        <f t="shared" si="124"/>
        <v>47.750865051903119</v>
      </c>
      <c r="V140" s="79">
        <f t="shared" si="125"/>
        <v>13.796530213958171</v>
      </c>
      <c r="W140" s="95"/>
      <c r="X140" s="82">
        <v>40.799999999999997</v>
      </c>
      <c r="Y140" s="82">
        <v>28.1</v>
      </c>
      <c r="Z140" s="82">
        <f t="shared" si="126"/>
        <v>12.699999999999996</v>
      </c>
      <c r="AA140" s="82">
        <f t="shared" si="127"/>
        <v>7.0232336777576911</v>
      </c>
      <c r="AB140" s="82">
        <f t="shared" si="128"/>
        <v>21.07676632224231</v>
      </c>
      <c r="AC140" s="82">
        <f t="shared" si="129"/>
        <v>0.3332215943555854</v>
      </c>
      <c r="AD140" s="82">
        <v>17</v>
      </c>
      <c r="AE140" s="82">
        <f t="shared" si="113"/>
        <v>5.6647671040449517</v>
      </c>
      <c r="AF140" s="82">
        <v>16.8</v>
      </c>
      <c r="AG140" s="82">
        <v>18</v>
      </c>
      <c r="AH140" s="82">
        <f t="shared" si="130"/>
        <v>0.3332215943555854</v>
      </c>
      <c r="AI140" s="82">
        <v>2.6</v>
      </c>
      <c r="AJ140" s="82">
        <f t="shared" si="131"/>
        <v>0.86637614532452212</v>
      </c>
      <c r="AK140" s="95"/>
      <c r="AL140" s="79">
        <v>43.2</v>
      </c>
      <c r="AM140" s="79">
        <v>32.299999999999997</v>
      </c>
      <c r="AN140" s="79">
        <f t="shared" si="132"/>
        <v>10.900000000000006</v>
      </c>
      <c r="AO140" s="83">
        <f t="shared" si="133"/>
        <v>8.0729696722979867</v>
      </c>
      <c r="AP140" s="83">
        <f t="shared" si="134"/>
        <v>24.22703032770201</v>
      </c>
      <c r="AQ140" s="82">
        <f t="shared" si="135"/>
        <v>0.33322159435558546</v>
      </c>
      <c r="AR140" s="79">
        <v>5.2</v>
      </c>
      <c r="AS140" s="83">
        <f t="shared" si="116"/>
        <v>1.7327522906490445</v>
      </c>
      <c r="AT140" s="95"/>
      <c r="AU140" s="83">
        <v>85</v>
      </c>
      <c r="AV140" s="83">
        <v>55.2</v>
      </c>
      <c r="AW140" s="83">
        <f t="shared" si="136"/>
        <v>29.799999999999997</v>
      </c>
      <c r="AX140" s="83">
        <f t="shared" si="137"/>
        <v>13.796530213958171</v>
      </c>
      <c r="AY140" s="83">
        <f t="shared" si="138"/>
        <v>41.403469786041832</v>
      </c>
      <c r="AZ140" s="82">
        <f t="shared" si="139"/>
        <v>0.33322159435558546</v>
      </c>
      <c r="BA140" s="83">
        <v>15.1</v>
      </c>
      <c r="BB140" s="83">
        <f t="shared" si="140"/>
        <v>5.0316460747693403</v>
      </c>
      <c r="BC140" s="95"/>
      <c r="BD140" s="89"/>
      <c r="BE140" s="1" t="s">
        <v>17</v>
      </c>
      <c r="BF140" s="89"/>
    </row>
    <row r="141" spans="1:307" ht="15" customHeight="1" x14ac:dyDescent="0.35">
      <c r="A141" s="94"/>
      <c r="B141" s="106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O141" s="107"/>
      <c r="P141" s="98"/>
      <c r="R141" s="107"/>
      <c r="S141" s="98"/>
      <c r="U141" s="107"/>
      <c r="V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L141" s="94"/>
      <c r="AM141" s="94"/>
      <c r="AN141" s="94"/>
      <c r="AO141" s="107"/>
      <c r="AP141" s="107"/>
      <c r="AQ141" s="98"/>
      <c r="AR141" s="94"/>
      <c r="AS141" s="107"/>
      <c r="AU141" s="107"/>
      <c r="AV141" s="107"/>
      <c r="AW141" s="107"/>
      <c r="AX141" s="107"/>
      <c r="AY141" s="107"/>
      <c r="AZ141" s="98"/>
      <c r="BA141" s="107"/>
      <c r="BB141" s="107"/>
      <c r="BD141" s="94"/>
      <c r="BE141" s="94"/>
      <c r="BF141" s="94"/>
    </row>
    <row r="143" spans="1:307" ht="15" customHeight="1" x14ac:dyDescent="0.35">
      <c r="A143">
        <f>AVERAGEIF(I:I, "&lt;&gt;")</f>
        <v>131.35724137931041</v>
      </c>
    </row>
    <row r="146" spans="1:57" ht="15" customHeight="1" x14ac:dyDescent="0.35">
      <c r="A146" s="69" t="s">
        <v>14</v>
      </c>
      <c r="B146" s="70" t="s">
        <v>15</v>
      </c>
      <c r="C146" s="69" t="str">
        <f t="shared" ref="C146:C188" si="142">A146&amp;"_"&amp;B146&amp;"_G"</f>
        <v>P37_9-23_G</v>
      </c>
      <c r="D146" s="71">
        <v>45184</v>
      </c>
      <c r="E146" s="71" t="s">
        <v>60</v>
      </c>
      <c r="F146" s="71">
        <v>45546</v>
      </c>
      <c r="G146" s="69"/>
      <c r="H146" s="69" t="str">
        <f t="shared" ref="H146:H192" si="143">IF(OR(AI146&lt;&gt;"", AR146&lt;&gt;"", BA146&lt;&gt;""),
    IF(AI146&lt;&gt;"", "C", "") &amp;
    IF(BA146&lt;&gt;"", IF(AI146&lt;&gt;"", ",N", "N"), "") &amp;
    IF(BA146&lt;&gt;"", IF(OR(AI146&lt;&gt;"", AR146&lt;&gt;""), ",S", "S"), ""),
"")</f>
        <v/>
      </c>
      <c r="I146" s="69">
        <v>134.69999999999999</v>
      </c>
      <c r="J146" s="69"/>
      <c r="K146" s="69">
        <v>142.1</v>
      </c>
      <c r="L146" s="69">
        <f>K146-I146</f>
        <v>7.4000000000000057</v>
      </c>
      <c r="M146" s="69">
        <f>Y146+AM146+AV146</f>
        <v>109.4</v>
      </c>
      <c r="O146" s="69">
        <f t="shared" ref="O146:O192" si="144">(Y146/M146)*100</f>
        <v>25.045703839122485</v>
      </c>
      <c r="P146" s="69">
        <f t="shared" ref="P146:P192" si="145">((O146/M146)*L146)</f>
        <v>1.6941335320795843</v>
      </c>
      <c r="Q146" s="94"/>
      <c r="R146" s="69">
        <f t="shared" ref="R146:R192" si="146">(AM146/M146)*100</f>
        <v>25.594149908592321</v>
      </c>
      <c r="S146" s="69">
        <f t="shared" ref="S146:S192" si="147">((R146/M146)*L146)</f>
        <v>1.7312313466506701</v>
      </c>
      <c r="T146" s="94"/>
      <c r="U146" s="69">
        <f t="shared" ref="U146:U192" si="148">(AV146/M146)*100</f>
        <v>49.36014625228519</v>
      </c>
      <c r="V146" s="69">
        <f t="shared" ref="V146:V192" si="149">((U146/M146)*L146)</f>
        <v>3.3388033113977209</v>
      </c>
      <c r="W146" s="94"/>
      <c r="X146" s="72">
        <v>36.1</v>
      </c>
      <c r="Y146" s="72">
        <v>27.4</v>
      </c>
      <c r="Z146" s="72">
        <f>X146-Y146</f>
        <v>8.7000000000000028</v>
      </c>
      <c r="AA146" s="72">
        <f t="shared" ref="AA146:AA192" si="150">P146</f>
        <v>1.6941335320795843</v>
      </c>
      <c r="AB146" s="72">
        <f t="shared" ref="AB146:AB192" si="151">Y146-AA146</f>
        <v>25.705866467920416</v>
      </c>
      <c r="AC146" s="72">
        <f t="shared" ref="AC146:AC192" si="152">AA146/AB146</f>
        <v>6.5904548838833149E-2</v>
      </c>
      <c r="AD146" s="72"/>
      <c r="AE146" s="72"/>
      <c r="AF146" s="72"/>
      <c r="AG146" s="72"/>
      <c r="AH146" s="72">
        <f t="shared" ref="AH146:AH192" si="153">AC146</f>
        <v>6.5904548838833149E-2</v>
      </c>
      <c r="AI146" s="72"/>
      <c r="AJ146" s="72">
        <f t="shared" ref="AJ146:AJ192" si="154">AI146*AH146</f>
        <v>0</v>
      </c>
      <c r="AL146" s="69">
        <v>36.1</v>
      </c>
      <c r="AM146" s="69">
        <v>28</v>
      </c>
      <c r="AN146" s="69">
        <f>AL146-AM146</f>
        <v>8.1000000000000014</v>
      </c>
      <c r="AO146" s="73">
        <f t="shared" ref="AO146:AO192" si="155">S146</f>
        <v>1.7312313466506701</v>
      </c>
      <c r="AP146" s="73">
        <f t="shared" ref="AP146:AP192" si="156">AM146-AO146</f>
        <v>26.26876865334933</v>
      </c>
      <c r="AQ146" s="72">
        <f t="shared" ref="AQ146:AQ192" si="157">AO146/AP146</f>
        <v>6.5904548838833149E-2</v>
      </c>
      <c r="AR146" s="69"/>
      <c r="AS146" s="73">
        <f t="shared" ref="AS146:AS153" si="158">AR146*AQ146</f>
        <v>0</v>
      </c>
      <c r="AU146" s="73">
        <v>70.400000000000006</v>
      </c>
      <c r="AV146" s="73">
        <v>54</v>
      </c>
      <c r="AW146" s="73">
        <f>AU146-AV146</f>
        <v>16.400000000000006</v>
      </c>
      <c r="AX146" s="73">
        <f t="shared" ref="AX146:AX192" si="159">V146</f>
        <v>3.3388033113977209</v>
      </c>
      <c r="AY146" s="73">
        <f t="shared" ref="AY146:AY192" si="160">AV146-AX146</f>
        <v>50.661196688602281</v>
      </c>
      <c r="AZ146" s="72">
        <f t="shared" ref="AZ146:AZ192" si="161">AX146/AY146</f>
        <v>6.5904548838833149E-2</v>
      </c>
      <c r="BA146" s="73"/>
      <c r="BB146" s="73">
        <f t="shared" ref="BB146:BB153" si="162">BA146*AZ146</f>
        <v>0</v>
      </c>
      <c r="BE146" s="1" t="s">
        <v>60</v>
      </c>
    </row>
    <row r="147" spans="1:57" ht="15" customHeight="1" x14ac:dyDescent="0.35">
      <c r="A147" s="69" t="s">
        <v>19</v>
      </c>
      <c r="B147" s="70" t="s">
        <v>15</v>
      </c>
      <c r="C147" s="69" t="str">
        <f t="shared" si="142"/>
        <v>NCL_9-23_G</v>
      </c>
      <c r="D147" s="71">
        <v>45184</v>
      </c>
      <c r="E147" s="71" t="s">
        <v>60</v>
      </c>
      <c r="F147" s="71">
        <v>45538</v>
      </c>
      <c r="G147" s="69"/>
      <c r="H147" s="69" t="str">
        <f t="shared" si="143"/>
        <v/>
      </c>
      <c r="I147" s="69">
        <v>133.1</v>
      </c>
      <c r="J147" s="69"/>
      <c r="K147" s="69">
        <v>135.9</v>
      </c>
      <c r="L147" s="69">
        <f>K147-I147</f>
        <v>2.8000000000000114</v>
      </c>
      <c r="M147" s="69">
        <f>Y147+AM147+AV147</f>
        <v>106.6</v>
      </c>
      <c r="O147" s="69">
        <f t="shared" si="144"/>
        <v>25.515947467166981</v>
      </c>
      <c r="P147" s="69">
        <f t="shared" si="145"/>
        <v>0.67021250382802855</v>
      </c>
      <c r="Q147" s="94"/>
      <c r="R147" s="69">
        <f t="shared" si="146"/>
        <v>26.07879924953096</v>
      </c>
      <c r="S147" s="69">
        <f t="shared" si="147"/>
        <v>0.68499660317717626</v>
      </c>
      <c r="T147" s="94"/>
      <c r="U147" s="69">
        <f t="shared" si="148"/>
        <v>48.405253283302066</v>
      </c>
      <c r="V147" s="69">
        <f t="shared" si="149"/>
        <v>1.2714325440267011</v>
      </c>
      <c r="W147" s="94"/>
      <c r="X147" s="72">
        <v>39.4</v>
      </c>
      <c r="Y147" s="72">
        <v>27.2</v>
      </c>
      <c r="Z147" s="72">
        <f>X147-Y147</f>
        <v>12.2</v>
      </c>
      <c r="AA147" s="72">
        <f t="shared" si="150"/>
        <v>0.67021250382802855</v>
      </c>
      <c r="AB147" s="72">
        <f t="shared" si="151"/>
        <v>26.52978749617197</v>
      </c>
      <c r="AC147" s="72">
        <f t="shared" si="152"/>
        <v>2.5262641245231789E-2</v>
      </c>
      <c r="AD147" s="72"/>
      <c r="AE147" s="72"/>
      <c r="AF147" s="72"/>
      <c r="AG147" s="72"/>
      <c r="AH147" s="72">
        <f t="shared" si="153"/>
        <v>2.5262641245231789E-2</v>
      </c>
      <c r="AI147" s="72"/>
      <c r="AJ147" s="72">
        <f t="shared" si="154"/>
        <v>0</v>
      </c>
      <c r="AL147" s="69">
        <v>36.1</v>
      </c>
      <c r="AM147" s="69">
        <v>27.8</v>
      </c>
      <c r="AN147" s="69">
        <f>AL147-AM147</f>
        <v>8.3000000000000007</v>
      </c>
      <c r="AO147" s="73">
        <f t="shared" si="155"/>
        <v>0.68499660317717626</v>
      </c>
      <c r="AP147" s="73">
        <f t="shared" si="156"/>
        <v>27.115003396822825</v>
      </c>
      <c r="AQ147" s="72">
        <f t="shared" si="157"/>
        <v>2.5262641245231785E-2</v>
      </c>
      <c r="AR147" s="69">
        <v>10.3</v>
      </c>
      <c r="AS147" s="73">
        <f t="shared" si="158"/>
        <v>0.26020520482588738</v>
      </c>
      <c r="AU147" s="73">
        <v>67.8</v>
      </c>
      <c r="AV147" s="73">
        <v>51.6</v>
      </c>
      <c r="AW147" s="73">
        <f>AU147-AV147</f>
        <v>16.199999999999996</v>
      </c>
      <c r="AX147" s="73">
        <f t="shared" si="159"/>
        <v>1.2714325440267011</v>
      </c>
      <c r="AY147" s="73">
        <f t="shared" si="160"/>
        <v>50.3285674559733</v>
      </c>
      <c r="AZ147" s="72">
        <f t="shared" si="161"/>
        <v>2.5262641245231785E-2</v>
      </c>
      <c r="BA147" s="73"/>
      <c r="BB147" s="73">
        <f t="shared" si="162"/>
        <v>0</v>
      </c>
      <c r="BE147" s="1" t="s">
        <v>60</v>
      </c>
    </row>
    <row r="148" spans="1:57" ht="15" customHeight="1" x14ac:dyDescent="0.35">
      <c r="A148" s="69" t="s">
        <v>31</v>
      </c>
      <c r="B148" s="70" t="s">
        <v>15</v>
      </c>
      <c r="C148" s="69" t="str">
        <f t="shared" si="142"/>
        <v>DCM1_9-23_G</v>
      </c>
      <c r="D148" s="71">
        <v>45195</v>
      </c>
      <c r="E148" s="71" t="s">
        <v>60</v>
      </c>
      <c r="F148" s="71"/>
      <c r="G148" s="69"/>
      <c r="H148" s="69" t="str">
        <f t="shared" si="143"/>
        <v/>
      </c>
      <c r="I148" s="69"/>
      <c r="J148" s="69"/>
      <c r="K148" s="69"/>
      <c r="L148" s="69"/>
      <c r="M148" s="69"/>
      <c r="O148" s="69" t="e">
        <f t="shared" si="144"/>
        <v>#DIV/0!</v>
      </c>
      <c r="P148" s="69" t="e">
        <f t="shared" si="145"/>
        <v>#DIV/0!</v>
      </c>
      <c r="Q148" s="94"/>
      <c r="R148" s="69" t="e">
        <f t="shared" si="146"/>
        <v>#DIV/0!</v>
      </c>
      <c r="S148" s="69" t="e">
        <f t="shared" si="147"/>
        <v>#DIV/0!</v>
      </c>
      <c r="T148" s="94"/>
      <c r="U148" s="69" t="e">
        <f t="shared" si="148"/>
        <v>#DIV/0!</v>
      </c>
      <c r="V148" s="69" t="e">
        <f t="shared" si="149"/>
        <v>#DIV/0!</v>
      </c>
      <c r="W148" s="94"/>
      <c r="X148" s="72"/>
      <c r="Y148" s="72"/>
      <c r="Z148" s="72"/>
      <c r="AA148" s="72" t="e">
        <f t="shared" si="150"/>
        <v>#DIV/0!</v>
      </c>
      <c r="AB148" s="72" t="e">
        <f t="shared" si="151"/>
        <v>#DIV/0!</v>
      </c>
      <c r="AC148" s="72" t="e">
        <f t="shared" si="152"/>
        <v>#DIV/0!</v>
      </c>
      <c r="AD148" s="72"/>
      <c r="AE148" s="72"/>
      <c r="AF148" s="72"/>
      <c r="AG148" s="72"/>
      <c r="AH148" s="72" t="e">
        <f t="shared" si="153"/>
        <v>#DIV/0!</v>
      </c>
      <c r="AI148" s="72"/>
      <c r="AJ148" s="72" t="e">
        <f t="shared" si="154"/>
        <v>#DIV/0!</v>
      </c>
      <c r="AL148" s="69"/>
      <c r="AM148" s="69"/>
      <c r="AN148" s="69"/>
      <c r="AO148" s="73" t="e">
        <f t="shared" si="155"/>
        <v>#DIV/0!</v>
      </c>
      <c r="AP148" s="73" t="e">
        <f t="shared" si="156"/>
        <v>#DIV/0!</v>
      </c>
      <c r="AQ148" s="72" t="e">
        <f t="shared" si="157"/>
        <v>#DIV/0!</v>
      </c>
      <c r="AR148" s="69"/>
      <c r="AS148" s="73" t="e">
        <f t="shared" si="158"/>
        <v>#DIV/0!</v>
      </c>
      <c r="AU148" s="73"/>
      <c r="AV148" s="73"/>
      <c r="AW148" s="73"/>
      <c r="AX148" s="73" t="e">
        <f t="shared" si="159"/>
        <v>#DIV/0!</v>
      </c>
      <c r="AY148" s="73" t="e">
        <f t="shared" si="160"/>
        <v>#DIV/0!</v>
      </c>
      <c r="AZ148" s="72" t="e">
        <f t="shared" si="161"/>
        <v>#DIV/0!</v>
      </c>
      <c r="BA148" s="73"/>
      <c r="BB148" s="73" t="e">
        <f t="shared" si="162"/>
        <v>#DIV/0!</v>
      </c>
      <c r="BE148" s="1" t="s">
        <v>60</v>
      </c>
    </row>
    <row r="149" spans="1:57" ht="15" customHeight="1" x14ac:dyDescent="0.35">
      <c r="A149" s="69" t="s">
        <v>33</v>
      </c>
      <c r="B149" s="70" t="s">
        <v>15</v>
      </c>
      <c r="C149" s="69" t="str">
        <f t="shared" si="142"/>
        <v>DCM2_9-23_G</v>
      </c>
      <c r="D149" s="71">
        <v>45195</v>
      </c>
      <c r="E149" s="71" t="s">
        <v>60</v>
      </c>
      <c r="F149" s="71">
        <v>45568</v>
      </c>
      <c r="G149" s="69"/>
      <c r="H149" s="69" t="str">
        <f t="shared" si="143"/>
        <v/>
      </c>
      <c r="I149" s="69"/>
      <c r="J149" s="69">
        <v>130.50101010101005</v>
      </c>
      <c r="K149" s="69">
        <v>139.30000000000001</v>
      </c>
      <c r="L149" s="69">
        <f>K149-J149</f>
        <v>8.7989898989899586</v>
      </c>
      <c r="M149" s="69">
        <f t="shared" ref="M149:M192" si="163">Y149+AM149+AV149</f>
        <v>97.7</v>
      </c>
      <c r="O149" s="69">
        <f t="shared" si="144"/>
        <v>27.021494370522003</v>
      </c>
      <c r="P149" s="69">
        <f t="shared" si="145"/>
        <v>2.4335911568253543</v>
      </c>
      <c r="Q149" s="94"/>
      <c r="R149" s="69">
        <f t="shared" si="146"/>
        <v>26.714431934493348</v>
      </c>
      <c r="S149" s="69">
        <f t="shared" si="147"/>
        <v>2.4059367118614299</v>
      </c>
      <c r="T149" s="94"/>
      <c r="U149" s="69">
        <f t="shared" si="148"/>
        <v>46.264073694984646</v>
      </c>
      <c r="V149" s="69">
        <f t="shared" si="149"/>
        <v>4.1666030412312889</v>
      </c>
      <c r="W149" s="94"/>
      <c r="X149" s="72">
        <v>39.1</v>
      </c>
      <c r="Y149" s="72">
        <v>26.4</v>
      </c>
      <c r="Z149" s="72">
        <f t="shared" ref="Z149:Z192" si="164">X149-Y149</f>
        <v>12.700000000000003</v>
      </c>
      <c r="AA149" s="72">
        <f t="shared" si="150"/>
        <v>2.4335911568253543</v>
      </c>
      <c r="AB149" s="72">
        <f t="shared" si="151"/>
        <v>23.966408843174644</v>
      </c>
      <c r="AC149" s="72">
        <f t="shared" si="152"/>
        <v>0.10154175257334863</v>
      </c>
      <c r="AD149" s="72"/>
      <c r="AE149" s="72"/>
      <c r="AF149" s="72"/>
      <c r="AG149" s="72"/>
      <c r="AH149" s="72">
        <f t="shared" si="153"/>
        <v>0.10154175257334863</v>
      </c>
      <c r="AI149" s="72"/>
      <c r="AJ149" s="72">
        <f t="shared" si="154"/>
        <v>0</v>
      </c>
      <c r="AL149" s="69">
        <v>35.799999999999997</v>
      </c>
      <c r="AM149" s="69">
        <v>26.1</v>
      </c>
      <c r="AN149" s="69">
        <f t="shared" ref="AN149:AN192" si="165">AL149-AM149</f>
        <v>9.6999999999999957</v>
      </c>
      <c r="AO149" s="73">
        <f t="shared" si="155"/>
        <v>2.4059367118614299</v>
      </c>
      <c r="AP149" s="73">
        <f t="shared" si="156"/>
        <v>23.694063288138572</v>
      </c>
      <c r="AQ149" s="72">
        <f t="shared" si="157"/>
        <v>0.10154175257334862</v>
      </c>
      <c r="AR149" s="69">
        <v>12.3</v>
      </c>
      <c r="AS149" s="73">
        <f t="shared" si="158"/>
        <v>1.2489635566521882</v>
      </c>
      <c r="AU149" s="73">
        <v>64.8</v>
      </c>
      <c r="AV149" s="73">
        <v>45.2</v>
      </c>
      <c r="AW149" s="73">
        <f t="shared" ref="AW149:AW192" si="166">AU149-AV149</f>
        <v>19.599999999999994</v>
      </c>
      <c r="AX149" s="73">
        <f t="shared" si="159"/>
        <v>4.1666030412312889</v>
      </c>
      <c r="AY149" s="73">
        <f t="shared" si="160"/>
        <v>41.033396958768712</v>
      </c>
      <c r="AZ149" s="72">
        <f t="shared" si="161"/>
        <v>0.10154175257334863</v>
      </c>
      <c r="BA149" s="73"/>
      <c r="BB149" s="73">
        <f t="shared" si="162"/>
        <v>0</v>
      </c>
      <c r="BE149" s="1" t="s">
        <v>60</v>
      </c>
    </row>
    <row r="150" spans="1:57" ht="15" customHeight="1" x14ac:dyDescent="0.35">
      <c r="A150" s="69" t="s">
        <v>27</v>
      </c>
      <c r="B150" s="70" t="s">
        <v>15</v>
      </c>
      <c r="C150" s="69" t="str">
        <f t="shared" si="142"/>
        <v>ACS4_9-23_G</v>
      </c>
      <c r="D150" s="71">
        <v>45195</v>
      </c>
      <c r="E150" s="71" t="s">
        <v>60</v>
      </c>
      <c r="F150" s="71">
        <v>45539</v>
      </c>
      <c r="G150" s="69"/>
      <c r="H150" s="69" t="str">
        <f t="shared" si="143"/>
        <v/>
      </c>
      <c r="I150" s="69">
        <v>129.1</v>
      </c>
      <c r="J150" s="69"/>
      <c r="K150" s="69">
        <v>130.69999999999999</v>
      </c>
      <c r="L150" s="69">
        <f>K150-I150</f>
        <v>1.5999999999999943</v>
      </c>
      <c r="M150" s="69">
        <f t="shared" si="163"/>
        <v>101.8</v>
      </c>
      <c r="O150" s="69">
        <f t="shared" si="144"/>
        <v>23.182711198428294</v>
      </c>
      <c r="P150" s="69">
        <f t="shared" si="145"/>
        <v>0.36436481254896991</v>
      </c>
      <c r="Q150" s="94"/>
      <c r="R150" s="69">
        <f t="shared" si="146"/>
        <v>23.280943025540275</v>
      </c>
      <c r="S150" s="69">
        <f t="shared" si="147"/>
        <v>0.36590873124621132</v>
      </c>
      <c r="T150" s="94"/>
      <c r="U150" s="69">
        <f t="shared" si="148"/>
        <v>53.536345776031439</v>
      </c>
      <c r="V150" s="69">
        <f t="shared" si="149"/>
        <v>0.84143568999656182</v>
      </c>
      <c r="W150" s="94"/>
      <c r="X150" s="72">
        <v>34.200000000000003</v>
      </c>
      <c r="Y150" s="72">
        <v>23.6</v>
      </c>
      <c r="Z150" s="72">
        <f t="shared" si="164"/>
        <v>10.600000000000001</v>
      </c>
      <c r="AA150" s="72">
        <f t="shared" si="150"/>
        <v>0.36436481254896991</v>
      </c>
      <c r="AB150" s="72">
        <f t="shared" si="151"/>
        <v>23.235635187451031</v>
      </c>
      <c r="AC150" s="72">
        <f t="shared" si="152"/>
        <v>1.5681293393079006E-2</v>
      </c>
      <c r="AD150" s="72"/>
      <c r="AE150" s="72"/>
      <c r="AF150" s="72"/>
      <c r="AG150" s="72"/>
      <c r="AH150" s="72">
        <f t="shared" si="153"/>
        <v>1.5681293393079006E-2</v>
      </c>
      <c r="AI150" s="72"/>
      <c r="AJ150" s="72">
        <f t="shared" si="154"/>
        <v>0</v>
      </c>
      <c r="AL150" s="69">
        <v>35.200000000000003</v>
      </c>
      <c r="AM150" s="69">
        <v>23.7</v>
      </c>
      <c r="AN150" s="69">
        <f t="shared" si="165"/>
        <v>11.500000000000004</v>
      </c>
      <c r="AO150" s="73">
        <f t="shared" si="155"/>
        <v>0.36590873124621132</v>
      </c>
      <c r="AP150" s="73">
        <f t="shared" si="156"/>
        <v>23.334091268753788</v>
      </c>
      <c r="AQ150" s="72">
        <f t="shared" si="157"/>
        <v>1.5681293393079006E-2</v>
      </c>
      <c r="AR150" s="69"/>
      <c r="AS150" s="73">
        <f t="shared" si="158"/>
        <v>0</v>
      </c>
      <c r="AU150" s="73">
        <v>71.8</v>
      </c>
      <c r="AV150" s="73">
        <v>54.5</v>
      </c>
      <c r="AW150" s="73">
        <f t="shared" si="166"/>
        <v>17.299999999999997</v>
      </c>
      <c r="AX150" s="73">
        <f t="shared" si="159"/>
        <v>0.84143568999656182</v>
      </c>
      <c r="AY150" s="73">
        <f t="shared" si="160"/>
        <v>53.658564310003442</v>
      </c>
      <c r="AZ150" s="72">
        <f t="shared" si="161"/>
        <v>1.5681293393079006E-2</v>
      </c>
      <c r="BA150" s="73"/>
      <c r="BB150" s="73">
        <f t="shared" si="162"/>
        <v>0</v>
      </c>
      <c r="BE150" s="1" t="s">
        <v>60</v>
      </c>
    </row>
    <row r="151" spans="1:57" ht="15" customHeight="1" x14ac:dyDescent="0.35">
      <c r="A151" s="69" t="s">
        <v>46</v>
      </c>
      <c r="B151" s="70" t="s">
        <v>110</v>
      </c>
      <c r="C151" s="69" t="str">
        <f t="shared" si="142"/>
        <v>TSM3_1123E_G</v>
      </c>
      <c r="D151" s="71">
        <v>45258</v>
      </c>
      <c r="E151" s="71" t="s">
        <v>60</v>
      </c>
      <c r="F151" s="71">
        <v>45258</v>
      </c>
      <c r="G151" s="69"/>
      <c r="H151" s="69" t="str">
        <f t="shared" si="143"/>
        <v/>
      </c>
      <c r="I151" s="69"/>
      <c r="J151" s="69">
        <v>130.50101010101005</v>
      </c>
      <c r="K151" s="69">
        <v>129.1</v>
      </c>
      <c r="L151" s="69">
        <f>K151-J151</f>
        <v>-1.4010101010100584</v>
      </c>
      <c r="M151" s="69">
        <f t="shared" si="163"/>
        <v>0</v>
      </c>
      <c r="O151" s="69" t="e">
        <f t="shared" si="144"/>
        <v>#DIV/0!</v>
      </c>
      <c r="P151" s="69" t="e">
        <f t="shared" si="145"/>
        <v>#DIV/0!</v>
      </c>
      <c r="Q151" s="94"/>
      <c r="R151" s="69" t="e">
        <f t="shared" si="146"/>
        <v>#DIV/0!</v>
      </c>
      <c r="S151" s="69" t="e">
        <f t="shared" si="147"/>
        <v>#DIV/0!</v>
      </c>
      <c r="T151" s="94"/>
      <c r="U151" s="69" t="e">
        <f t="shared" si="148"/>
        <v>#DIV/0!</v>
      </c>
      <c r="V151" s="69" t="e">
        <f t="shared" si="149"/>
        <v>#DIV/0!</v>
      </c>
      <c r="W151" s="94"/>
      <c r="X151" s="72"/>
      <c r="Y151" s="72"/>
      <c r="Z151" s="72">
        <f t="shared" si="164"/>
        <v>0</v>
      </c>
      <c r="AA151" s="72" t="e">
        <f t="shared" si="150"/>
        <v>#DIV/0!</v>
      </c>
      <c r="AB151" s="72" t="e">
        <f t="shared" si="151"/>
        <v>#DIV/0!</v>
      </c>
      <c r="AC151" s="72" t="e">
        <f t="shared" si="152"/>
        <v>#DIV/0!</v>
      </c>
      <c r="AD151" s="72"/>
      <c r="AE151" s="72" t="e">
        <f>AD151*AC151</f>
        <v>#DIV/0!</v>
      </c>
      <c r="AF151" s="72" t="e">
        <f>AD151-AE151</f>
        <v>#DIV/0!</v>
      </c>
      <c r="AG151" s="72"/>
      <c r="AH151" s="72" t="e">
        <f t="shared" si="153"/>
        <v>#DIV/0!</v>
      </c>
      <c r="AI151" s="72"/>
      <c r="AJ151" s="72" t="e">
        <f t="shared" si="154"/>
        <v>#DIV/0!</v>
      </c>
      <c r="AL151" s="69"/>
      <c r="AM151" s="69"/>
      <c r="AN151" s="69">
        <f t="shared" si="165"/>
        <v>0</v>
      </c>
      <c r="AO151" s="73" t="e">
        <f t="shared" si="155"/>
        <v>#DIV/0!</v>
      </c>
      <c r="AP151" s="73" t="e">
        <f t="shared" si="156"/>
        <v>#DIV/0!</v>
      </c>
      <c r="AQ151" s="72" t="e">
        <f t="shared" si="157"/>
        <v>#DIV/0!</v>
      </c>
      <c r="AR151" s="69"/>
      <c r="AS151" s="73" t="e">
        <f t="shared" si="158"/>
        <v>#DIV/0!</v>
      </c>
      <c r="AU151" s="73"/>
      <c r="AV151" s="73"/>
      <c r="AW151" s="73">
        <f t="shared" si="166"/>
        <v>0</v>
      </c>
      <c r="AX151" s="73" t="e">
        <f t="shared" si="159"/>
        <v>#DIV/0!</v>
      </c>
      <c r="AY151" s="73" t="e">
        <f t="shared" si="160"/>
        <v>#DIV/0!</v>
      </c>
      <c r="AZ151" s="72" t="e">
        <f t="shared" si="161"/>
        <v>#DIV/0!</v>
      </c>
      <c r="BA151" s="73"/>
      <c r="BB151" s="73" t="e">
        <f t="shared" si="162"/>
        <v>#DIV/0!</v>
      </c>
      <c r="BE151" s="1" t="s">
        <v>60</v>
      </c>
    </row>
    <row r="152" spans="1:57" ht="15" customHeight="1" x14ac:dyDescent="0.35">
      <c r="A152" s="69" t="s">
        <v>47</v>
      </c>
      <c r="B152" s="70" t="s">
        <v>110</v>
      </c>
      <c r="C152" s="69" t="str">
        <f t="shared" si="142"/>
        <v>TSM4_1123E_G</v>
      </c>
      <c r="D152" s="71">
        <v>45258</v>
      </c>
      <c r="E152" s="71" t="s">
        <v>60</v>
      </c>
      <c r="F152" s="71">
        <v>45258</v>
      </c>
      <c r="G152" s="69"/>
      <c r="H152" s="69" t="str">
        <f t="shared" si="143"/>
        <v/>
      </c>
      <c r="I152" s="69"/>
      <c r="J152" s="69">
        <v>130.50101010101005</v>
      </c>
      <c r="K152" s="69">
        <v>129.5</v>
      </c>
      <c r="L152" s="69">
        <f>K152-I152</f>
        <v>129.5</v>
      </c>
      <c r="M152" s="69">
        <f t="shared" si="163"/>
        <v>0</v>
      </c>
      <c r="O152" s="69" t="e">
        <f t="shared" si="144"/>
        <v>#DIV/0!</v>
      </c>
      <c r="P152" s="69" t="e">
        <f t="shared" si="145"/>
        <v>#DIV/0!</v>
      </c>
      <c r="Q152" s="94"/>
      <c r="R152" s="69" t="e">
        <f t="shared" si="146"/>
        <v>#DIV/0!</v>
      </c>
      <c r="S152" s="69" t="e">
        <f t="shared" si="147"/>
        <v>#DIV/0!</v>
      </c>
      <c r="T152" s="94"/>
      <c r="U152" s="69" t="e">
        <f t="shared" si="148"/>
        <v>#DIV/0!</v>
      </c>
      <c r="V152" s="69" t="e">
        <f t="shared" si="149"/>
        <v>#DIV/0!</v>
      </c>
      <c r="W152" s="94"/>
      <c r="X152" s="72"/>
      <c r="Y152" s="72"/>
      <c r="Z152" s="72">
        <f t="shared" si="164"/>
        <v>0</v>
      </c>
      <c r="AA152" s="72" t="e">
        <f t="shared" si="150"/>
        <v>#DIV/0!</v>
      </c>
      <c r="AB152" s="72" t="e">
        <f t="shared" si="151"/>
        <v>#DIV/0!</v>
      </c>
      <c r="AC152" s="72" t="e">
        <f t="shared" si="152"/>
        <v>#DIV/0!</v>
      </c>
      <c r="AD152" s="72"/>
      <c r="AE152" s="72" t="e">
        <f>AD152*AC152</f>
        <v>#DIV/0!</v>
      </c>
      <c r="AF152" s="72" t="e">
        <f>AD152-AE152</f>
        <v>#DIV/0!</v>
      </c>
      <c r="AG152" s="72"/>
      <c r="AH152" s="72" t="e">
        <f t="shared" si="153"/>
        <v>#DIV/0!</v>
      </c>
      <c r="AI152" s="72"/>
      <c r="AJ152" s="72" t="e">
        <f t="shared" si="154"/>
        <v>#DIV/0!</v>
      </c>
      <c r="AL152" s="69"/>
      <c r="AM152" s="69"/>
      <c r="AN152" s="69">
        <f t="shared" si="165"/>
        <v>0</v>
      </c>
      <c r="AO152" s="73" t="e">
        <f t="shared" si="155"/>
        <v>#DIV/0!</v>
      </c>
      <c r="AP152" s="73" t="e">
        <f t="shared" si="156"/>
        <v>#DIV/0!</v>
      </c>
      <c r="AQ152" s="72" t="e">
        <f t="shared" si="157"/>
        <v>#DIV/0!</v>
      </c>
      <c r="AR152" s="69"/>
      <c r="AS152" s="73" t="e">
        <f t="shared" si="158"/>
        <v>#DIV/0!</v>
      </c>
      <c r="AU152" s="73"/>
      <c r="AV152" s="73"/>
      <c r="AW152" s="73">
        <f t="shared" si="166"/>
        <v>0</v>
      </c>
      <c r="AX152" s="73" t="e">
        <f t="shared" si="159"/>
        <v>#DIV/0!</v>
      </c>
      <c r="AY152" s="73" t="e">
        <f t="shared" si="160"/>
        <v>#DIV/0!</v>
      </c>
      <c r="AZ152" s="72" t="e">
        <f t="shared" si="161"/>
        <v>#DIV/0!</v>
      </c>
      <c r="BA152" s="73"/>
      <c r="BB152" s="73" t="e">
        <f t="shared" si="162"/>
        <v>#DIV/0!</v>
      </c>
      <c r="BE152" s="1" t="s">
        <v>60</v>
      </c>
    </row>
    <row r="153" spans="1:57" ht="15" customHeight="1" x14ac:dyDescent="0.35">
      <c r="A153" s="69" t="s">
        <v>48</v>
      </c>
      <c r="B153" s="70" t="s">
        <v>110</v>
      </c>
      <c r="C153" s="69" t="str">
        <f t="shared" si="142"/>
        <v>SBT1_1123E_G</v>
      </c>
      <c r="D153" s="71">
        <v>45258</v>
      </c>
      <c r="E153" s="71" t="s">
        <v>60</v>
      </c>
      <c r="F153" s="71">
        <v>45258</v>
      </c>
      <c r="G153" s="69"/>
      <c r="H153" s="69" t="str">
        <f t="shared" si="143"/>
        <v/>
      </c>
      <c r="I153" s="69"/>
      <c r="J153" s="69">
        <v>130.50101010101005</v>
      </c>
      <c r="K153" s="69">
        <v>137.80000000000001</v>
      </c>
      <c r="L153" s="69">
        <f t="shared" ref="L153:L158" si="167">K153-J153</f>
        <v>7.2989898989899586</v>
      </c>
      <c r="M153" s="69">
        <f t="shared" si="163"/>
        <v>96</v>
      </c>
      <c r="O153" s="69">
        <f t="shared" si="144"/>
        <v>26.666666666666668</v>
      </c>
      <c r="P153" s="69">
        <f t="shared" si="145"/>
        <v>2.0274971941638773</v>
      </c>
      <c r="Q153" s="94"/>
      <c r="R153" s="69">
        <f t="shared" si="146"/>
        <v>24.479166666666664</v>
      </c>
      <c r="S153" s="69">
        <f t="shared" si="147"/>
        <v>1.8611790649551216</v>
      </c>
      <c r="T153" s="94"/>
      <c r="U153" s="69">
        <f t="shared" si="148"/>
        <v>48.854166666666664</v>
      </c>
      <c r="V153" s="69">
        <f t="shared" si="149"/>
        <v>3.7144382189955407</v>
      </c>
      <c r="W153" s="94"/>
      <c r="X153" s="72">
        <v>37.799999999999997</v>
      </c>
      <c r="Y153" s="72">
        <v>25.6</v>
      </c>
      <c r="Z153" s="72">
        <f t="shared" si="164"/>
        <v>12.199999999999996</v>
      </c>
      <c r="AA153" s="72">
        <f t="shared" si="150"/>
        <v>2.0274971941638773</v>
      </c>
      <c r="AB153" s="72">
        <f t="shared" si="151"/>
        <v>23.572502805836123</v>
      </c>
      <c r="AC153" s="72">
        <f t="shared" si="152"/>
        <v>8.601111264527693E-2</v>
      </c>
      <c r="AD153" s="72"/>
      <c r="AE153" s="72">
        <f>AD153*AC153</f>
        <v>0</v>
      </c>
      <c r="AF153" s="72">
        <f>AD153-AE153</f>
        <v>0</v>
      </c>
      <c r="AG153" s="72"/>
      <c r="AH153" s="72">
        <f t="shared" si="153"/>
        <v>8.601111264527693E-2</v>
      </c>
      <c r="AI153" s="72"/>
      <c r="AJ153" s="72">
        <f t="shared" si="154"/>
        <v>0</v>
      </c>
      <c r="AL153" s="69">
        <v>35.700000000000003</v>
      </c>
      <c r="AM153" s="69">
        <v>23.5</v>
      </c>
      <c r="AN153" s="69">
        <f t="shared" si="165"/>
        <v>12.200000000000003</v>
      </c>
      <c r="AO153" s="73">
        <f t="shared" si="155"/>
        <v>1.8611790649551216</v>
      </c>
      <c r="AP153" s="73">
        <f t="shared" si="156"/>
        <v>21.63882093504488</v>
      </c>
      <c r="AQ153" s="72">
        <f t="shared" si="157"/>
        <v>8.6011112645276916E-2</v>
      </c>
      <c r="AR153" s="69">
        <v>16</v>
      </c>
      <c r="AS153" s="73">
        <f t="shared" si="158"/>
        <v>1.3761778023244307</v>
      </c>
      <c r="AU153" s="73">
        <v>64.7</v>
      </c>
      <c r="AV153" s="73">
        <v>46.9</v>
      </c>
      <c r="AW153" s="73">
        <f t="shared" si="166"/>
        <v>17.800000000000004</v>
      </c>
      <c r="AX153" s="73">
        <f t="shared" si="159"/>
        <v>3.7144382189955407</v>
      </c>
      <c r="AY153" s="73">
        <f t="shared" si="160"/>
        <v>43.185561781004459</v>
      </c>
      <c r="AZ153" s="72">
        <f t="shared" si="161"/>
        <v>8.601111264527693E-2</v>
      </c>
      <c r="BA153" s="73"/>
      <c r="BB153" s="73">
        <f t="shared" si="162"/>
        <v>0</v>
      </c>
      <c r="BE153" s="1" t="s">
        <v>60</v>
      </c>
    </row>
    <row r="154" spans="1:57" ht="15" customHeight="1" x14ac:dyDescent="0.35">
      <c r="A154" s="69" t="s">
        <v>30</v>
      </c>
      <c r="B154" s="70" t="s">
        <v>110</v>
      </c>
      <c r="C154" s="69" t="str">
        <f t="shared" si="142"/>
        <v>DC1_1123E_G</v>
      </c>
      <c r="D154" s="71">
        <v>45258</v>
      </c>
      <c r="E154" s="71" t="s">
        <v>60</v>
      </c>
      <c r="F154" s="71">
        <v>45258</v>
      </c>
      <c r="G154" s="69"/>
      <c r="H154" s="69" t="str">
        <f t="shared" si="143"/>
        <v/>
      </c>
      <c r="I154" s="69"/>
      <c r="J154" s="69">
        <v>130.50101010101005</v>
      </c>
      <c r="K154" s="69">
        <v>134.69999999999999</v>
      </c>
      <c r="L154" s="69">
        <f t="shared" si="167"/>
        <v>4.1989898989899359</v>
      </c>
      <c r="M154" s="69">
        <f t="shared" si="163"/>
        <v>99.4</v>
      </c>
      <c r="O154" s="69">
        <f t="shared" si="144"/>
        <v>26.861167002012071</v>
      </c>
      <c r="P154" s="69">
        <f t="shared" si="145"/>
        <v>1.1347059247135862</v>
      </c>
      <c r="Q154" s="94"/>
      <c r="R154" s="69">
        <f t="shared" si="146"/>
        <v>26.458752515090545</v>
      </c>
      <c r="S154" s="69">
        <f t="shared" si="147"/>
        <v>1.1177065850175025</v>
      </c>
      <c r="T154" s="94"/>
      <c r="U154" s="69">
        <f t="shared" si="148"/>
        <v>46.680080482897381</v>
      </c>
      <c r="V154" s="69">
        <f t="shared" si="149"/>
        <v>1.9719234047457077</v>
      </c>
      <c r="W154" s="94"/>
      <c r="X154" s="72">
        <v>36.700000000000003</v>
      </c>
      <c r="Y154" s="72">
        <v>26.7</v>
      </c>
      <c r="Z154" s="72">
        <f t="shared" si="164"/>
        <v>10.000000000000004</v>
      </c>
      <c r="AA154" s="72">
        <f t="shared" si="150"/>
        <v>1.1347059247135862</v>
      </c>
      <c r="AB154" s="72">
        <f t="shared" si="151"/>
        <v>25.565294075286413</v>
      </c>
      <c r="AC154" s="72">
        <f t="shared" si="152"/>
        <v>4.4384622424918217E-2</v>
      </c>
      <c r="AD154" s="72"/>
      <c r="AE154" s="72"/>
      <c r="AF154" s="72"/>
      <c r="AG154" s="72"/>
      <c r="AH154" s="72">
        <f t="shared" si="153"/>
        <v>4.4384622424918217E-2</v>
      </c>
      <c r="AI154" s="72"/>
      <c r="AJ154" s="72">
        <f t="shared" si="154"/>
        <v>0</v>
      </c>
      <c r="AL154" s="69">
        <v>38.200000000000003</v>
      </c>
      <c r="AM154" s="69">
        <v>26.3</v>
      </c>
      <c r="AN154" s="69">
        <f t="shared" si="165"/>
        <v>11.900000000000002</v>
      </c>
      <c r="AO154" s="73">
        <f t="shared" si="155"/>
        <v>1.1177065850175025</v>
      </c>
      <c r="AP154" s="73">
        <f t="shared" si="156"/>
        <v>25.1822934149825</v>
      </c>
      <c r="AQ154" s="72">
        <f t="shared" si="157"/>
        <v>4.4384622424918217E-2</v>
      </c>
      <c r="AR154" s="69"/>
      <c r="AS154" s="73"/>
      <c r="AU154" s="73">
        <v>67.599999999999994</v>
      </c>
      <c r="AV154" s="73">
        <v>46.4</v>
      </c>
      <c r="AW154" s="73">
        <f t="shared" si="166"/>
        <v>21.199999999999996</v>
      </c>
      <c r="AX154" s="73">
        <f t="shared" si="159"/>
        <v>1.9719234047457077</v>
      </c>
      <c r="AY154" s="73">
        <f t="shared" si="160"/>
        <v>44.428076595254289</v>
      </c>
      <c r="AZ154" s="72">
        <f t="shared" si="161"/>
        <v>4.4384622424918217E-2</v>
      </c>
      <c r="BA154" s="73"/>
      <c r="BB154" s="73"/>
      <c r="BE154" s="1" t="s">
        <v>60</v>
      </c>
    </row>
    <row r="155" spans="1:57" ht="15" customHeight="1" x14ac:dyDescent="0.35">
      <c r="A155" s="69" t="s">
        <v>31</v>
      </c>
      <c r="B155" s="70" t="s">
        <v>110</v>
      </c>
      <c r="C155" s="69" t="str">
        <f t="shared" si="142"/>
        <v>DCM1_1123E_G</v>
      </c>
      <c r="D155" s="71">
        <v>45258</v>
      </c>
      <c r="E155" s="71" t="s">
        <v>60</v>
      </c>
      <c r="F155" s="71">
        <v>45258</v>
      </c>
      <c r="G155" s="69"/>
      <c r="H155" s="69" t="str">
        <f t="shared" si="143"/>
        <v/>
      </c>
      <c r="I155" s="69"/>
      <c r="J155" s="69">
        <v>130.50101010101005</v>
      </c>
      <c r="K155" s="69">
        <v>130.30000000000001</v>
      </c>
      <c r="L155" s="69">
        <f t="shared" si="167"/>
        <v>-0.20101010101004135</v>
      </c>
      <c r="M155" s="69">
        <f t="shared" si="163"/>
        <v>94.1</v>
      </c>
      <c r="O155" s="69">
        <f t="shared" si="144"/>
        <v>27.205100956429334</v>
      </c>
      <c r="P155" s="69">
        <f t="shared" si="145"/>
        <v>-5.8113709790013103E-2</v>
      </c>
      <c r="Q155" s="94"/>
      <c r="R155" s="69">
        <f t="shared" si="146"/>
        <v>26.142401700318814</v>
      </c>
      <c r="S155" s="69">
        <f t="shared" si="147"/>
        <v>-5.5843643001340718E-2</v>
      </c>
      <c r="T155" s="94"/>
      <c r="U155" s="69">
        <f t="shared" si="148"/>
        <v>46.652497343251859</v>
      </c>
      <c r="V155" s="69">
        <f t="shared" si="149"/>
        <v>-9.9655932022717775E-2</v>
      </c>
      <c r="W155" s="94"/>
      <c r="X155" s="72">
        <v>35</v>
      </c>
      <c r="Y155" s="72">
        <v>25.6</v>
      </c>
      <c r="Z155" s="72">
        <f t="shared" si="164"/>
        <v>9.3999999999999986</v>
      </c>
      <c r="AA155" s="72">
        <f t="shared" si="150"/>
        <v>-5.8113709790013103E-2</v>
      </c>
      <c r="AB155" s="72">
        <f t="shared" si="151"/>
        <v>25.658113709790015</v>
      </c>
      <c r="AC155" s="72">
        <f t="shared" si="152"/>
        <v>-2.2649252570674924E-3</v>
      </c>
      <c r="AD155" s="72"/>
      <c r="AE155" s="72"/>
      <c r="AF155" s="72"/>
      <c r="AG155" s="72"/>
      <c r="AH155" s="72">
        <f t="shared" si="153"/>
        <v>-2.2649252570674924E-3</v>
      </c>
      <c r="AI155" s="72"/>
      <c r="AJ155" s="72">
        <f t="shared" si="154"/>
        <v>0</v>
      </c>
      <c r="AL155" s="69">
        <v>37.299999999999997</v>
      </c>
      <c r="AM155" s="69">
        <v>24.6</v>
      </c>
      <c r="AN155" s="69">
        <f t="shared" si="165"/>
        <v>12.699999999999996</v>
      </c>
      <c r="AO155" s="73">
        <f t="shared" si="155"/>
        <v>-5.5843643001340718E-2</v>
      </c>
      <c r="AP155" s="73">
        <f t="shared" si="156"/>
        <v>24.655843643001344</v>
      </c>
      <c r="AQ155" s="72">
        <f t="shared" si="157"/>
        <v>-2.2649252570674924E-3</v>
      </c>
      <c r="AR155" s="69">
        <v>11.2</v>
      </c>
      <c r="AS155" s="73">
        <f t="shared" ref="AS155:AS164" si="168">AR155*AQ155</f>
        <v>-2.5367162879155913E-2</v>
      </c>
      <c r="AU155" s="73">
        <v>72.900000000000006</v>
      </c>
      <c r="AV155" s="73">
        <v>43.9</v>
      </c>
      <c r="AW155" s="73">
        <f t="shared" si="166"/>
        <v>29.000000000000007</v>
      </c>
      <c r="AX155" s="73">
        <f t="shared" si="159"/>
        <v>-9.9655932022717775E-2</v>
      </c>
      <c r="AY155" s="73">
        <f t="shared" si="160"/>
        <v>43.999655932022719</v>
      </c>
      <c r="AZ155" s="72">
        <f t="shared" si="161"/>
        <v>-2.2649252570674924E-3</v>
      </c>
      <c r="BA155" s="73"/>
      <c r="BB155" s="73">
        <f t="shared" ref="BB155:BB164" si="169">BA155*AZ155</f>
        <v>0</v>
      </c>
      <c r="BE155" s="1" t="s">
        <v>60</v>
      </c>
    </row>
    <row r="156" spans="1:57" ht="15" customHeight="1" x14ac:dyDescent="0.35">
      <c r="A156" s="69" t="s">
        <v>42</v>
      </c>
      <c r="B156" s="70" t="s">
        <v>110</v>
      </c>
      <c r="C156" s="69" t="str">
        <f t="shared" si="142"/>
        <v>TB2_1123E_G</v>
      </c>
      <c r="D156" s="71">
        <v>45260</v>
      </c>
      <c r="E156" s="71" t="s">
        <v>60</v>
      </c>
      <c r="F156" s="71">
        <v>45320</v>
      </c>
      <c r="G156" s="69"/>
      <c r="H156" s="69" t="str">
        <f t="shared" si="143"/>
        <v/>
      </c>
      <c r="I156" s="69"/>
      <c r="J156" s="69">
        <v>130.50101010101005</v>
      </c>
      <c r="K156" s="69">
        <v>141.80000000000001</v>
      </c>
      <c r="L156" s="69">
        <f t="shared" si="167"/>
        <v>11.298989898989959</v>
      </c>
      <c r="M156" s="69">
        <f t="shared" si="163"/>
        <v>98</v>
      </c>
      <c r="O156" s="69">
        <f t="shared" si="144"/>
        <v>27.448979591836732</v>
      </c>
      <c r="P156" s="69">
        <f t="shared" si="145"/>
        <v>3.1647524810790282</v>
      </c>
      <c r="Q156" s="94"/>
      <c r="R156" s="69">
        <f t="shared" si="146"/>
        <v>25.510204081632654</v>
      </c>
      <c r="S156" s="69">
        <f t="shared" si="147"/>
        <v>2.9412197779544877</v>
      </c>
      <c r="T156" s="94"/>
      <c r="U156" s="69">
        <f t="shared" si="148"/>
        <v>47.040816326530617</v>
      </c>
      <c r="V156" s="69">
        <f t="shared" si="149"/>
        <v>5.4236092705480754</v>
      </c>
      <c r="W156" s="94"/>
      <c r="X156" s="72">
        <v>38.799999999999997</v>
      </c>
      <c r="Y156" s="72">
        <v>26.9</v>
      </c>
      <c r="Z156" s="72">
        <f t="shared" si="164"/>
        <v>11.899999999999999</v>
      </c>
      <c r="AA156" s="72">
        <f t="shared" si="150"/>
        <v>3.1647524810790282</v>
      </c>
      <c r="AB156" s="72">
        <f t="shared" si="151"/>
        <v>23.735247518920971</v>
      </c>
      <c r="AC156" s="72">
        <f t="shared" si="152"/>
        <v>0.13333555837394112</v>
      </c>
      <c r="AD156" s="72"/>
      <c r="AE156" s="72"/>
      <c r="AF156" s="72"/>
      <c r="AG156" s="72"/>
      <c r="AH156" s="72">
        <f t="shared" si="153"/>
        <v>0.13333555837394112</v>
      </c>
      <c r="AI156" s="72"/>
      <c r="AJ156" s="72">
        <f t="shared" si="154"/>
        <v>0</v>
      </c>
      <c r="AL156" s="69">
        <v>35</v>
      </c>
      <c r="AM156" s="69">
        <v>25</v>
      </c>
      <c r="AN156" s="69">
        <f t="shared" si="165"/>
        <v>10</v>
      </c>
      <c r="AO156" s="73">
        <f t="shared" si="155"/>
        <v>2.9412197779544877</v>
      </c>
      <c r="AP156" s="73">
        <f t="shared" si="156"/>
        <v>22.058780222045513</v>
      </c>
      <c r="AQ156" s="72">
        <f t="shared" si="157"/>
        <v>0.13333555837394115</v>
      </c>
      <c r="AR156" s="69">
        <v>10.9</v>
      </c>
      <c r="AS156" s="73">
        <f t="shared" si="168"/>
        <v>1.4533575862759587</v>
      </c>
      <c r="AU156" s="73">
        <v>67.8</v>
      </c>
      <c r="AV156" s="73">
        <v>46.1</v>
      </c>
      <c r="AW156" s="73">
        <f t="shared" si="166"/>
        <v>21.699999999999996</v>
      </c>
      <c r="AX156" s="73">
        <f t="shared" si="159"/>
        <v>5.4236092705480754</v>
      </c>
      <c r="AY156" s="73">
        <f t="shared" si="160"/>
        <v>40.676390729451924</v>
      </c>
      <c r="AZ156" s="72">
        <f t="shared" si="161"/>
        <v>0.13333555837394115</v>
      </c>
      <c r="BA156" s="73"/>
      <c r="BB156" s="73">
        <f t="shared" si="169"/>
        <v>0</v>
      </c>
      <c r="BE156" s="1" t="s">
        <v>60</v>
      </c>
    </row>
    <row r="157" spans="1:57" ht="15" customHeight="1" x14ac:dyDescent="0.35">
      <c r="A157" s="69" t="s">
        <v>41</v>
      </c>
      <c r="B157" s="70" t="s">
        <v>110</v>
      </c>
      <c r="C157" s="69" t="str">
        <f t="shared" si="142"/>
        <v>TB1_1123E_G</v>
      </c>
      <c r="D157" s="71">
        <v>45260</v>
      </c>
      <c r="E157" s="71" t="s">
        <v>60</v>
      </c>
      <c r="F157" s="71">
        <v>45320</v>
      </c>
      <c r="G157" s="69"/>
      <c r="H157" s="69" t="str">
        <f t="shared" si="143"/>
        <v/>
      </c>
      <c r="I157" s="69"/>
      <c r="J157" s="69">
        <v>130.50101010101005</v>
      </c>
      <c r="K157" s="69">
        <v>134.30000000000001</v>
      </c>
      <c r="L157" s="69">
        <f t="shared" si="167"/>
        <v>3.7989898989899586</v>
      </c>
      <c r="M157" s="69">
        <f t="shared" si="163"/>
        <v>94</v>
      </c>
      <c r="O157" s="69">
        <f t="shared" si="144"/>
        <v>25.531914893617021</v>
      </c>
      <c r="P157" s="69">
        <f t="shared" si="145"/>
        <v>1.0318668806672591</v>
      </c>
      <c r="Q157" s="94"/>
      <c r="R157" s="69">
        <f t="shared" si="146"/>
        <v>25.425531914893618</v>
      </c>
      <c r="S157" s="69">
        <f t="shared" si="147"/>
        <v>1.0275674353311455</v>
      </c>
      <c r="T157" s="94"/>
      <c r="U157" s="69">
        <f t="shared" si="148"/>
        <v>49.042553191489361</v>
      </c>
      <c r="V157" s="69">
        <f t="shared" si="149"/>
        <v>1.9820442999483603</v>
      </c>
      <c r="W157" s="94"/>
      <c r="X157" s="72">
        <v>35.799999999999997</v>
      </c>
      <c r="Y157" s="72">
        <v>24</v>
      </c>
      <c r="Z157" s="72">
        <f t="shared" si="164"/>
        <v>11.799999999999997</v>
      </c>
      <c r="AA157" s="72">
        <f t="shared" si="150"/>
        <v>1.0318668806672591</v>
      </c>
      <c r="AB157" s="72">
        <f t="shared" si="151"/>
        <v>22.968133119332741</v>
      </c>
      <c r="AC157" s="72">
        <f t="shared" si="152"/>
        <v>4.4926023168975621E-2</v>
      </c>
      <c r="AD157" s="72"/>
      <c r="AE157" s="72"/>
      <c r="AF157" s="72"/>
      <c r="AG157" s="72"/>
      <c r="AH157" s="72">
        <f t="shared" si="153"/>
        <v>4.4926023168975621E-2</v>
      </c>
      <c r="AI157" s="72"/>
      <c r="AJ157" s="72">
        <f t="shared" si="154"/>
        <v>0</v>
      </c>
      <c r="AL157" s="69">
        <v>34.200000000000003</v>
      </c>
      <c r="AM157" s="69">
        <v>23.9</v>
      </c>
      <c r="AN157" s="69">
        <f t="shared" si="165"/>
        <v>10.300000000000004</v>
      </c>
      <c r="AO157" s="73">
        <f t="shared" si="155"/>
        <v>1.0275674353311455</v>
      </c>
      <c r="AP157" s="73">
        <f t="shared" si="156"/>
        <v>22.872432564668852</v>
      </c>
      <c r="AQ157" s="72">
        <f t="shared" si="157"/>
        <v>4.4926023168975628E-2</v>
      </c>
      <c r="AR157" s="69"/>
      <c r="AS157" s="73">
        <f t="shared" si="168"/>
        <v>0</v>
      </c>
      <c r="AU157" s="73">
        <v>64.3</v>
      </c>
      <c r="AV157" s="73">
        <v>46.1</v>
      </c>
      <c r="AW157" s="73">
        <f t="shared" si="166"/>
        <v>18.199999999999996</v>
      </c>
      <c r="AX157" s="73">
        <f t="shared" si="159"/>
        <v>1.9820442999483603</v>
      </c>
      <c r="AY157" s="73">
        <f t="shared" si="160"/>
        <v>44.117955700051638</v>
      </c>
      <c r="AZ157" s="72">
        <f t="shared" si="161"/>
        <v>4.4926023168975628E-2</v>
      </c>
      <c r="BA157" s="73"/>
      <c r="BB157" s="73">
        <f t="shared" si="169"/>
        <v>0</v>
      </c>
      <c r="BE157" s="1" t="s">
        <v>60</v>
      </c>
    </row>
    <row r="158" spans="1:57" ht="15" customHeight="1" x14ac:dyDescent="0.35">
      <c r="A158" s="69" t="s">
        <v>35</v>
      </c>
      <c r="B158" s="70" t="s">
        <v>110</v>
      </c>
      <c r="C158" s="69" t="str">
        <f t="shared" si="142"/>
        <v>MCS1_1123E_G</v>
      </c>
      <c r="D158" s="71">
        <v>45260</v>
      </c>
      <c r="E158" s="71" t="s">
        <v>60</v>
      </c>
      <c r="F158" s="71">
        <v>45320</v>
      </c>
      <c r="G158" s="69"/>
      <c r="H158" s="69" t="str">
        <f t="shared" si="143"/>
        <v/>
      </c>
      <c r="I158" s="69"/>
      <c r="J158" s="69">
        <v>130.50101010101005</v>
      </c>
      <c r="K158" s="69">
        <v>131.5</v>
      </c>
      <c r="L158" s="69">
        <f t="shared" si="167"/>
        <v>0.99898989898994728</v>
      </c>
      <c r="M158" s="69">
        <f t="shared" si="163"/>
        <v>84.199999999999989</v>
      </c>
      <c r="O158" s="69">
        <f t="shared" si="144"/>
        <v>26.603325415676959</v>
      </c>
      <c r="P158" s="69">
        <f t="shared" si="145"/>
        <v>0.31563483812118559</v>
      </c>
      <c r="Q158" s="94"/>
      <c r="R158" s="69">
        <f t="shared" si="146"/>
        <v>25.178147268408551</v>
      </c>
      <c r="S158" s="69">
        <f t="shared" si="147"/>
        <v>0.29872582893612204</v>
      </c>
      <c r="T158" s="94"/>
      <c r="U158" s="69">
        <f t="shared" si="148"/>
        <v>48.2185273159145</v>
      </c>
      <c r="V158" s="69">
        <f t="shared" si="149"/>
        <v>0.57208814409464903</v>
      </c>
      <c r="W158" s="94"/>
      <c r="X158" s="72">
        <v>33.700000000000003</v>
      </c>
      <c r="Y158" s="72">
        <v>22.4</v>
      </c>
      <c r="Z158" s="72">
        <f t="shared" si="164"/>
        <v>11.300000000000004</v>
      </c>
      <c r="AA158" s="72">
        <f t="shared" si="150"/>
        <v>0.31563483812118559</v>
      </c>
      <c r="AB158" s="72">
        <f t="shared" si="151"/>
        <v>22.084365161878814</v>
      </c>
      <c r="AC158" s="72">
        <f t="shared" si="152"/>
        <v>1.4292230535384479E-2</v>
      </c>
      <c r="AD158" s="72"/>
      <c r="AE158" s="72"/>
      <c r="AF158" s="72"/>
      <c r="AG158" s="72"/>
      <c r="AH158" s="72">
        <f t="shared" si="153"/>
        <v>1.4292230535384479E-2</v>
      </c>
      <c r="AI158" s="72"/>
      <c r="AJ158" s="72">
        <f t="shared" si="154"/>
        <v>0</v>
      </c>
      <c r="AL158" s="69">
        <v>32.799999999999997</v>
      </c>
      <c r="AM158" s="69">
        <v>21.2</v>
      </c>
      <c r="AN158" s="69">
        <f t="shared" si="165"/>
        <v>11.599999999999998</v>
      </c>
      <c r="AO158" s="73">
        <f t="shared" si="155"/>
        <v>0.29872582893612204</v>
      </c>
      <c r="AP158" s="73">
        <f t="shared" si="156"/>
        <v>20.901274171063879</v>
      </c>
      <c r="AQ158" s="72">
        <f t="shared" si="157"/>
        <v>1.4292230535384478E-2</v>
      </c>
      <c r="AR158" s="69"/>
      <c r="AS158" s="73">
        <f t="shared" si="168"/>
        <v>0</v>
      </c>
      <c r="AU158" s="73">
        <v>64.7</v>
      </c>
      <c r="AV158" s="73">
        <v>40.6</v>
      </c>
      <c r="AW158" s="73">
        <f t="shared" si="166"/>
        <v>24.1</v>
      </c>
      <c r="AX158" s="73">
        <f t="shared" si="159"/>
        <v>0.57208814409464903</v>
      </c>
      <c r="AY158" s="73">
        <f t="shared" si="160"/>
        <v>40.027911855905352</v>
      </c>
      <c r="AZ158" s="72">
        <f t="shared" si="161"/>
        <v>1.4292230535384483E-2</v>
      </c>
      <c r="BA158" s="73"/>
      <c r="BB158" s="73">
        <f t="shared" si="169"/>
        <v>0</v>
      </c>
      <c r="BE158" s="1" t="s">
        <v>60</v>
      </c>
    </row>
    <row r="159" spans="1:57" ht="15" customHeight="1" x14ac:dyDescent="0.35">
      <c r="A159" s="69" t="s">
        <v>37</v>
      </c>
      <c r="B159" s="70" t="s">
        <v>61</v>
      </c>
      <c r="C159" s="69" t="str">
        <f t="shared" si="142"/>
        <v>MCS3_1-24_G</v>
      </c>
      <c r="D159" s="71">
        <v>45298</v>
      </c>
      <c r="E159" s="71" t="s">
        <v>60</v>
      </c>
      <c r="F159" s="71">
        <v>45545</v>
      </c>
      <c r="G159" s="69"/>
      <c r="H159" s="69" t="str">
        <f t="shared" si="143"/>
        <v/>
      </c>
      <c r="I159" s="69">
        <v>130.1</v>
      </c>
      <c r="J159" s="69"/>
      <c r="K159" s="69">
        <v>139.9</v>
      </c>
      <c r="L159" s="69">
        <f>K159-I159</f>
        <v>9.8000000000000114</v>
      </c>
      <c r="M159" s="69">
        <f t="shared" si="163"/>
        <v>109.2</v>
      </c>
      <c r="O159" s="69">
        <f t="shared" si="144"/>
        <v>26.831501831501832</v>
      </c>
      <c r="P159" s="69">
        <f t="shared" si="145"/>
        <v>2.40795529257068</v>
      </c>
      <c r="Q159" s="94"/>
      <c r="R159" s="69">
        <f t="shared" si="146"/>
        <v>23.901098901098901</v>
      </c>
      <c r="S159" s="69">
        <f t="shared" si="147"/>
        <v>2.1449704142011861</v>
      </c>
      <c r="T159" s="94"/>
      <c r="U159" s="69">
        <f t="shared" si="148"/>
        <v>49.267399267399263</v>
      </c>
      <c r="V159" s="69">
        <f t="shared" si="149"/>
        <v>4.4214332675871182</v>
      </c>
      <c r="W159" s="94"/>
      <c r="X159" s="72">
        <v>37</v>
      </c>
      <c r="Y159" s="72">
        <v>29.3</v>
      </c>
      <c r="Z159" s="72">
        <f t="shared" si="164"/>
        <v>7.6999999999999993</v>
      </c>
      <c r="AA159" s="72">
        <f t="shared" si="150"/>
        <v>2.40795529257068</v>
      </c>
      <c r="AB159" s="72">
        <f t="shared" si="151"/>
        <v>26.892044707429321</v>
      </c>
      <c r="AC159" s="72">
        <f t="shared" si="152"/>
        <v>8.9541547277937075E-2</v>
      </c>
      <c r="AD159" s="72"/>
      <c r="AE159" s="72"/>
      <c r="AF159" s="72"/>
      <c r="AG159" s="72"/>
      <c r="AH159" s="72">
        <f t="shared" si="153"/>
        <v>8.9541547277937075E-2</v>
      </c>
      <c r="AI159" s="72"/>
      <c r="AJ159" s="72">
        <f t="shared" si="154"/>
        <v>0</v>
      </c>
      <c r="AL159" s="69">
        <v>35.700000000000003</v>
      </c>
      <c r="AM159" s="69">
        <v>26.1</v>
      </c>
      <c r="AN159" s="69">
        <f t="shared" si="165"/>
        <v>9.6000000000000014</v>
      </c>
      <c r="AO159" s="73">
        <f t="shared" si="155"/>
        <v>2.1449704142011861</v>
      </c>
      <c r="AP159" s="73">
        <f t="shared" si="156"/>
        <v>23.955029585798815</v>
      </c>
      <c r="AQ159" s="72">
        <f t="shared" si="157"/>
        <v>8.9541547277937075E-2</v>
      </c>
      <c r="AR159" s="69">
        <v>14</v>
      </c>
      <c r="AS159" s="73">
        <f t="shared" si="168"/>
        <v>1.2535816618911191</v>
      </c>
      <c r="AU159" s="73">
        <v>67.400000000000006</v>
      </c>
      <c r="AV159" s="73">
        <v>53.8</v>
      </c>
      <c r="AW159" s="73">
        <f t="shared" si="166"/>
        <v>13.600000000000009</v>
      </c>
      <c r="AX159" s="73">
        <f t="shared" si="159"/>
        <v>4.4214332675871182</v>
      </c>
      <c r="AY159" s="73">
        <f t="shared" si="160"/>
        <v>49.378566732412878</v>
      </c>
      <c r="AZ159" s="72">
        <f t="shared" si="161"/>
        <v>8.9541547277937061E-2</v>
      </c>
      <c r="BA159" s="73"/>
      <c r="BB159" s="73">
        <f t="shared" si="169"/>
        <v>0</v>
      </c>
      <c r="BE159" s="1" t="s">
        <v>60</v>
      </c>
    </row>
    <row r="160" spans="1:57" ht="15" customHeight="1" x14ac:dyDescent="0.35">
      <c r="A160" s="69" t="s">
        <v>39</v>
      </c>
      <c r="B160" s="70" t="s">
        <v>61</v>
      </c>
      <c r="C160" s="69" t="str">
        <f t="shared" si="142"/>
        <v>TBHM_1-24_G</v>
      </c>
      <c r="D160" s="71">
        <v>45298</v>
      </c>
      <c r="E160" s="71" t="s">
        <v>60</v>
      </c>
      <c r="F160" s="71">
        <v>45320</v>
      </c>
      <c r="G160" s="69"/>
      <c r="H160" s="69" t="str">
        <f t="shared" si="143"/>
        <v/>
      </c>
      <c r="I160" s="69"/>
      <c r="J160" s="69">
        <v>130.50101010101005</v>
      </c>
      <c r="K160" s="69">
        <v>133.9</v>
      </c>
      <c r="L160" s="69">
        <f>K160-J160</f>
        <v>3.398989898989953</v>
      </c>
      <c r="M160" s="69">
        <f t="shared" si="163"/>
        <v>87.300000000000011</v>
      </c>
      <c r="O160" s="69">
        <f t="shared" si="144"/>
        <v>29.324169530355093</v>
      </c>
      <c r="P160" s="69">
        <f t="shared" si="145"/>
        <v>1.1417245822445121</v>
      </c>
      <c r="Q160" s="94"/>
      <c r="R160" s="69">
        <f t="shared" si="146"/>
        <v>23.253150057273768</v>
      </c>
      <c r="S160" s="69">
        <f t="shared" si="147"/>
        <v>0.90535191482670307</v>
      </c>
      <c r="T160" s="94"/>
      <c r="U160" s="69">
        <f t="shared" si="148"/>
        <v>47.422680412371129</v>
      </c>
      <c r="V160" s="69">
        <f t="shared" si="149"/>
        <v>1.846382722848547</v>
      </c>
      <c r="W160" s="94"/>
      <c r="X160" s="72">
        <v>36.200000000000003</v>
      </c>
      <c r="Y160" s="72">
        <v>25.6</v>
      </c>
      <c r="Z160" s="72">
        <f t="shared" si="164"/>
        <v>10.600000000000001</v>
      </c>
      <c r="AA160" s="72">
        <f t="shared" si="150"/>
        <v>1.1417245822445121</v>
      </c>
      <c r="AB160" s="72">
        <f t="shared" si="151"/>
        <v>24.458275417755488</v>
      </c>
      <c r="AC160" s="72">
        <f t="shared" si="152"/>
        <v>4.6680502314389555E-2</v>
      </c>
      <c r="AD160" s="72"/>
      <c r="AE160" s="72"/>
      <c r="AF160" s="72"/>
      <c r="AG160" s="72"/>
      <c r="AH160" s="72">
        <f t="shared" si="153"/>
        <v>4.6680502314389555E-2</v>
      </c>
      <c r="AI160" s="72"/>
      <c r="AJ160" s="72">
        <f t="shared" si="154"/>
        <v>0</v>
      </c>
      <c r="AL160" s="69">
        <v>32.6</v>
      </c>
      <c r="AM160" s="69">
        <v>20.3</v>
      </c>
      <c r="AN160" s="69">
        <f t="shared" si="165"/>
        <v>12.3</v>
      </c>
      <c r="AO160" s="73">
        <f t="shared" si="155"/>
        <v>0.90535191482670307</v>
      </c>
      <c r="AP160" s="73">
        <f t="shared" si="156"/>
        <v>19.394648085173298</v>
      </c>
      <c r="AQ160" s="72">
        <f t="shared" si="157"/>
        <v>4.6680502314389555E-2</v>
      </c>
      <c r="AR160" s="69"/>
      <c r="AS160" s="73">
        <f t="shared" si="168"/>
        <v>0</v>
      </c>
      <c r="AU160" s="73">
        <v>65</v>
      </c>
      <c r="AV160" s="73">
        <v>41.4</v>
      </c>
      <c r="AW160" s="73">
        <f t="shared" si="166"/>
        <v>23.6</v>
      </c>
      <c r="AX160" s="73">
        <f t="shared" si="159"/>
        <v>1.846382722848547</v>
      </c>
      <c r="AY160" s="73">
        <f t="shared" si="160"/>
        <v>39.553617277151453</v>
      </c>
      <c r="AZ160" s="72">
        <f t="shared" si="161"/>
        <v>4.6680502314389555E-2</v>
      </c>
      <c r="BA160" s="73"/>
      <c r="BB160" s="73">
        <f t="shared" si="169"/>
        <v>0</v>
      </c>
      <c r="BE160" s="1" t="s">
        <v>60</v>
      </c>
    </row>
    <row r="161" spans="1:58" ht="15" customHeight="1" x14ac:dyDescent="0.35">
      <c r="A161" s="69" t="s">
        <v>40</v>
      </c>
      <c r="B161" s="70" t="s">
        <v>61</v>
      </c>
      <c r="C161" s="69" t="str">
        <f t="shared" si="142"/>
        <v>TBCM_1-24_G</v>
      </c>
      <c r="D161" s="71">
        <v>45298</v>
      </c>
      <c r="E161" s="71" t="s">
        <v>60</v>
      </c>
      <c r="F161" s="71">
        <v>45320</v>
      </c>
      <c r="G161" s="69"/>
      <c r="H161" s="69" t="str">
        <f t="shared" si="143"/>
        <v/>
      </c>
      <c r="I161" s="69"/>
      <c r="J161" s="69">
        <v>130.50101010101005</v>
      </c>
      <c r="K161" s="69">
        <v>134</v>
      </c>
      <c r="L161" s="69">
        <f>K161-J161</f>
        <v>3.4989898989899473</v>
      </c>
      <c r="M161" s="69">
        <f t="shared" si="163"/>
        <v>93.7</v>
      </c>
      <c r="O161" s="69">
        <f t="shared" si="144"/>
        <v>24.119530416221984</v>
      </c>
      <c r="P161" s="69">
        <f t="shared" si="145"/>
        <v>0.90068295938891696</v>
      </c>
      <c r="Q161" s="94"/>
      <c r="R161" s="69">
        <f t="shared" si="146"/>
        <v>29.24226254002134</v>
      </c>
      <c r="S161" s="69">
        <f t="shared" si="147"/>
        <v>1.0919784551883327</v>
      </c>
      <c r="T161" s="94"/>
      <c r="U161" s="69">
        <f t="shared" si="148"/>
        <v>46.638207043756672</v>
      </c>
      <c r="V161" s="69">
        <f t="shared" si="149"/>
        <v>1.7415860763405167</v>
      </c>
      <c r="W161" s="94"/>
      <c r="X161" s="72">
        <v>31</v>
      </c>
      <c r="Y161" s="72">
        <v>22.6</v>
      </c>
      <c r="Z161" s="72">
        <f t="shared" si="164"/>
        <v>8.3999999999999986</v>
      </c>
      <c r="AA161" s="72">
        <f t="shared" si="150"/>
        <v>0.90068295938891696</v>
      </c>
      <c r="AB161" s="72">
        <f t="shared" si="151"/>
        <v>21.699317040611085</v>
      </c>
      <c r="AC161" s="72">
        <f t="shared" si="152"/>
        <v>4.1507433515223319E-2</v>
      </c>
      <c r="AD161" s="72"/>
      <c r="AE161" s="72"/>
      <c r="AF161" s="72"/>
      <c r="AG161" s="72"/>
      <c r="AH161" s="72">
        <f t="shared" si="153"/>
        <v>4.1507433515223319E-2</v>
      </c>
      <c r="AI161" s="72"/>
      <c r="AJ161" s="72">
        <f t="shared" si="154"/>
        <v>0</v>
      </c>
      <c r="AL161" s="69">
        <v>37.299999999999997</v>
      </c>
      <c r="AM161" s="69">
        <v>27.4</v>
      </c>
      <c r="AN161" s="69">
        <f t="shared" si="165"/>
        <v>9.8999999999999986</v>
      </c>
      <c r="AO161" s="73">
        <f t="shared" si="155"/>
        <v>1.0919784551883327</v>
      </c>
      <c r="AP161" s="73">
        <f t="shared" si="156"/>
        <v>26.308021544811666</v>
      </c>
      <c r="AQ161" s="72">
        <f t="shared" si="157"/>
        <v>4.1507433515223312E-2</v>
      </c>
      <c r="AR161" s="69"/>
      <c r="AS161" s="73">
        <f t="shared" si="168"/>
        <v>0</v>
      </c>
      <c r="AU161" s="73">
        <v>66.099999999999994</v>
      </c>
      <c r="AV161" s="73">
        <v>43.7</v>
      </c>
      <c r="AW161" s="73">
        <f t="shared" si="166"/>
        <v>22.399999999999991</v>
      </c>
      <c r="AX161" s="73">
        <f t="shared" si="159"/>
        <v>1.7415860763405167</v>
      </c>
      <c r="AY161" s="73">
        <f t="shared" si="160"/>
        <v>41.958413923659485</v>
      </c>
      <c r="AZ161" s="72">
        <f t="shared" si="161"/>
        <v>4.1507433515223326E-2</v>
      </c>
      <c r="BA161" s="73"/>
      <c r="BB161" s="73">
        <f t="shared" si="169"/>
        <v>0</v>
      </c>
      <c r="BE161" s="1" t="s">
        <v>60</v>
      </c>
    </row>
    <row r="162" spans="1:58" ht="15" customHeight="1" x14ac:dyDescent="0.35">
      <c r="A162" s="69" t="s">
        <v>27</v>
      </c>
      <c r="B162" s="70" t="s">
        <v>61</v>
      </c>
      <c r="C162" s="69" t="str">
        <f t="shared" si="142"/>
        <v>ACS4_1-24_G</v>
      </c>
      <c r="D162" s="71">
        <v>45302</v>
      </c>
      <c r="E162" s="71" t="s">
        <v>60</v>
      </c>
      <c r="F162" s="69"/>
      <c r="G162" s="69"/>
      <c r="H162" s="69" t="str">
        <f t="shared" si="143"/>
        <v/>
      </c>
      <c r="I162" s="69">
        <v>134.6</v>
      </c>
      <c r="J162" s="69"/>
      <c r="K162" s="69">
        <v>148.30000000000001</v>
      </c>
      <c r="L162" s="69">
        <f t="shared" ref="L162:L167" si="170">K162-I162</f>
        <v>13.700000000000017</v>
      </c>
      <c r="M162" s="69">
        <f t="shared" si="163"/>
        <v>123.9</v>
      </c>
      <c r="O162" s="69">
        <f t="shared" si="144"/>
        <v>25.504439063761097</v>
      </c>
      <c r="P162" s="69">
        <f t="shared" si="145"/>
        <v>2.8201034315861779</v>
      </c>
      <c r="Q162" s="94"/>
      <c r="R162" s="69">
        <f t="shared" si="146"/>
        <v>24.697336561743342</v>
      </c>
      <c r="S162" s="69">
        <f t="shared" si="147"/>
        <v>2.7308596521056026</v>
      </c>
      <c r="T162" s="94"/>
      <c r="U162" s="69">
        <f t="shared" si="148"/>
        <v>49.798224374495561</v>
      </c>
      <c r="V162" s="69">
        <f t="shared" si="149"/>
        <v>5.506341193951493</v>
      </c>
      <c r="W162" s="94"/>
      <c r="X162" s="72">
        <v>41.9</v>
      </c>
      <c r="Y162" s="72">
        <v>31.6</v>
      </c>
      <c r="Z162" s="72">
        <f t="shared" si="164"/>
        <v>10.299999999999997</v>
      </c>
      <c r="AA162" s="72">
        <f t="shared" si="150"/>
        <v>2.8201034315861779</v>
      </c>
      <c r="AB162" s="72">
        <f t="shared" si="151"/>
        <v>28.779896568413825</v>
      </c>
      <c r="AC162" s="72">
        <f t="shared" si="152"/>
        <v>9.7988657634067555E-2</v>
      </c>
      <c r="AD162" s="72">
        <v>19.399999999999999</v>
      </c>
      <c r="AE162" s="72">
        <f t="shared" ref="AE162:AE167" si="171">AD162*AC162</f>
        <v>1.9009799581009104</v>
      </c>
      <c r="AF162" s="72">
        <f t="shared" ref="AF162:AF167" si="172">AD162-AE162</f>
        <v>17.499020041899087</v>
      </c>
      <c r="AG162" s="72"/>
      <c r="AH162" s="72">
        <f t="shared" si="153"/>
        <v>9.7988657634067555E-2</v>
      </c>
      <c r="AI162" s="72"/>
      <c r="AJ162" s="72">
        <f t="shared" si="154"/>
        <v>0</v>
      </c>
      <c r="AL162" s="69">
        <v>39.700000000000003</v>
      </c>
      <c r="AM162" s="69">
        <v>30.6</v>
      </c>
      <c r="AN162" s="69">
        <f t="shared" si="165"/>
        <v>9.1000000000000014</v>
      </c>
      <c r="AO162" s="73">
        <f t="shared" si="155"/>
        <v>2.7308596521056026</v>
      </c>
      <c r="AP162" s="73">
        <f t="shared" si="156"/>
        <v>27.869140347894398</v>
      </c>
      <c r="AQ162" s="72">
        <f t="shared" si="157"/>
        <v>9.7988657634067555E-2</v>
      </c>
      <c r="AR162" s="69"/>
      <c r="AS162" s="73">
        <f t="shared" si="168"/>
        <v>0</v>
      </c>
      <c r="AU162" s="73">
        <v>83.6</v>
      </c>
      <c r="AV162" s="73">
        <v>61.7</v>
      </c>
      <c r="AW162" s="73">
        <f t="shared" si="166"/>
        <v>21.899999999999991</v>
      </c>
      <c r="AX162" s="73">
        <f t="shared" si="159"/>
        <v>5.506341193951493</v>
      </c>
      <c r="AY162" s="73">
        <f t="shared" si="160"/>
        <v>56.193658806048511</v>
      </c>
      <c r="AZ162" s="72">
        <f t="shared" si="161"/>
        <v>9.7988657634067555E-2</v>
      </c>
      <c r="BA162" s="73"/>
      <c r="BB162" s="73">
        <f t="shared" si="169"/>
        <v>0</v>
      </c>
      <c r="BE162" s="1" t="s">
        <v>60</v>
      </c>
    </row>
    <row r="163" spans="1:58" ht="15" customHeight="1" x14ac:dyDescent="0.35">
      <c r="A163" s="69" t="s">
        <v>32</v>
      </c>
      <c r="B163" s="70" t="s">
        <v>61</v>
      </c>
      <c r="C163" s="69" t="str">
        <f t="shared" si="142"/>
        <v>DC2_1-24_G</v>
      </c>
      <c r="D163" s="71">
        <v>45302</v>
      </c>
      <c r="E163" s="71" t="s">
        <v>112</v>
      </c>
      <c r="F163" s="69"/>
      <c r="G163" s="69"/>
      <c r="H163" s="69" t="str">
        <f t="shared" si="143"/>
        <v/>
      </c>
      <c r="I163" s="69">
        <v>132.6</v>
      </c>
      <c r="J163" s="69"/>
      <c r="K163" s="69">
        <v>143</v>
      </c>
      <c r="L163" s="69">
        <f t="shared" si="170"/>
        <v>10.400000000000006</v>
      </c>
      <c r="M163" s="69">
        <f t="shared" si="163"/>
        <v>0</v>
      </c>
      <c r="N163" s="116"/>
      <c r="O163" s="69" t="e">
        <f t="shared" si="144"/>
        <v>#DIV/0!</v>
      </c>
      <c r="P163" s="69" t="e">
        <f t="shared" si="145"/>
        <v>#DIV/0!</v>
      </c>
      <c r="Q163" s="69"/>
      <c r="R163" s="69" t="e">
        <f t="shared" si="146"/>
        <v>#DIV/0!</v>
      </c>
      <c r="S163" s="69" t="e">
        <f t="shared" si="147"/>
        <v>#DIV/0!</v>
      </c>
      <c r="T163" s="69"/>
      <c r="U163" s="69" t="e">
        <f t="shared" si="148"/>
        <v>#DIV/0!</v>
      </c>
      <c r="V163" s="69" t="e">
        <f t="shared" si="149"/>
        <v>#DIV/0!</v>
      </c>
      <c r="W163" s="69"/>
      <c r="X163" s="72"/>
      <c r="Y163" s="72"/>
      <c r="Z163" s="72">
        <f t="shared" si="164"/>
        <v>0</v>
      </c>
      <c r="AA163" s="72" t="e">
        <f t="shared" si="150"/>
        <v>#DIV/0!</v>
      </c>
      <c r="AB163" s="72" t="e">
        <f t="shared" si="151"/>
        <v>#DIV/0!</v>
      </c>
      <c r="AC163" s="72" t="e">
        <f t="shared" si="152"/>
        <v>#DIV/0!</v>
      </c>
      <c r="AD163" s="72"/>
      <c r="AE163" s="72" t="e">
        <f t="shared" si="171"/>
        <v>#DIV/0!</v>
      </c>
      <c r="AF163" s="72" t="e">
        <f t="shared" si="172"/>
        <v>#DIV/0!</v>
      </c>
      <c r="AG163" s="72"/>
      <c r="AH163" s="72" t="e">
        <f t="shared" si="153"/>
        <v>#DIV/0!</v>
      </c>
      <c r="AI163" s="72"/>
      <c r="AJ163" s="72" t="e">
        <f t="shared" si="154"/>
        <v>#DIV/0!</v>
      </c>
      <c r="AK163" s="69"/>
      <c r="AL163" s="69"/>
      <c r="AM163" s="69"/>
      <c r="AN163" s="69">
        <f t="shared" si="165"/>
        <v>0</v>
      </c>
      <c r="AO163" s="73" t="e">
        <f t="shared" si="155"/>
        <v>#DIV/0!</v>
      </c>
      <c r="AP163" s="73" t="e">
        <f t="shared" si="156"/>
        <v>#DIV/0!</v>
      </c>
      <c r="AQ163" s="72" t="e">
        <f t="shared" si="157"/>
        <v>#DIV/0!</v>
      </c>
      <c r="AR163" s="69"/>
      <c r="AS163" s="73" t="e">
        <f t="shared" si="168"/>
        <v>#DIV/0!</v>
      </c>
      <c r="AT163" s="69"/>
      <c r="AU163" s="73"/>
      <c r="AV163" s="73"/>
      <c r="AW163" s="73">
        <f t="shared" si="166"/>
        <v>0</v>
      </c>
      <c r="AX163" s="73" t="e">
        <f t="shared" si="159"/>
        <v>#DIV/0!</v>
      </c>
      <c r="AY163" s="73" t="e">
        <f t="shared" si="160"/>
        <v>#DIV/0!</v>
      </c>
      <c r="AZ163" s="72" t="e">
        <f t="shared" si="161"/>
        <v>#DIV/0!</v>
      </c>
      <c r="BA163" s="73"/>
      <c r="BB163" s="73" t="e">
        <f t="shared" si="169"/>
        <v>#DIV/0!</v>
      </c>
      <c r="BC163" s="69"/>
      <c r="BE163" s="1" t="s">
        <v>60</v>
      </c>
    </row>
    <row r="164" spans="1:58" ht="15" customHeight="1" x14ac:dyDescent="0.35">
      <c r="A164" s="69" t="s">
        <v>25</v>
      </c>
      <c r="B164" s="70" t="s">
        <v>61</v>
      </c>
      <c r="C164" s="69" t="str">
        <f t="shared" si="142"/>
        <v>ACS2_1-24_G</v>
      </c>
      <c r="D164" s="71">
        <v>45302</v>
      </c>
      <c r="E164" s="71" t="s">
        <v>112</v>
      </c>
      <c r="F164" s="71"/>
      <c r="G164" s="69"/>
      <c r="H164" s="69" t="str">
        <f t="shared" si="143"/>
        <v/>
      </c>
      <c r="I164" s="69">
        <v>133.19999999999999</v>
      </c>
      <c r="J164" s="69"/>
      <c r="K164" s="69">
        <v>144</v>
      </c>
      <c r="L164" s="69">
        <f t="shared" si="170"/>
        <v>10.800000000000011</v>
      </c>
      <c r="M164" s="69">
        <f t="shared" si="163"/>
        <v>120.8</v>
      </c>
      <c r="N164" s="116"/>
      <c r="O164" s="69">
        <f t="shared" si="144"/>
        <v>24.586092715231789</v>
      </c>
      <c r="P164" s="69">
        <f t="shared" si="145"/>
        <v>2.1980943818253609</v>
      </c>
      <c r="Q164" s="69"/>
      <c r="R164" s="69">
        <f t="shared" si="146"/>
        <v>23.013245033112582</v>
      </c>
      <c r="S164" s="69">
        <f t="shared" si="147"/>
        <v>2.0574755493180144</v>
      </c>
      <c r="T164" s="69"/>
      <c r="U164" s="69">
        <f t="shared" si="148"/>
        <v>52.400662251655625</v>
      </c>
      <c r="V164" s="69">
        <f t="shared" si="149"/>
        <v>4.6848274198500119</v>
      </c>
      <c r="W164" s="69"/>
      <c r="X164" s="72">
        <v>35.4</v>
      </c>
      <c r="Y164" s="72">
        <v>29.7</v>
      </c>
      <c r="Z164" s="72">
        <f t="shared" si="164"/>
        <v>5.6999999999999993</v>
      </c>
      <c r="AA164" s="72">
        <f t="shared" si="150"/>
        <v>2.1980943818253609</v>
      </c>
      <c r="AB164" s="72">
        <f t="shared" si="151"/>
        <v>27.501905618174639</v>
      </c>
      <c r="AC164" s="72">
        <f t="shared" si="152"/>
        <v>7.9925166362753777E-2</v>
      </c>
      <c r="AD164" s="72"/>
      <c r="AE164" s="72">
        <f t="shared" si="171"/>
        <v>0</v>
      </c>
      <c r="AF164" s="72">
        <f t="shared" si="172"/>
        <v>0</v>
      </c>
      <c r="AG164" s="72"/>
      <c r="AH164" s="72">
        <f t="shared" si="153"/>
        <v>7.9925166362753777E-2</v>
      </c>
      <c r="AI164" s="72"/>
      <c r="AJ164" s="72">
        <f t="shared" si="154"/>
        <v>0</v>
      </c>
      <c r="AK164" s="69"/>
      <c r="AL164" s="69">
        <v>33.9</v>
      </c>
      <c r="AM164" s="69">
        <v>27.8</v>
      </c>
      <c r="AN164" s="69">
        <f t="shared" si="165"/>
        <v>6.0999999999999979</v>
      </c>
      <c r="AO164" s="73">
        <f t="shared" si="155"/>
        <v>2.0574755493180144</v>
      </c>
      <c r="AP164" s="73">
        <f t="shared" si="156"/>
        <v>25.742524450681987</v>
      </c>
      <c r="AQ164" s="72">
        <f t="shared" si="157"/>
        <v>7.9925166362753763E-2</v>
      </c>
      <c r="AR164" s="69"/>
      <c r="AS164" s="73">
        <f t="shared" si="168"/>
        <v>0</v>
      </c>
      <c r="AT164" s="69"/>
      <c r="AU164" s="73">
        <v>73.400000000000006</v>
      </c>
      <c r="AV164" s="73">
        <v>63.3</v>
      </c>
      <c r="AW164" s="73">
        <f t="shared" si="166"/>
        <v>10.100000000000009</v>
      </c>
      <c r="AX164" s="73">
        <f t="shared" si="159"/>
        <v>4.6848274198500119</v>
      </c>
      <c r="AY164" s="73">
        <f t="shared" si="160"/>
        <v>58.615172580149988</v>
      </c>
      <c r="AZ164" s="72">
        <f t="shared" si="161"/>
        <v>7.9925166362753791E-2</v>
      </c>
      <c r="BA164" s="73"/>
      <c r="BB164" s="73">
        <f t="shared" si="169"/>
        <v>0</v>
      </c>
      <c r="BC164" s="69"/>
      <c r="BE164" s="1" t="s">
        <v>60</v>
      </c>
    </row>
    <row r="165" spans="1:58" ht="15" customHeight="1" x14ac:dyDescent="0.35">
      <c r="A165" s="69" t="s">
        <v>30</v>
      </c>
      <c r="B165" s="70" t="s">
        <v>61</v>
      </c>
      <c r="C165" s="69" t="str">
        <f t="shared" si="142"/>
        <v>DC1_1-24_G</v>
      </c>
      <c r="D165" s="71">
        <v>45302</v>
      </c>
      <c r="E165" s="71" t="s">
        <v>112</v>
      </c>
      <c r="F165" s="69"/>
      <c r="G165" s="69"/>
      <c r="H165" s="69" t="str">
        <f t="shared" si="143"/>
        <v/>
      </c>
      <c r="I165" s="69">
        <v>133</v>
      </c>
      <c r="J165" s="69"/>
      <c r="K165" s="69">
        <v>141.69999999999999</v>
      </c>
      <c r="L165" s="69">
        <f t="shared" si="170"/>
        <v>8.6999999999999886</v>
      </c>
      <c r="M165" s="69">
        <f t="shared" si="163"/>
        <v>108.4</v>
      </c>
      <c r="O165" s="69">
        <f t="shared" si="144"/>
        <v>24.723247232472325</v>
      </c>
      <c r="P165" s="69">
        <f t="shared" si="145"/>
        <v>1.9842458572187169</v>
      </c>
      <c r="Q165" s="94"/>
      <c r="R165" s="69">
        <f t="shared" si="146"/>
        <v>26.19926199261992</v>
      </c>
      <c r="S165" s="69">
        <f t="shared" si="147"/>
        <v>2.1027082964556549</v>
      </c>
      <c r="T165" s="94"/>
      <c r="U165" s="69">
        <f t="shared" si="148"/>
        <v>49.077490774907751</v>
      </c>
      <c r="V165" s="69">
        <f t="shared" si="149"/>
        <v>3.9388761046281999</v>
      </c>
      <c r="W165" s="94"/>
      <c r="X165" s="72">
        <v>35.6</v>
      </c>
      <c r="Y165" s="72">
        <v>26.8</v>
      </c>
      <c r="Z165" s="72">
        <f t="shared" si="164"/>
        <v>8.8000000000000007</v>
      </c>
      <c r="AA165" s="72">
        <f t="shared" si="150"/>
        <v>1.9842458572187169</v>
      </c>
      <c r="AB165" s="72">
        <f t="shared" si="151"/>
        <v>24.815754142781284</v>
      </c>
      <c r="AC165" s="72">
        <f t="shared" si="152"/>
        <v>7.9959119751189148E-2</v>
      </c>
      <c r="AD165" s="72"/>
      <c r="AE165" s="72">
        <f t="shared" si="171"/>
        <v>0</v>
      </c>
      <c r="AF165" s="72">
        <f t="shared" si="172"/>
        <v>0</v>
      </c>
      <c r="AG165" s="72"/>
      <c r="AH165" s="72">
        <f t="shared" si="153"/>
        <v>7.9959119751189148E-2</v>
      </c>
      <c r="AI165" s="72"/>
      <c r="AJ165" s="72">
        <f t="shared" si="154"/>
        <v>0</v>
      </c>
      <c r="AL165" s="69">
        <v>36.1</v>
      </c>
      <c r="AM165" s="69">
        <v>28.4</v>
      </c>
      <c r="AN165" s="69">
        <f t="shared" si="165"/>
        <v>7.7000000000000028</v>
      </c>
      <c r="AO165" s="73">
        <f t="shared" si="155"/>
        <v>2.1027082964556549</v>
      </c>
      <c r="AP165" s="73">
        <f t="shared" si="156"/>
        <v>26.297291703544342</v>
      </c>
      <c r="AQ165" s="72">
        <f t="shared" si="157"/>
        <v>7.9959119751189148E-2</v>
      </c>
      <c r="AR165" s="69"/>
      <c r="AS165" s="73"/>
      <c r="AU165" s="73">
        <v>70.900000000000006</v>
      </c>
      <c r="AV165" s="73">
        <v>53.2</v>
      </c>
      <c r="AW165" s="73">
        <f t="shared" si="166"/>
        <v>17.700000000000003</v>
      </c>
      <c r="AX165" s="73">
        <f t="shared" si="159"/>
        <v>3.9388761046281999</v>
      </c>
      <c r="AY165" s="73">
        <f t="shared" si="160"/>
        <v>49.261123895371803</v>
      </c>
      <c r="AZ165" s="72">
        <f t="shared" si="161"/>
        <v>7.9959119751189162E-2</v>
      </c>
      <c r="BA165" s="73"/>
      <c r="BB165" s="73"/>
      <c r="BE165" s="1" t="s">
        <v>60</v>
      </c>
    </row>
    <row r="166" spans="1:58" ht="15" customHeight="1" x14ac:dyDescent="0.35">
      <c r="A166" s="69" t="s">
        <v>31</v>
      </c>
      <c r="B166" s="70" t="s">
        <v>61</v>
      </c>
      <c r="C166" s="69" t="str">
        <f t="shared" si="142"/>
        <v>DCM1_1-24_G</v>
      </c>
      <c r="D166" s="71">
        <v>45302</v>
      </c>
      <c r="E166" s="71" t="s">
        <v>60</v>
      </c>
      <c r="F166" s="69"/>
      <c r="G166" s="69"/>
      <c r="H166" s="69" t="str">
        <f t="shared" si="143"/>
        <v/>
      </c>
      <c r="I166" s="69">
        <v>129.69999999999999</v>
      </c>
      <c r="J166" s="69">
        <v>130.50101010101005</v>
      </c>
      <c r="K166" s="69">
        <v>135.69999999999999</v>
      </c>
      <c r="L166" s="69">
        <f t="shared" si="170"/>
        <v>6</v>
      </c>
      <c r="M166" s="69">
        <f t="shared" si="163"/>
        <v>109.6</v>
      </c>
      <c r="O166" s="69">
        <f t="shared" si="144"/>
        <v>25.456204379562042</v>
      </c>
      <c r="P166" s="69">
        <f t="shared" si="145"/>
        <v>1.3935878309979222</v>
      </c>
      <c r="Q166" s="94"/>
      <c r="R166" s="69">
        <f t="shared" si="146"/>
        <v>24.178832116788325</v>
      </c>
      <c r="S166" s="69">
        <f t="shared" si="147"/>
        <v>1.3236586925249083</v>
      </c>
      <c r="T166" s="94"/>
      <c r="U166" s="69">
        <f t="shared" si="148"/>
        <v>50.364963503649641</v>
      </c>
      <c r="V166" s="69">
        <f t="shared" si="149"/>
        <v>2.7572060312216959</v>
      </c>
      <c r="W166" s="94"/>
      <c r="X166" s="72">
        <v>33.1</v>
      </c>
      <c r="Y166" s="72">
        <v>27.9</v>
      </c>
      <c r="Z166" s="72">
        <f t="shared" si="164"/>
        <v>5.2000000000000028</v>
      </c>
      <c r="AA166" s="72">
        <f t="shared" si="150"/>
        <v>1.3935878309979222</v>
      </c>
      <c r="AB166" s="72">
        <f t="shared" si="151"/>
        <v>26.506412169002076</v>
      </c>
      <c r="AC166" s="72">
        <f t="shared" si="152"/>
        <v>5.2575498415724987E-2</v>
      </c>
      <c r="AD166" s="72"/>
      <c r="AE166" s="72">
        <f t="shared" si="171"/>
        <v>0</v>
      </c>
      <c r="AF166" s="72">
        <f t="shared" si="172"/>
        <v>0</v>
      </c>
      <c r="AG166" s="72"/>
      <c r="AH166" s="72">
        <f t="shared" si="153"/>
        <v>5.2575498415724987E-2</v>
      </c>
      <c r="AI166" s="72"/>
      <c r="AJ166" s="72">
        <f t="shared" si="154"/>
        <v>0</v>
      </c>
      <c r="AL166" s="69">
        <v>33.299999999999997</v>
      </c>
      <c r="AM166" s="69">
        <v>26.5</v>
      </c>
      <c r="AN166" s="69">
        <f t="shared" si="165"/>
        <v>6.7999999999999972</v>
      </c>
      <c r="AO166" s="73">
        <f t="shared" si="155"/>
        <v>1.3236586925249083</v>
      </c>
      <c r="AP166" s="73">
        <f t="shared" si="156"/>
        <v>25.176341307475091</v>
      </c>
      <c r="AQ166" s="72">
        <f t="shared" si="157"/>
        <v>5.2575498415724987E-2</v>
      </c>
      <c r="AR166" s="69"/>
      <c r="AS166" s="73">
        <f>AR166*AQ166</f>
        <v>0</v>
      </c>
      <c r="AU166" s="73">
        <v>68.7</v>
      </c>
      <c r="AV166" s="73">
        <v>55.2</v>
      </c>
      <c r="AW166" s="73">
        <f t="shared" si="166"/>
        <v>13.5</v>
      </c>
      <c r="AX166" s="73">
        <f t="shared" si="159"/>
        <v>2.7572060312216959</v>
      </c>
      <c r="AY166" s="73">
        <f t="shared" si="160"/>
        <v>52.442793968778304</v>
      </c>
      <c r="AZ166" s="72">
        <f t="shared" si="161"/>
        <v>5.2575498415724994E-2</v>
      </c>
      <c r="BA166" s="73"/>
      <c r="BB166" s="73">
        <f>BA166*AZ166</f>
        <v>0</v>
      </c>
      <c r="BE166" s="1" t="s">
        <v>60</v>
      </c>
    </row>
    <row r="167" spans="1:58" ht="15" customHeight="1" x14ac:dyDescent="0.35">
      <c r="A167" s="69" t="s">
        <v>47</v>
      </c>
      <c r="B167" s="111" t="s">
        <v>61</v>
      </c>
      <c r="C167" s="69" t="str">
        <f t="shared" si="142"/>
        <v>TSM4_1-24_G</v>
      </c>
      <c r="D167" s="71">
        <v>45324</v>
      </c>
      <c r="E167" s="71" t="s">
        <v>60</v>
      </c>
      <c r="F167" s="69"/>
      <c r="G167" s="69"/>
      <c r="H167" s="69" t="str">
        <f t="shared" si="143"/>
        <v/>
      </c>
      <c r="I167" s="69">
        <v>129.4</v>
      </c>
      <c r="J167" s="69">
        <v>130.50101010101005</v>
      </c>
      <c r="K167" s="69">
        <v>139.1</v>
      </c>
      <c r="L167" s="69">
        <f t="shared" si="170"/>
        <v>9.6999999999999886</v>
      </c>
      <c r="M167" s="69">
        <f t="shared" si="163"/>
        <v>110.5</v>
      </c>
      <c r="O167" s="69">
        <f t="shared" si="144"/>
        <v>25.882352941176475</v>
      </c>
      <c r="P167" s="69">
        <f t="shared" si="145"/>
        <v>2.2720255523023667</v>
      </c>
      <c r="Q167" s="94"/>
      <c r="R167" s="69">
        <f t="shared" si="146"/>
        <v>25.158371040723981</v>
      </c>
      <c r="S167" s="69">
        <f t="shared" si="147"/>
        <v>2.2084723900002023</v>
      </c>
      <c r="T167" s="94"/>
      <c r="U167" s="69">
        <f t="shared" si="148"/>
        <v>48.959276018099551</v>
      </c>
      <c r="V167" s="69">
        <f t="shared" si="149"/>
        <v>4.2977826006838464</v>
      </c>
      <c r="W167" s="94"/>
      <c r="X167" s="72">
        <v>35.799999999999997</v>
      </c>
      <c r="Y167" s="72">
        <v>28.6</v>
      </c>
      <c r="Z167" s="72">
        <f t="shared" si="164"/>
        <v>7.1999999999999957</v>
      </c>
      <c r="AA167" s="72">
        <f t="shared" si="150"/>
        <v>2.2720255523023667</v>
      </c>
      <c r="AB167" s="72">
        <f t="shared" si="151"/>
        <v>26.327974447697635</v>
      </c>
      <c r="AC167" s="72">
        <f t="shared" si="152"/>
        <v>8.6297012966793346E-2</v>
      </c>
      <c r="AD167" s="72"/>
      <c r="AE167" s="72">
        <f t="shared" si="171"/>
        <v>0</v>
      </c>
      <c r="AF167" s="72">
        <f t="shared" si="172"/>
        <v>0</v>
      </c>
      <c r="AG167" s="72"/>
      <c r="AH167" s="72">
        <f t="shared" si="153"/>
        <v>8.6297012966793346E-2</v>
      </c>
      <c r="AI167" s="72"/>
      <c r="AJ167" s="72">
        <f t="shared" si="154"/>
        <v>0</v>
      </c>
      <c r="AL167" s="69">
        <v>34.799999999999997</v>
      </c>
      <c r="AM167" s="69">
        <v>27.8</v>
      </c>
      <c r="AN167" s="69">
        <f t="shared" si="165"/>
        <v>6.9999999999999964</v>
      </c>
      <c r="AO167" s="73">
        <f t="shared" si="155"/>
        <v>2.2084723900002023</v>
      </c>
      <c r="AP167" s="73">
        <f t="shared" si="156"/>
        <v>25.591527609999797</v>
      </c>
      <c r="AQ167" s="72">
        <f t="shared" si="157"/>
        <v>8.6297012966793346E-2</v>
      </c>
      <c r="AR167" s="69"/>
      <c r="AS167" s="73">
        <f>AR167*AQ167</f>
        <v>0</v>
      </c>
      <c r="AU167" s="73">
        <v>68.2</v>
      </c>
      <c r="AV167" s="73">
        <v>54.1</v>
      </c>
      <c r="AW167" s="73">
        <f t="shared" si="166"/>
        <v>14.100000000000001</v>
      </c>
      <c r="AX167" s="73">
        <f t="shared" si="159"/>
        <v>4.2977826006838464</v>
      </c>
      <c r="AY167" s="73">
        <f t="shared" si="160"/>
        <v>49.802217399316156</v>
      </c>
      <c r="AZ167" s="72">
        <f t="shared" si="161"/>
        <v>8.6297012966793318E-2</v>
      </c>
      <c r="BA167" s="73"/>
      <c r="BB167" s="73">
        <f>BA167*AZ167</f>
        <v>0</v>
      </c>
      <c r="BE167" s="1" t="s">
        <v>60</v>
      </c>
    </row>
    <row r="168" spans="1:58" ht="15" customHeight="1" x14ac:dyDescent="0.35">
      <c r="A168" s="69" t="s">
        <v>14</v>
      </c>
      <c r="B168" s="70" t="s">
        <v>62</v>
      </c>
      <c r="C168" s="69" t="str">
        <f t="shared" si="142"/>
        <v>P37_3-24_G</v>
      </c>
      <c r="D168" s="71">
        <v>45358</v>
      </c>
      <c r="E168" s="71" t="s">
        <v>60</v>
      </c>
      <c r="F168" s="71">
        <v>45544</v>
      </c>
      <c r="G168" s="69"/>
      <c r="H168" s="69" t="str">
        <f t="shared" si="143"/>
        <v/>
      </c>
      <c r="I168" s="69"/>
      <c r="J168" s="69">
        <v>130.50101010101005</v>
      </c>
      <c r="K168" s="69">
        <v>140.6</v>
      </c>
      <c r="L168" s="69">
        <f>K168-J168</f>
        <v>10.098989898989942</v>
      </c>
      <c r="M168" s="69">
        <f t="shared" si="163"/>
        <v>107.2</v>
      </c>
      <c r="O168" s="69">
        <f t="shared" si="144"/>
        <v>24.813432835820894</v>
      </c>
      <c r="P168" s="69">
        <f t="shared" si="145"/>
        <v>2.3375989511960871</v>
      </c>
      <c r="Q168" s="94"/>
      <c r="R168" s="69">
        <f t="shared" si="146"/>
        <v>28.544776119402986</v>
      </c>
      <c r="S168" s="69">
        <f t="shared" si="147"/>
        <v>2.6891175904736944</v>
      </c>
      <c r="T168" s="94"/>
      <c r="U168" s="69">
        <f t="shared" si="148"/>
        <v>46.64179104477612</v>
      </c>
      <c r="V168" s="69">
        <f t="shared" si="149"/>
        <v>4.3939829909700885</v>
      </c>
      <c r="W168" s="94"/>
      <c r="X168" s="72">
        <v>32.700000000000003</v>
      </c>
      <c r="Y168" s="72">
        <v>26.6</v>
      </c>
      <c r="Z168" s="72">
        <f t="shared" si="164"/>
        <v>6.1000000000000014</v>
      </c>
      <c r="AA168" s="72">
        <f t="shared" si="150"/>
        <v>2.3375989511960871</v>
      </c>
      <c r="AB168" s="72">
        <f t="shared" si="151"/>
        <v>24.262401048803916</v>
      </c>
      <c r="AC168" s="72">
        <f t="shared" si="152"/>
        <v>9.6346563000669128E-2</v>
      </c>
      <c r="AD168" s="72"/>
      <c r="AE168" s="72"/>
      <c r="AF168" s="72"/>
      <c r="AG168" s="72"/>
      <c r="AH168" s="72">
        <f t="shared" si="153"/>
        <v>9.6346563000669128E-2</v>
      </c>
      <c r="AI168" s="72"/>
      <c r="AJ168" s="72">
        <f t="shared" si="154"/>
        <v>0</v>
      </c>
      <c r="AL168" s="69">
        <v>39.1</v>
      </c>
      <c r="AM168" s="69">
        <v>30.6</v>
      </c>
      <c r="AN168" s="69">
        <f t="shared" si="165"/>
        <v>8.5</v>
      </c>
      <c r="AO168" s="73">
        <f t="shared" si="155"/>
        <v>2.6891175904736944</v>
      </c>
      <c r="AP168" s="73">
        <f t="shared" si="156"/>
        <v>27.910882409526309</v>
      </c>
      <c r="AQ168" s="72">
        <f t="shared" si="157"/>
        <v>9.6346563000669128E-2</v>
      </c>
      <c r="AR168" s="69"/>
      <c r="AS168" s="73"/>
      <c r="AU168" s="73">
        <v>67.5</v>
      </c>
      <c r="AV168" s="73">
        <v>50</v>
      </c>
      <c r="AW168" s="73">
        <f t="shared" si="166"/>
        <v>17.5</v>
      </c>
      <c r="AX168" s="73">
        <f t="shared" si="159"/>
        <v>4.3939829909700885</v>
      </c>
      <c r="AY168" s="73">
        <f t="shared" si="160"/>
        <v>45.606017009029912</v>
      </c>
      <c r="AZ168" s="72">
        <f t="shared" si="161"/>
        <v>9.6346563000669128E-2</v>
      </c>
      <c r="BA168" s="73"/>
      <c r="BB168" s="73"/>
      <c r="BE168" s="1" t="s">
        <v>60</v>
      </c>
    </row>
    <row r="169" spans="1:58" ht="15" customHeight="1" x14ac:dyDescent="0.35">
      <c r="A169" s="69" t="s">
        <v>20</v>
      </c>
      <c r="B169" s="70" t="s">
        <v>62</v>
      </c>
      <c r="C169" s="69" t="str">
        <f t="shared" si="142"/>
        <v>CP_3-24_G</v>
      </c>
      <c r="D169" s="71">
        <v>45358</v>
      </c>
      <c r="E169" s="71" t="s">
        <v>60</v>
      </c>
      <c r="F169" s="71">
        <v>45544</v>
      </c>
      <c r="G169" s="69"/>
      <c r="H169" s="69" t="str">
        <f t="shared" si="143"/>
        <v/>
      </c>
      <c r="I169" s="69">
        <v>129.69999999999999</v>
      </c>
      <c r="J169" s="69"/>
      <c r="K169" s="69">
        <v>136.9</v>
      </c>
      <c r="L169" s="69">
        <f t="shared" ref="L169:L175" si="173">K169-I169</f>
        <v>7.2000000000000171</v>
      </c>
      <c r="M169" s="69">
        <f t="shared" si="163"/>
        <v>100.2</v>
      </c>
      <c r="O169" s="69">
        <f t="shared" si="144"/>
        <v>21.257485029940121</v>
      </c>
      <c r="P169" s="69">
        <f t="shared" si="145"/>
        <v>1.5274839542471979</v>
      </c>
      <c r="Q169" s="94"/>
      <c r="R169" s="69">
        <f t="shared" si="146"/>
        <v>26.047904191616766</v>
      </c>
      <c r="S169" s="69">
        <f t="shared" si="147"/>
        <v>1.8717056904155804</v>
      </c>
      <c r="T169" s="94"/>
      <c r="U169" s="69">
        <f t="shared" si="148"/>
        <v>52.694610778443106</v>
      </c>
      <c r="V169" s="69">
        <f t="shared" si="149"/>
        <v>3.7864390978522087</v>
      </c>
      <c r="W169" s="94"/>
      <c r="X169" s="72">
        <v>31.2</v>
      </c>
      <c r="Y169" s="72">
        <v>21.3</v>
      </c>
      <c r="Z169" s="72">
        <f t="shared" si="164"/>
        <v>9.8999999999999986</v>
      </c>
      <c r="AA169" s="72">
        <f t="shared" si="150"/>
        <v>1.5274839542471979</v>
      </c>
      <c r="AB169" s="72">
        <f t="shared" si="151"/>
        <v>19.772516045752802</v>
      </c>
      <c r="AC169" s="72">
        <f t="shared" si="152"/>
        <v>7.7252887326664035E-2</v>
      </c>
      <c r="AD169" s="72"/>
      <c r="AE169" s="72"/>
      <c r="AF169" s="72"/>
      <c r="AG169" s="72"/>
      <c r="AH169" s="72">
        <f t="shared" si="153"/>
        <v>7.7252887326664035E-2</v>
      </c>
      <c r="AI169" s="72"/>
      <c r="AJ169" s="72">
        <f t="shared" si="154"/>
        <v>0</v>
      </c>
      <c r="AL169" s="69">
        <v>36</v>
      </c>
      <c r="AM169" s="69">
        <v>26.1</v>
      </c>
      <c r="AN169" s="69">
        <f t="shared" si="165"/>
        <v>9.8999999999999986</v>
      </c>
      <c r="AO169" s="73">
        <f t="shared" si="155"/>
        <v>1.8717056904155804</v>
      </c>
      <c r="AP169" s="73">
        <f t="shared" si="156"/>
        <v>24.22829430958442</v>
      </c>
      <c r="AQ169" s="72">
        <f t="shared" si="157"/>
        <v>7.7252887326664021E-2</v>
      </c>
      <c r="AR169" s="69"/>
      <c r="AS169" s="73">
        <f t="shared" ref="AS169:AS177" si="174">AR169*AQ169</f>
        <v>0</v>
      </c>
      <c r="AU169" s="73">
        <v>69.400000000000006</v>
      </c>
      <c r="AV169" s="73">
        <v>52.8</v>
      </c>
      <c r="AW169" s="73">
        <f t="shared" si="166"/>
        <v>16.600000000000009</v>
      </c>
      <c r="AX169" s="73">
        <f t="shared" si="159"/>
        <v>3.7864390978522087</v>
      </c>
      <c r="AY169" s="73">
        <f t="shared" si="160"/>
        <v>49.013560902147788</v>
      </c>
      <c r="AZ169" s="72">
        <f t="shared" si="161"/>
        <v>7.7252887326664035E-2</v>
      </c>
      <c r="BA169" s="73"/>
      <c r="BB169" s="73">
        <f t="shared" ref="BB169:BB192" si="175">BA169*AZ169</f>
        <v>0</v>
      </c>
      <c r="BE169" s="1" t="s">
        <v>60</v>
      </c>
    </row>
    <row r="170" spans="1:58" ht="15" customHeight="1" x14ac:dyDescent="0.35">
      <c r="A170" s="69" t="s">
        <v>21</v>
      </c>
      <c r="B170" s="70" t="s">
        <v>62</v>
      </c>
      <c r="C170" s="69" t="str">
        <f t="shared" si="142"/>
        <v>EP146_3-24_G</v>
      </c>
      <c r="D170" s="71">
        <v>45358</v>
      </c>
      <c r="E170" s="71" t="s">
        <v>60</v>
      </c>
      <c r="F170" s="71">
        <v>45545</v>
      </c>
      <c r="G170" s="69"/>
      <c r="H170" s="69" t="str">
        <f t="shared" si="143"/>
        <v/>
      </c>
      <c r="I170" s="69">
        <v>128.4</v>
      </c>
      <c r="J170" s="69"/>
      <c r="K170" s="69">
        <v>134.6</v>
      </c>
      <c r="L170" s="69">
        <f t="shared" si="173"/>
        <v>6.1999999999999886</v>
      </c>
      <c r="M170" s="69">
        <f t="shared" si="163"/>
        <v>107.5</v>
      </c>
      <c r="O170" s="69">
        <f t="shared" si="144"/>
        <v>20.186046511627907</v>
      </c>
      <c r="P170" s="69">
        <f t="shared" si="145"/>
        <v>1.1642184964845841</v>
      </c>
      <c r="Q170" s="94"/>
      <c r="R170" s="69">
        <f t="shared" si="146"/>
        <v>27.162790697674417</v>
      </c>
      <c r="S170" s="69">
        <f t="shared" si="147"/>
        <v>1.5665981611681961</v>
      </c>
      <c r="T170" s="94"/>
      <c r="U170" s="69">
        <f t="shared" si="148"/>
        <v>52.651162790697683</v>
      </c>
      <c r="V170" s="69">
        <f t="shared" si="149"/>
        <v>3.036625202812326</v>
      </c>
      <c r="W170" s="94"/>
      <c r="X170" s="72">
        <v>30.2</v>
      </c>
      <c r="Y170" s="72">
        <v>21.7</v>
      </c>
      <c r="Z170" s="72">
        <f t="shared" si="164"/>
        <v>8.5</v>
      </c>
      <c r="AA170" s="72">
        <f t="shared" si="150"/>
        <v>1.1642184964845841</v>
      </c>
      <c r="AB170" s="72">
        <f t="shared" si="151"/>
        <v>20.535781503515416</v>
      </c>
      <c r="AC170" s="72">
        <f t="shared" si="152"/>
        <v>5.6692193393530578E-2</v>
      </c>
      <c r="AD170" s="72"/>
      <c r="AE170" s="72"/>
      <c r="AF170" s="72"/>
      <c r="AG170" s="72"/>
      <c r="AH170" s="72">
        <f t="shared" si="153"/>
        <v>5.6692193393530578E-2</v>
      </c>
      <c r="AI170" s="72"/>
      <c r="AJ170" s="72">
        <f t="shared" si="154"/>
        <v>0</v>
      </c>
      <c r="AL170" s="69">
        <v>37.6</v>
      </c>
      <c r="AM170" s="69">
        <v>29.2</v>
      </c>
      <c r="AN170" s="69">
        <f t="shared" si="165"/>
        <v>8.4000000000000021</v>
      </c>
      <c r="AO170" s="73">
        <f t="shared" si="155"/>
        <v>1.5665981611681961</v>
      </c>
      <c r="AP170" s="73">
        <f t="shared" si="156"/>
        <v>27.633401838831801</v>
      </c>
      <c r="AQ170" s="72">
        <f t="shared" si="157"/>
        <v>5.6692193393530578E-2</v>
      </c>
      <c r="AR170" s="69"/>
      <c r="AS170" s="73">
        <f t="shared" si="174"/>
        <v>0</v>
      </c>
      <c r="AU170" s="73">
        <v>67.7</v>
      </c>
      <c r="AV170" s="73">
        <v>56.6</v>
      </c>
      <c r="AW170" s="73">
        <f t="shared" si="166"/>
        <v>11.100000000000001</v>
      </c>
      <c r="AX170" s="73">
        <f t="shared" si="159"/>
        <v>3.036625202812326</v>
      </c>
      <c r="AY170" s="73">
        <f t="shared" si="160"/>
        <v>53.563374797187677</v>
      </c>
      <c r="AZ170" s="72">
        <f t="shared" si="161"/>
        <v>5.6692193393530585E-2</v>
      </c>
      <c r="BA170" s="73"/>
      <c r="BB170" s="73">
        <f t="shared" si="175"/>
        <v>0</v>
      </c>
      <c r="BE170" s="1" t="s">
        <v>60</v>
      </c>
    </row>
    <row r="171" spans="1:58" ht="15" customHeight="1" x14ac:dyDescent="0.35">
      <c r="A171" s="69" t="s">
        <v>23</v>
      </c>
      <c r="B171" s="70" t="s">
        <v>62</v>
      </c>
      <c r="C171" s="69" t="str">
        <f t="shared" si="142"/>
        <v>R127_3-24_G</v>
      </c>
      <c r="D171" s="71">
        <v>45358</v>
      </c>
      <c r="E171" s="71" t="s">
        <v>60</v>
      </c>
      <c r="F171" s="71">
        <v>45545</v>
      </c>
      <c r="G171" s="69"/>
      <c r="H171" s="69" t="str">
        <f t="shared" si="143"/>
        <v/>
      </c>
      <c r="I171" s="69">
        <v>129.80000000000001</v>
      </c>
      <c r="J171" s="69"/>
      <c r="K171" s="69">
        <v>132.19999999999999</v>
      </c>
      <c r="L171" s="69">
        <f t="shared" si="173"/>
        <v>2.3999999999999773</v>
      </c>
      <c r="M171" s="69">
        <f t="shared" si="163"/>
        <v>97.4</v>
      </c>
      <c r="O171" s="69">
        <f t="shared" si="144"/>
        <v>22.792607802874741</v>
      </c>
      <c r="P171" s="69">
        <f t="shared" si="145"/>
        <v>0.56162483292503962</v>
      </c>
      <c r="Q171" s="94"/>
      <c r="R171" s="69">
        <f t="shared" si="146"/>
        <v>25.872689938398359</v>
      </c>
      <c r="S171" s="69">
        <f t="shared" si="147"/>
        <v>0.63752008061761267</v>
      </c>
      <c r="T171" s="94"/>
      <c r="U171" s="69">
        <f t="shared" si="148"/>
        <v>51.334702258726892</v>
      </c>
      <c r="V171" s="69">
        <f t="shared" si="149"/>
        <v>1.2649207948762153</v>
      </c>
      <c r="W171" s="94"/>
      <c r="X171" s="72">
        <v>30.2</v>
      </c>
      <c r="Y171" s="72">
        <v>22.2</v>
      </c>
      <c r="Z171" s="72">
        <f t="shared" si="164"/>
        <v>8</v>
      </c>
      <c r="AA171" s="72">
        <f t="shared" si="150"/>
        <v>0.56162483292503962</v>
      </c>
      <c r="AB171" s="72">
        <f t="shared" si="151"/>
        <v>21.638375167074958</v>
      </c>
      <c r="AC171" s="72">
        <f t="shared" si="152"/>
        <v>2.5955037223848964E-2</v>
      </c>
      <c r="AD171" s="72"/>
      <c r="AE171" s="72"/>
      <c r="AF171" s="72"/>
      <c r="AG171" s="72"/>
      <c r="AH171" s="72">
        <f t="shared" si="153"/>
        <v>2.5955037223848964E-2</v>
      </c>
      <c r="AI171" s="72"/>
      <c r="AJ171" s="72">
        <f t="shared" si="154"/>
        <v>0</v>
      </c>
      <c r="AL171" s="69">
        <v>30.9</v>
      </c>
      <c r="AM171" s="69">
        <v>25.2</v>
      </c>
      <c r="AN171" s="69">
        <f t="shared" si="165"/>
        <v>5.6999999999999993</v>
      </c>
      <c r="AO171" s="73">
        <f t="shared" si="155"/>
        <v>0.63752008061761267</v>
      </c>
      <c r="AP171" s="73">
        <f t="shared" si="156"/>
        <v>24.562479919382387</v>
      </c>
      <c r="AQ171" s="72">
        <f t="shared" si="157"/>
        <v>2.5955037223848967E-2</v>
      </c>
      <c r="AR171" s="69"/>
      <c r="AS171" s="73">
        <f t="shared" si="174"/>
        <v>0</v>
      </c>
      <c r="AU171" s="73">
        <v>70.8</v>
      </c>
      <c r="AV171" s="73">
        <v>50</v>
      </c>
      <c r="AW171" s="73">
        <f t="shared" si="166"/>
        <v>20.799999999999997</v>
      </c>
      <c r="AX171" s="73">
        <f t="shared" si="159"/>
        <v>1.2649207948762153</v>
      </c>
      <c r="AY171" s="73">
        <f t="shared" si="160"/>
        <v>48.735079205123782</v>
      </c>
      <c r="AZ171" s="72">
        <f t="shared" si="161"/>
        <v>2.5955037223848964E-2</v>
      </c>
      <c r="BA171" s="73"/>
      <c r="BB171" s="73">
        <f t="shared" si="175"/>
        <v>0</v>
      </c>
      <c r="BE171" s="1" t="s">
        <v>60</v>
      </c>
    </row>
    <row r="172" spans="1:58" ht="15" customHeight="1" x14ac:dyDescent="0.35">
      <c r="A172" s="69" t="s">
        <v>35</v>
      </c>
      <c r="B172" s="70" t="s">
        <v>63</v>
      </c>
      <c r="C172" s="69" t="str">
        <f t="shared" si="142"/>
        <v>MCS1_4-24_G</v>
      </c>
      <c r="D172" s="71">
        <v>45390</v>
      </c>
      <c r="E172" s="71" t="s">
        <v>60</v>
      </c>
      <c r="F172" s="71">
        <v>45540</v>
      </c>
      <c r="G172" s="69"/>
      <c r="H172" s="69" t="str">
        <f t="shared" si="143"/>
        <v/>
      </c>
      <c r="I172" s="69">
        <v>129.30000000000001</v>
      </c>
      <c r="J172" s="69"/>
      <c r="K172" s="69">
        <v>140.19999999999999</v>
      </c>
      <c r="L172" s="69">
        <f t="shared" si="173"/>
        <v>10.899999999999977</v>
      </c>
      <c r="M172" s="69">
        <f t="shared" si="163"/>
        <v>102.6</v>
      </c>
      <c r="O172" s="69">
        <f t="shared" si="144"/>
        <v>26.315789473684216</v>
      </c>
      <c r="P172" s="69">
        <f t="shared" si="145"/>
        <v>2.7957320201087463</v>
      </c>
      <c r="Q172" s="94"/>
      <c r="R172" s="69">
        <f t="shared" si="146"/>
        <v>26.120857699805072</v>
      </c>
      <c r="S172" s="69">
        <f t="shared" si="147"/>
        <v>2.7750228940338664</v>
      </c>
      <c r="T172" s="94"/>
      <c r="U172" s="69">
        <f t="shared" si="148"/>
        <v>47.563352826510716</v>
      </c>
      <c r="V172" s="69">
        <f t="shared" si="149"/>
        <v>5.0530267622706209</v>
      </c>
      <c r="W172" s="94"/>
      <c r="X172" s="72">
        <v>34.4</v>
      </c>
      <c r="Y172" s="72">
        <v>27</v>
      </c>
      <c r="Z172" s="72">
        <f t="shared" si="164"/>
        <v>7.3999999999999986</v>
      </c>
      <c r="AA172" s="72">
        <f t="shared" si="150"/>
        <v>2.7957320201087463</v>
      </c>
      <c r="AB172" s="72">
        <f t="shared" si="151"/>
        <v>24.204267979891252</v>
      </c>
      <c r="AC172" s="72">
        <f t="shared" si="152"/>
        <v>0.11550574561607986</v>
      </c>
      <c r="AD172" s="72"/>
      <c r="AE172" s="72"/>
      <c r="AF172" s="72"/>
      <c r="AG172" s="72"/>
      <c r="AH172" s="72">
        <f t="shared" si="153"/>
        <v>0.11550574561607986</v>
      </c>
      <c r="AI172" s="72"/>
      <c r="AJ172" s="72">
        <f t="shared" si="154"/>
        <v>0</v>
      </c>
      <c r="AL172" s="69">
        <v>36.6</v>
      </c>
      <c r="AM172" s="69">
        <v>26.8</v>
      </c>
      <c r="AN172" s="69">
        <f t="shared" si="165"/>
        <v>9.8000000000000007</v>
      </c>
      <c r="AO172" s="73">
        <f t="shared" si="155"/>
        <v>2.7750228940338664</v>
      </c>
      <c r="AP172" s="73">
        <f t="shared" si="156"/>
        <v>24.024977105966133</v>
      </c>
      <c r="AQ172" s="72">
        <f t="shared" si="157"/>
        <v>0.11550574561607985</v>
      </c>
      <c r="AR172" s="69">
        <v>11.4</v>
      </c>
      <c r="AS172" s="73">
        <f t="shared" si="174"/>
        <v>1.3167655000233103</v>
      </c>
      <c r="AU172" s="73">
        <v>68.599999999999994</v>
      </c>
      <c r="AV172" s="73">
        <v>48.8</v>
      </c>
      <c r="AW172" s="73">
        <f t="shared" si="166"/>
        <v>19.799999999999997</v>
      </c>
      <c r="AX172" s="73">
        <f t="shared" si="159"/>
        <v>5.0530267622706209</v>
      </c>
      <c r="AY172" s="73">
        <f t="shared" si="160"/>
        <v>43.746973237729378</v>
      </c>
      <c r="AZ172" s="72">
        <f t="shared" si="161"/>
        <v>0.11550574561607981</v>
      </c>
      <c r="BA172" s="73"/>
      <c r="BB172" s="73">
        <f t="shared" si="175"/>
        <v>0</v>
      </c>
      <c r="BE172" s="1" t="s">
        <v>60</v>
      </c>
    </row>
    <row r="173" spans="1:58" ht="15" customHeight="1" x14ac:dyDescent="0.35">
      <c r="A173" s="69" t="s">
        <v>36</v>
      </c>
      <c r="B173" s="70" t="s">
        <v>63</v>
      </c>
      <c r="C173" s="69" t="str">
        <f t="shared" si="142"/>
        <v>MCS2_4-24_G</v>
      </c>
      <c r="D173" s="71">
        <v>45390</v>
      </c>
      <c r="E173" s="71" t="s">
        <v>60</v>
      </c>
      <c r="F173" s="71">
        <v>45541</v>
      </c>
      <c r="G173" s="69"/>
      <c r="H173" s="69" t="str">
        <f t="shared" si="143"/>
        <v/>
      </c>
      <c r="I173" s="69">
        <v>127.5</v>
      </c>
      <c r="J173" s="69"/>
      <c r="K173" s="69">
        <v>136</v>
      </c>
      <c r="L173" s="69">
        <f t="shared" si="173"/>
        <v>8.5</v>
      </c>
      <c r="M173" s="69">
        <f t="shared" si="163"/>
        <v>101.7</v>
      </c>
      <c r="O173" s="69">
        <f t="shared" si="144"/>
        <v>25.762045231071777</v>
      </c>
      <c r="P173" s="69">
        <f t="shared" si="145"/>
        <v>2.1531699553993127</v>
      </c>
      <c r="Q173" s="94"/>
      <c r="R173" s="69">
        <f t="shared" si="146"/>
        <v>26.548672566371678</v>
      </c>
      <c r="S173" s="69">
        <f t="shared" si="147"/>
        <v>2.2189156028924217</v>
      </c>
      <c r="T173" s="94"/>
      <c r="U173" s="69">
        <f t="shared" si="148"/>
        <v>47.689282202556541</v>
      </c>
      <c r="V173" s="69">
        <f t="shared" si="149"/>
        <v>3.9858298792697209</v>
      </c>
      <c r="W173" s="94"/>
      <c r="X173" s="72">
        <v>34.5</v>
      </c>
      <c r="Y173" s="72">
        <v>26.2</v>
      </c>
      <c r="Z173" s="72">
        <f t="shared" si="164"/>
        <v>8.3000000000000007</v>
      </c>
      <c r="AA173" s="72">
        <f t="shared" si="150"/>
        <v>2.1531699553993127</v>
      </c>
      <c r="AB173" s="72">
        <f t="shared" si="151"/>
        <v>24.046830044600686</v>
      </c>
      <c r="AC173" s="72">
        <f t="shared" si="152"/>
        <v>8.9540698354241957E-2</v>
      </c>
      <c r="AD173" s="72"/>
      <c r="AE173" s="72"/>
      <c r="AF173" s="72"/>
      <c r="AG173" s="72"/>
      <c r="AH173" s="72">
        <f t="shared" si="153"/>
        <v>8.9540698354241957E-2</v>
      </c>
      <c r="AI173" s="72"/>
      <c r="AJ173" s="72">
        <f t="shared" si="154"/>
        <v>0</v>
      </c>
      <c r="AL173" s="69">
        <v>36.9</v>
      </c>
      <c r="AM173" s="69">
        <v>27</v>
      </c>
      <c r="AN173" s="69">
        <f t="shared" si="165"/>
        <v>9.8999999999999986</v>
      </c>
      <c r="AO173" s="73">
        <f t="shared" si="155"/>
        <v>2.2189156028924217</v>
      </c>
      <c r="AP173" s="73">
        <f t="shared" si="156"/>
        <v>24.781084397107577</v>
      </c>
      <c r="AQ173" s="72">
        <f t="shared" si="157"/>
        <v>8.9540698354241971E-2</v>
      </c>
      <c r="AR173" s="69">
        <v>11.1</v>
      </c>
      <c r="AS173" s="73">
        <f t="shared" si="174"/>
        <v>0.99390175173208584</v>
      </c>
      <c r="AU173" s="73">
        <v>68.099999999999994</v>
      </c>
      <c r="AV173" s="73">
        <v>48.5</v>
      </c>
      <c r="AW173" s="73">
        <f t="shared" si="166"/>
        <v>19.599999999999994</v>
      </c>
      <c r="AX173" s="73">
        <f t="shared" si="159"/>
        <v>3.9858298792697209</v>
      </c>
      <c r="AY173" s="73">
        <f t="shared" si="160"/>
        <v>44.514170120730277</v>
      </c>
      <c r="AZ173" s="72">
        <f t="shared" si="161"/>
        <v>8.9540698354241971E-2</v>
      </c>
      <c r="BA173" s="73"/>
      <c r="BB173" s="73">
        <f t="shared" si="175"/>
        <v>0</v>
      </c>
      <c r="BE173" s="1" t="s">
        <v>60</v>
      </c>
    </row>
    <row r="174" spans="1:58" ht="15" customHeight="1" x14ac:dyDescent="0.35">
      <c r="A174" s="69" t="s">
        <v>37</v>
      </c>
      <c r="B174" s="70" t="s">
        <v>63</v>
      </c>
      <c r="C174" s="69" t="str">
        <f t="shared" si="142"/>
        <v>MCS3_4-24_G</v>
      </c>
      <c r="D174" s="71">
        <v>45390</v>
      </c>
      <c r="E174" s="71" t="s">
        <v>60</v>
      </c>
      <c r="F174" s="71">
        <v>45541</v>
      </c>
      <c r="G174" s="69"/>
      <c r="H174" s="69" t="str">
        <f t="shared" si="143"/>
        <v/>
      </c>
      <c r="I174" s="69">
        <v>129.4</v>
      </c>
      <c r="J174" s="69"/>
      <c r="K174" s="69">
        <v>134.5</v>
      </c>
      <c r="L174" s="69">
        <f t="shared" si="173"/>
        <v>5.0999999999999943</v>
      </c>
      <c r="M174" s="69">
        <f t="shared" si="163"/>
        <v>112.6</v>
      </c>
      <c r="O174" s="69">
        <f t="shared" si="144"/>
        <v>23.801065719360569</v>
      </c>
      <c r="P174" s="69">
        <f t="shared" si="145"/>
        <v>1.0780234029195273</v>
      </c>
      <c r="Q174" s="94"/>
      <c r="R174" s="69">
        <f t="shared" si="146"/>
        <v>26.554174067495563</v>
      </c>
      <c r="S174" s="69">
        <f t="shared" si="147"/>
        <v>1.2027201398243981</v>
      </c>
      <c r="T174" s="94"/>
      <c r="U174" s="69">
        <f t="shared" si="148"/>
        <v>49.644760213143876</v>
      </c>
      <c r="V174" s="69">
        <f t="shared" si="149"/>
        <v>2.2485637396717006</v>
      </c>
      <c r="W174" s="94"/>
      <c r="X174" s="72">
        <v>35.4</v>
      </c>
      <c r="Y174" s="72">
        <v>26.8</v>
      </c>
      <c r="Z174" s="72">
        <f t="shared" si="164"/>
        <v>8.5999999999999979</v>
      </c>
      <c r="AA174" s="72">
        <f t="shared" si="150"/>
        <v>1.0780234029195273</v>
      </c>
      <c r="AB174" s="72">
        <f t="shared" si="151"/>
        <v>25.721976597080474</v>
      </c>
      <c r="AC174" s="72">
        <f t="shared" si="152"/>
        <v>4.1910597299971354E-2</v>
      </c>
      <c r="AD174" s="72"/>
      <c r="AE174" s="72"/>
      <c r="AF174" s="72"/>
      <c r="AG174" s="72"/>
      <c r="AH174" s="72">
        <f t="shared" si="153"/>
        <v>4.1910597299971354E-2</v>
      </c>
      <c r="AI174" s="72"/>
      <c r="AJ174" s="72">
        <f t="shared" si="154"/>
        <v>0</v>
      </c>
      <c r="AL174" s="69">
        <v>38.5</v>
      </c>
      <c r="AM174" s="69">
        <v>29.9</v>
      </c>
      <c r="AN174" s="69">
        <f t="shared" si="165"/>
        <v>8.6000000000000014</v>
      </c>
      <c r="AO174" s="73">
        <f t="shared" si="155"/>
        <v>1.2027201398243981</v>
      </c>
      <c r="AP174" s="73">
        <f t="shared" si="156"/>
        <v>28.697279860175602</v>
      </c>
      <c r="AQ174" s="72">
        <f t="shared" si="157"/>
        <v>4.1910597299971361E-2</v>
      </c>
      <c r="AR174" s="69"/>
      <c r="AS174" s="73">
        <f t="shared" si="174"/>
        <v>0</v>
      </c>
      <c r="AU174" s="73">
        <v>71.5</v>
      </c>
      <c r="AV174" s="73">
        <v>55.9</v>
      </c>
      <c r="AW174" s="73">
        <f t="shared" si="166"/>
        <v>15.600000000000001</v>
      </c>
      <c r="AX174" s="73">
        <f t="shared" si="159"/>
        <v>2.2485637396717006</v>
      </c>
      <c r="AY174" s="73">
        <f t="shared" si="160"/>
        <v>53.651436260328296</v>
      </c>
      <c r="AZ174" s="72">
        <f t="shared" si="161"/>
        <v>4.1910597299971361E-2</v>
      </c>
      <c r="BA174" s="73"/>
      <c r="BB174" s="73">
        <f t="shared" si="175"/>
        <v>0</v>
      </c>
      <c r="BE174" s="1" t="s">
        <v>60</v>
      </c>
    </row>
    <row r="175" spans="1:58" s="120" customFormat="1" ht="15" customHeight="1" x14ac:dyDescent="0.35">
      <c r="A175" s="69" t="s">
        <v>42</v>
      </c>
      <c r="B175" s="70" t="s">
        <v>63</v>
      </c>
      <c r="C175" s="69" t="str">
        <f t="shared" si="142"/>
        <v>TB2_4-24_G</v>
      </c>
      <c r="D175" s="71">
        <v>45390</v>
      </c>
      <c r="E175" s="71" t="s">
        <v>60</v>
      </c>
      <c r="F175" s="71">
        <v>45541</v>
      </c>
      <c r="G175" s="69"/>
      <c r="H175" s="69" t="str">
        <f t="shared" si="143"/>
        <v/>
      </c>
      <c r="I175" s="69">
        <v>128.30000000000001</v>
      </c>
      <c r="J175" s="69"/>
      <c r="K175" s="69">
        <v>129.69999999999999</v>
      </c>
      <c r="L175" s="69">
        <f t="shared" si="173"/>
        <v>1.3999999999999773</v>
      </c>
      <c r="M175" s="69">
        <f t="shared" si="163"/>
        <v>113.7</v>
      </c>
      <c r="N175" s="93"/>
      <c r="O175" s="69">
        <f t="shared" si="144"/>
        <v>25.593667546174142</v>
      </c>
      <c r="P175" s="69">
        <f t="shared" si="145"/>
        <v>0.31513750716484801</v>
      </c>
      <c r="Q175" s="94"/>
      <c r="R175" s="69">
        <f t="shared" si="146"/>
        <v>27.352682497801233</v>
      </c>
      <c r="S175" s="69">
        <f t="shared" si="147"/>
        <v>0.33679644236518119</v>
      </c>
      <c r="T175" s="94"/>
      <c r="U175" s="69">
        <f t="shared" si="148"/>
        <v>47.053649956024621</v>
      </c>
      <c r="V175" s="69">
        <f t="shared" si="149"/>
        <v>0.57937651660891298</v>
      </c>
      <c r="W175" s="94"/>
      <c r="X175" s="72">
        <v>39</v>
      </c>
      <c r="Y175" s="72">
        <v>29.1</v>
      </c>
      <c r="Z175" s="72">
        <f t="shared" si="164"/>
        <v>9.8999999999999986</v>
      </c>
      <c r="AA175" s="72">
        <f t="shared" si="150"/>
        <v>0.31513750716484801</v>
      </c>
      <c r="AB175" s="72">
        <f t="shared" si="151"/>
        <v>28.784862492835153</v>
      </c>
      <c r="AC175" s="72">
        <f t="shared" si="152"/>
        <v>1.094802892469224E-2</v>
      </c>
      <c r="AD175" s="72"/>
      <c r="AE175" s="72"/>
      <c r="AF175" s="72"/>
      <c r="AG175" s="72"/>
      <c r="AH175" s="72">
        <f t="shared" si="153"/>
        <v>1.094802892469224E-2</v>
      </c>
      <c r="AI175" s="72"/>
      <c r="AJ175" s="72">
        <f t="shared" si="154"/>
        <v>0</v>
      </c>
      <c r="AK175" s="94"/>
      <c r="AL175" s="69">
        <v>38.1</v>
      </c>
      <c r="AM175" s="69">
        <v>31.1</v>
      </c>
      <c r="AN175" s="69">
        <f t="shared" si="165"/>
        <v>7</v>
      </c>
      <c r="AO175" s="73">
        <f t="shared" si="155"/>
        <v>0.33679644236518119</v>
      </c>
      <c r="AP175" s="73">
        <f t="shared" si="156"/>
        <v>30.763203557634821</v>
      </c>
      <c r="AQ175" s="72">
        <f t="shared" si="157"/>
        <v>1.0948028924692238E-2</v>
      </c>
      <c r="AR175" s="69">
        <v>6.4</v>
      </c>
      <c r="AS175" s="73">
        <f t="shared" si="174"/>
        <v>7.0067385118030331E-2</v>
      </c>
      <c r="AT175" s="94"/>
      <c r="AU175" s="73">
        <v>73.099999999999994</v>
      </c>
      <c r="AV175" s="73">
        <v>53.5</v>
      </c>
      <c r="AW175" s="73">
        <f t="shared" si="166"/>
        <v>19.599999999999994</v>
      </c>
      <c r="AX175" s="73">
        <f t="shared" si="159"/>
        <v>0.57937651660891298</v>
      </c>
      <c r="AY175" s="73">
        <f t="shared" si="160"/>
        <v>52.92062348339109</v>
      </c>
      <c r="AZ175" s="72">
        <f t="shared" si="161"/>
        <v>1.0948028924692238E-2</v>
      </c>
      <c r="BA175" s="73"/>
      <c r="BB175" s="73">
        <f t="shared" si="175"/>
        <v>0</v>
      </c>
      <c r="BC175" s="94"/>
      <c r="BD175" s="1"/>
      <c r="BE175" s="1" t="s">
        <v>60</v>
      </c>
      <c r="BF175" s="1"/>
    </row>
    <row r="176" spans="1:58" s="120" customFormat="1" ht="15" customHeight="1" x14ac:dyDescent="0.35">
      <c r="A176" s="69" t="s">
        <v>29</v>
      </c>
      <c r="B176" s="70" t="s">
        <v>63</v>
      </c>
      <c r="C176" s="69" t="str">
        <f t="shared" si="142"/>
        <v>GBHM_4-24_G</v>
      </c>
      <c r="D176" s="71">
        <v>45392</v>
      </c>
      <c r="E176" s="71" t="s">
        <v>60</v>
      </c>
      <c r="F176" s="69"/>
      <c r="G176" s="69"/>
      <c r="H176" s="69" t="str">
        <f t="shared" si="143"/>
        <v/>
      </c>
      <c r="I176" s="69"/>
      <c r="J176" s="69"/>
      <c r="K176" s="69"/>
      <c r="L176" s="69"/>
      <c r="M176" s="69">
        <f t="shared" si="163"/>
        <v>0</v>
      </c>
      <c r="N176" s="93"/>
      <c r="O176" s="69" t="e">
        <f t="shared" si="144"/>
        <v>#DIV/0!</v>
      </c>
      <c r="P176" s="69" t="e">
        <f t="shared" si="145"/>
        <v>#DIV/0!</v>
      </c>
      <c r="Q176" s="94"/>
      <c r="R176" s="69" t="e">
        <f t="shared" si="146"/>
        <v>#DIV/0!</v>
      </c>
      <c r="S176" s="69" t="e">
        <f t="shared" si="147"/>
        <v>#DIV/0!</v>
      </c>
      <c r="T176" s="94"/>
      <c r="U176" s="69" t="e">
        <f t="shared" si="148"/>
        <v>#DIV/0!</v>
      </c>
      <c r="V176" s="69" t="e">
        <f t="shared" si="149"/>
        <v>#DIV/0!</v>
      </c>
      <c r="W176" s="94"/>
      <c r="X176" s="72"/>
      <c r="Y176" s="72"/>
      <c r="Z176" s="72">
        <f t="shared" si="164"/>
        <v>0</v>
      </c>
      <c r="AA176" s="72" t="e">
        <f t="shared" si="150"/>
        <v>#DIV/0!</v>
      </c>
      <c r="AB176" s="72" t="e">
        <f t="shared" si="151"/>
        <v>#DIV/0!</v>
      </c>
      <c r="AC176" s="72" t="e">
        <f t="shared" si="152"/>
        <v>#DIV/0!</v>
      </c>
      <c r="AD176" s="72"/>
      <c r="AE176" s="72"/>
      <c r="AF176" s="72"/>
      <c r="AG176" s="72"/>
      <c r="AH176" s="72" t="e">
        <f t="shared" si="153"/>
        <v>#DIV/0!</v>
      </c>
      <c r="AI176" s="72"/>
      <c r="AJ176" s="72" t="e">
        <f t="shared" si="154"/>
        <v>#DIV/0!</v>
      </c>
      <c r="AK176" s="94"/>
      <c r="AL176" s="69"/>
      <c r="AM176" s="69"/>
      <c r="AN176" s="69">
        <f t="shared" si="165"/>
        <v>0</v>
      </c>
      <c r="AO176" s="73" t="e">
        <f t="shared" si="155"/>
        <v>#DIV/0!</v>
      </c>
      <c r="AP176" s="73" t="e">
        <f t="shared" si="156"/>
        <v>#DIV/0!</v>
      </c>
      <c r="AQ176" s="72" t="e">
        <f t="shared" si="157"/>
        <v>#DIV/0!</v>
      </c>
      <c r="AR176" s="69"/>
      <c r="AS176" s="73" t="e">
        <f t="shared" si="174"/>
        <v>#DIV/0!</v>
      </c>
      <c r="AT176" s="94"/>
      <c r="AU176" s="73"/>
      <c r="AV176" s="73"/>
      <c r="AW176" s="73">
        <f t="shared" si="166"/>
        <v>0</v>
      </c>
      <c r="AX176" s="73" t="e">
        <f t="shared" si="159"/>
        <v>#DIV/0!</v>
      </c>
      <c r="AY176" s="73" t="e">
        <f t="shared" si="160"/>
        <v>#DIV/0!</v>
      </c>
      <c r="AZ176" s="72" t="e">
        <f t="shared" si="161"/>
        <v>#DIV/0!</v>
      </c>
      <c r="BA176" s="73"/>
      <c r="BB176" s="73" t="e">
        <f t="shared" si="175"/>
        <v>#DIV/0!</v>
      </c>
      <c r="BC176" s="94"/>
      <c r="BD176" s="1"/>
      <c r="BE176" s="1" t="s">
        <v>60</v>
      </c>
      <c r="BF176" s="1"/>
    </row>
    <row r="177" spans="1:58" s="120" customFormat="1" ht="15" customHeight="1" x14ac:dyDescent="0.35">
      <c r="A177" s="69" t="s">
        <v>33</v>
      </c>
      <c r="B177" s="70" t="s">
        <v>63</v>
      </c>
      <c r="C177" s="69" t="str">
        <f t="shared" si="142"/>
        <v>DCM2_4-24_G</v>
      </c>
      <c r="D177" s="71">
        <v>45392</v>
      </c>
      <c r="E177" s="71" t="s">
        <v>60</v>
      </c>
      <c r="F177" s="69"/>
      <c r="G177" s="69"/>
      <c r="H177" s="69" t="str">
        <f t="shared" si="143"/>
        <v/>
      </c>
      <c r="I177" s="69"/>
      <c r="J177" s="69"/>
      <c r="K177" s="69"/>
      <c r="L177" s="69"/>
      <c r="M177" s="69">
        <f t="shared" si="163"/>
        <v>0</v>
      </c>
      <c r="N177" s="93"/>
      <c r="O177" s="69" t="e">
        <f t="shared" si="144"/>
        <v>#DIV/0!</v>
      </c>
      <c r="P177" s="69" t="e">
        <f t="shared" si="145"/>
        <v>#DIV/0!</v>
      </c>
      <c r="Q177" s="94"/>
      <c r="R177" s="69" t="e">
        <f t="shared" si="146"/>
        <v>#DIV/0!</v>
      </c>
      <c r="S177" s="69" t="e">
        <f t="shared" si="147"/>
        <v>#DIV/0!</v>
      </c>
      <c r="T177" s="94"/>
      <c r="U177" s="69" t="e">
        <f t="shared" si="148"/>
        <v>#DIV/0!</v>
      </c>
      <c r="V177" s="69" t="e">
        <f t="shared" si="149"/>
        <v>#DIV/0!</v>
      </c>
      <c r="W177" s="94"/>
      <c r="X177" s="72"/>
      <c r="Y177" s="72"/>
      <c r="Z177" s="72">
        <f t="shared" si="164"/>
        <v>0</v>
      </c>
      <c r="AA177" s="72" t="e">
        <f t="shared" si="150"/>
        <v>#DIV/0!</v>
      </c>
      <c r="AB177" s="72" t="e">
        <f t="shared" si="151"/>
        <v>#DIV/0!</v>
      </c>
      <c r="AC177" s="72" t="e">
        <f t="shared" si="152"/>
        <v>#DIV/0!</v>
      </c>
      <c r="AD177" s="72"/>
      <c r="AE177" s="72"/>
      <c r="AF177" s="72"/>
      <c r="AG177" s="72"/>
      <c r="AH177" s="72" t="e">
        <f t="shared" si="153"/>
        <v>#DIV/0!</v>
      </c>
      <c r="AI177" s="72"/>
      <c r="AJ177" s="72" t="e">
        <f t="shared" si="154"/>
        <v>#DIV/0!</v>
      </c>
      <c r="AK177" s="94"/>
      <c r="AL177" s="69"/>
      <c r="AM177" s="69"/>
      <c r="AN177" s="69">
        <f t="shared" si="165"/>
        <v>0</v>
      </c>
      <c r="AO177" s="73" t="e">
        <f t="shared" si="155"/>
        <v>#DIV/0!</v>
      </c>
      <c r="AP177" s="73" t="e">
        <f t="shared" si="156"/>
        <v>#DIV/0!</v>
      </c>
      <c r="AQ177" s="72" t="e">
        <f t="shared" si="157"/>
        <v>#DIV/0!</v>
      </c>
      <c r="AR177" s="69"/>
      <c r="AS177" s="73" t="e">
        <f t="shared" si="174"/>
        <v>#DIV/0!</v>
      </c>
      <c r="AT177" s="94"/>
      <c r="AU177" s="73"/>
      <c r="AV177" s="73"/>
      <c r="AW177" s="73">
        <f t="shared" si="166"/>
        <v>0</v>
      </c>
      <c r="AX177" s="73" t="e">
        <f t="shared" si="159"/>
        <v>#DIV/0!</v>
      </c>
      <c r="AY177" s="73" t="e">
        <f t="shared" si="160"/>
        <v>#DIV/0!</v>
      </c>
      <c r="AZ177" s="72" t="e">
        <f t="shared" si="161"/>
        <v>#DIV/0!</v>
      </c>
      <c r="BA177" s="73"/>
      <c r="BB177" s="73" t="e">
        <f t="shared" si="175"/>
        <v>#DIV/0!</v>
      </c>
      <c r="BC177" s="94"/>
      <c r="BD177" s="1"/>
      <c r="BE177" s="1" t="s">
        <v>60</v>
      </c>
      <c r="BF177" s="1"/>
    </row>
    <row r="178" spans="1:58" s="120" customFormat="1" ht="15" customHeight="1" x14ac:dyDescent="0.35">
      <c r="A178" s="69" t="s">
        <v>24</v>
      </c>
      <c r="B178" s="70" t="s">
        <v>63</v>
      </c>
      <c r="C178" s="69" t="str">
        <f t="shared" si="142"/>
        <v>ACS1_4-24_G</v>
      </c>
      <c r="D178" s="71">
        <v>45392</v>
      </c>
      <c r="E178" s="71" t="s">
        <v>60</v>
      </c>
      <c r="F178" s="71">
        <v>45541</v>
      </c>
      <c r="G178" s="69"/>
      <c r="H178" s="69" t="str">
        <f t="shared" si="143"/>
        <v/>
      </c>
      <c r="I178" s="69">
        <v>128.9</v>
      </c>
      <c r="J178" s="69"/>
      <c r="K178" s="69">
        <v>134</v>
      </c>
      <c r="L178" s="69">
        <f t="shared" ref="L178:L185" si="176">K178-I178</f>
        <v>5.0999999999999943</v>
      </c>
      <c r="M178" s="69">
        <f t="shared" si="163"/>
        <v>115.1</v>
      </c>
      <c r="N178" s="93"/>
      <c r="O178" s="69">
        <f t="shared" si="144"/>
        <v>24.761077324066029</v>
      </c>
      <c r="P178" s="69">
        <f t="shared" si="145"/>
        <v>1.0971459109707786</v>
      </c>
      <c r="Q178" s="94"/>
      <c r="R178" s="69">
        <f t="shared" si="146"/>
        <v>27.454387489139879</v>
      </c>
      <c r="S178" s="69">
        <f t="shared" si="147"/>
        <v>1.2164845890061968</v>
      </c>
      <c r="T178" s="94"/>
      <c r="U178" s="69">
        <f t="shared" si="148"/>
        <v>47.784535186794095</v>
      </c>
      <c r="V178" s="69">
        <f t="shared" si="149"/>
        <v>2.117299126434836</v>
      </c>
      <c r="W178" s="94"/>
      <c r="X178" s="72">
        <v>35.9</v>
      </c>
      <c r="Y178" s="72">
        <v>28.5</v>
      </c>
      <c r="Z178" s="72">
        <f t="shared" si="164"/>
        <v>7.3999999999999986</v>
      </c>
      <c r="AA178" s="72">
        <f t="shared" si="150"/>
        <v>1.0971459109707786</v>
      </c>
      <c r="AB178" s="72">
        <f t="shared" si="151"/>
        <v>27.402854089029223</v>
      </c>
      <c r="AC178" s="72">
        <f t="shared" si="152"/>
        <v>4.0037651093067082E-2</v>
      </c>
      <c r="AD178" s="72"/>
      <c r="AE178" s="72"/>
      <c r="AF178" s="72"/>
      <c r="AG178" s="72"/>
      <c r="AH178" s="72">
        <f t="shared" si="153"/>
        <v>4.0037651093067082E-2</v>
      </c>
      <c r="AI178" s="72"/>
      <c r="AJ178" s="72">
        <f t="shared" si="154"/>
        <v>0</v>
      </c>
      <c r="AK178" s="94"/>
      <c r="AL178" s="69">
        <v>38.1</v>
      </c>
      <c r="AM178" s="69">
        <v>31.6</v>
      </c>
      <c r="AN178" s="69">
        <f t="shared" si="165"/>
        <v>6.5</v>
      </c>
      <c r="AO178" s="73">
        <f t="shared" si="155"/>
        <v>1.2164845890061968</v>
      </c>
      <c r="AP178" s="73">
        <f t="shared" si="156"/>
        <v>30.383515410993805</v>
      </c>
      <c r="AQ178" s="72">
        <f t="shared" si="157"/>
        <v>4.0037651093067089E-2</v>
      </c>
      <c r="AR178" s="69">
        <v>7</v>
      </c>
      <c r="AS178" s="73">
        <f>AQ178*AR178</f>
        <v>0.2802635576514696</v>
      </c>
      <c r="AT178" s="94"/>
      <c r="AU178" s="73">
        <v>71</v>
      </c>
      <c r="AV178" s="73">
        <v>55</v>
      </c>
      <c r="AW178" s="73">
        <f t="shared" si="166"/>
        <v>16</v>
      </c>
      <c r="AX178" s="73">
        <f t="shared" si="159"/>
        <v>2.117299126434836</v>
      </c>
      <c r="AY178" s="73">
        <f t="shared" si="160"/>
        <v>52.882700873565163</v>
      </c>
      <c r="AZ178" s="72">
        <f t="shared" si="161"/>
        <v>4.0037651093067082E-2</v>
      </c>
      <c r="BA178" s="73"/>
      <c r="BB178" s="73">
        <f t="shared" si="175"/>
        <v>0</v>
      </c>
      <c r="BC178" s="94"/>
      <c r="BD178" s="1"/>
      <c r="BE178" s="1" t="s">
        <v>60</v>
      </c>
      <c r="BF178" s="1"/>
    </row>
    <row r="179" spans="1:58" s="120" customFormat="1" ht="15" customHeight="1" x14ac:dyDescent="0.35">
      <c r="A179" s="69" t="s">
        <v>22</v>
      </c>
      <c r="B179" s="70" t="s">
        <v>59</v>
      </c>
      <c r="C179" s="69" t="str">
        <f t="shared" si="142"/>
        <v>OL_7-24_G</v>
      </c>
      <c r="D179" s="71">
        <v>45476</v>
      </c>
      <c r="E179" s="71" t="s">
        <v>60</v>
      </c>
      <c r="F179" s="71"/>
      <c r="G179" s="69"/>
      <c r="H179" s="69" t="str">
        <f t="shared" si="143"/>
        <v/>
      </c>
      <c r="I179" s="69">
        <v>132.80000000000001</v>
      </c>
      <c r="J179" s="69">
        <v>130.50101010101005</v>
      </c>
      <c r="K179" s="69">
        <v>144.1</v>
      </c>
      <c r="L179" s="69">
        <f t="shared" si="176"/>
        <v>11.299999999999983</v>
      </c>
      <c r="M179" s="69">
        <f t="shared" si="163"/>
        <v>107.9</v>
      </c>
      <c r="N179" s="93"/>
      <c r="O179" s="69">
        <f t="shared" si="144"/>
        <v>27.247451343836882</v>
      </c>
      <c r="P179" s="69">
        <f t="shared" si="145"/>
        <v>2.853532902551958</v>
      </c>
      <c r="Q179" s="94"/>
      <c r="R179" s="69">
        <f t="shared" si="146"/>
        <v>28.359592215013901</v>
      </c>
      <c r="S179" s="69">
        <f t="shared" si="147"/>
        <v>2.970003633268365</v>
      </c>
      <c r="T179" s="94"/>
      <c r="U179" s="69">
        <f t="shared" si="148"/>
        <v>44.392956441149209</v>
      </c>
      <c r="V179" s="69">
        <f t="shared" si="149"/>
        <v>4.6491233344298912</v>
      </c>
      <c r="W179" s="94"/>
      <c r="X179" s="72">
        <v>36.6</v>
      </c>
      <c r="Y179" s="72">
        <v>29.4</v>
      </c>
      <c r="Z179" s="72">
        <f t="shared" si="164"/>
        <v>7.2000000000000028</v>
      </c>
      <c r="AA179" s="72">
        <f t="shared" si="150"/>
        <v>2.853532902551958</v>
      </c>
      <c r="AB179" s="72">
        <f t="shared" si="151"/>
        <v>26.546467097448041</v>
      </c>
      <c r="AC179" s="72">
        <f t="shared" si="152"/>
        <v>0.10749200230965096</v>
      </c>
      <c r="AD179" s="72"/>
      <c r="AE179" s="72">
        <f>AD179*AC179</f>
        <v>0</v>
      </c>
      <c r="AF179" s="72">
        <f>AD179-AE179</f>
        <v>0</v>
      </c>
      <c r="AG179" s="72"/>
      <c r="AH179" s="72">
        <f t="shared" si="153"/>
        <v>0.10749200230965096</v>
      </c>
      <c r="AI179" s="72"/>
      <c r="AJ179" s="72">
        <f t="shared" si="154"/>
        <v>0</v>
      </c>
      <c r="AK179" s="94"/>
      <c r="AL179" s="69">
        <v>38.799999999999997</v>
      </c>
      <c r="AM179" s="69">
        <v>30.6</v>
      </c>
      <c r="AN179" s="69">
        <f t="shared" si="165"/>
        <v>8.1999999999999957</v>
      </c>
      <c r="AO179" s="73">
        <f t="shared" si="155"/>
        <v>2.970003633268365</v>
      </c>
      <c r="AP179" s="73">
        <f t="shared" si="156"/>
        <v>27.629996366731636</v>
      </c>
      <c r="AQ179" s="72">
        <f t="shared" si="157"/>
        <v>0.10749200230965097</v>
      </c>
      <c r="AR179" s="69"/>
      <c r="AS179" s="73">
        <f t="shared" ref="AS179:AS186" si="177">AR179*AQ179</f>
        <v>0</v>
      </c>
      <c r="AT179" s="94"/>
      <c r="AU179" s="73">
        <v>69.2</v>
      </c>
      <c r="AV179" s="73">
        <v>47.9</v>
      </c>
      <c r="AW179" s="73">
        <f t="shared" si="166"/>
        <v>21.300000000000004</v>
      </c>
      <c r="AX179" s="73">
        <f t="shared" si="159"/>
        <v>4.6491233344298912</v>
      </c>
      <c r="AY179" s="73">
        <f t="shared" si="160"/>
        <v>43.250876665570104</v>
      </c>
      <c r="AZ179" s="72">
        <f t="shared" si="161"/>
        <v>0.10749200230965097</v>
      </c>
      <c r="BA179" s="73"/>
      <c r="BB179" s="73">
        <f t="shared" si="175"/>
        <v>0</v>
      </c>
      <c r="BC179" s="94"/>
      <c r="BD179" s="1"/>
      <c r="BE179" s="1" t="s">
        <v>60</v>
      </c>
      <c r="BF179" s="1"/>
    </row>
    <row r="180" spans="1:58" s="120" customFormat="1" ht="15" customHeight="1" x14ac:dyDescent="0.35">
      <c r="A180" s="69" t="s">
        <v>19</v>
      </c>
      <c r="B180" s="70" t="s">
        <v>59</v>
      </c>
      <c r="C180" s="69" t="str">
        <f t="shared" si="142"/>
        <v>NCL_7-24_G</v>
      </c>
      <c r="D180" s="71">
        <v>45476</v>
      </c>
      <c r="E180" s="71" t="s">
        <v>60</v>
      </c>
      <c r="F180" s="71">
        <v>45552</v>
      </c>
      <c r="G180" s="69"/>
      <c r="H180" s="69" t="str">
        <f t="shared" si="143"/>
        <v/>
      </c>
      <c r="I180" s="69">
        <v>133.19999999999999</v>
      </c>
      <c r="J180" s="69"/>
      <c r="K180" s="69">
        <v>140.9</v>
      </c>
      <c r="L180" s="69">
        <f t="shared" si="176"/>
        <v>7.7000000000000171</v>
      </c>
      <c r="M180" s="69">
        <f t="shared" si="163"/>
        <v>105.2</v>
      </c>
      <c r="N180" s="93"/>
      <c r="O180" s="69">
        <f t="shared" si="144"/>
        <v>25.285171102661597</v>
      </c>
      <c r="P180" s="69">
        <f t="shared" si="145"/>
        <v>1.8507206985788471</v>
      </c>
      <c r="Q180" s="94"/>
      <c r="R180" s="69">
        <f t="shared" si="146"/>
        <v>26.045627376425855</v>
      </c>
      <c r="S180" s="69">
        <f t="shared" si="147"/>
        <v>1.9063814714684366</v>
      </c>
      <c r="T180" s="94"/>
      <c r="U180" s="69">
        <f t="shared" si="148"/>
        <v>48.669201520912544</v>
      </c>
      <c r="V180" s="69">
        <f t="shared" si="149"/>
        <v>3.5622894649337207</v>
      </c>
      <c r="W180" s="94"/>
      <c r="X180" s="72">
        <v>34.9</v>
      </c>
      <c r="Y180" s="72">
        <v>26.6</v>
      </c>
      <c r="Z180" s="72">
        <f t="shared" si="164"/>
        <v>8.2999999999999972</v>
      </c>
      <c r="AA180" s="72">
        <f t="shared" si="150"/>
        <v>1.8507206985788471</v>
      </c>
      <c r="AB180" s="72">
        <f t="shared" si="151"/>
        <v>24.749279301421154</v>
      </c>
      <c r="AC180" s="72">
        <f t="shared" si="152"/>
        <v>7.4778771375074951E-2</v>
      </c>
      <c r="AD180" s="72"/>
      <c r="AE180" s="72"/>
      <c r="AF180" s="72"/>
      <c r="AG180" s="72"/>
      <c r="AH180" s="72">
        <f t="shared" si="153"/>
        <v>7.4778771375074951E-2</v>
      </c>
      <c r="AI180" s="72"/>
      <c r="AJ180" s="72">
        <f t="shared" si="154"/>
        <v>0</v>
      </c>
      <c r="AK180" s="94"/>
      <c r="AL180" s="69">
        <v>36.200000000000003</v>
      </c>
      <c r="AM180" s="69">
        <v>27.4</v>
      </c>
      <c r="AN180" s="69">
        <f t="shared" si="165"/>
        <v>8.8000000000000043</v>
      </c>
      <c r="AO180" s="73">
        <f t="shared" si="155"/>
        <v>1.9063814714684366</v>
      </c>
      <c r="AP180" s="73">
        <f t="shared" si="156"/>
        <v>25.493618528531563</v>
      </c>
      <c r="AQ180" s="72">
        <f t="shared" si="157"/>
        <v>7.4778771375074951E-2</v>
      </c>
      <c r="AR180" s="69"/>
      <c r="AS180" s="73">
        <f t="shared" si="177"/>
        <v>0</v>
      </c>
      <c r="AT180" s="94"/>
      <c r="AU180" s="73">
        <v>69.7</v>
      </c>
      <c r="AV180" s="73">
        <v>51.2</v>
      </c>
      <c r="AW180" s="73">
        <f t="shared" si="166"/>
        <v>18.5</v>
      </c>
      <c r="AX180" s="73">
        <f t="shared" si="159"/>
        <v>3.5622894649337207</v>
      </c>
      <c r="AY180" s="73">
        <f t="shared" si="160"/>
        <v>47.637710535066283</v>
      </c>
      <c r="AZ180" s="72">
        <f t="shared" si="161"/>
        <v>7.4778771375074951E-2</v>
      </c>
      <c r="BA180" s="73"/>
      <c r="BB180" s="73">
        <f t="shared" si="175"/>
        <v>0</v>
      </c>
      <c r="BC180" s="94"/>
      <c r="BD180" s="1"/>
      <c r="BE180" s="1" t="s">
        <v>60</v>
      </c>
      <c r="BF180" s="1"/>
    </row>
    <row r="181" spans="1:58" s="120" customFormat="1" ht="15" customHeight="1" x14ac:dyDescent="0.35">
      <c r="A181" s="69" t="s">
        <v>58</v>
      </c>
      <c r="B181" s="70" t="s">
        <v>59</v>
      </c>
      <c r="C181" s="69" t="str">
        <f t="shared" si="142"/>
        <v>TSH_7-24_G</v>
      </c>
      <c r="D181" s="71">
        <v>45476</v>
      </c>
      <c r="E181" s="71" t="s">
        <v>60</v>
      </c>
      <c r="F181" s="71">
        <v>45548</v>
      </c>
      <c r="G181" s="69"/>
      <c r="H181" s="69" t="str">
        <f t="shared" si="143"/>
        <v/>
      </c>
      <c r="I181" s="69">
        <v>129.9</v>
      </c>
      <c r="J181" s="69"/>
      <c r="K181" s="69">
        <v>135.9</v>
      </c>
      <c r="L181" s="69">
        <f t="shared" si="176"/>
        <v>6</v>
      </c>
      <c r="M181" s="69">
        <f t="shared" si="163"/>
        <v>101</v>
      </c>
      <c r="N181" s="93"/>
      <c r="O181" s="69">
        <f t="shared" si="144"/>
        <v>23.564356435643568</v>
      </c>
      <c r="P181" s="69">
        <f t="shared" si="145"/>
        <v>1.3998627585530832</v>
      </c>
      <c r="Q181" s="94"/>
      <c r="R181" s="69">
        <f t="shared" si="146"/>
        <v>28.019801980198022</v>
      </c>
      <c r="S181" s="69">
        <f t="shared" si="147"/>
        <v>1.6645426918929518</v>
      </c>
      <c r="T181" s="94"/>
      <c r="U181" s="69">
        <f t="shared" si="148"/>
        <v>48.415841584158414</v>
      </c>
      <c r="V181" s="69">
        <f t="shared" si="149"/>
        <v>2.8761886089599056</v>
      </c>
      <c r="W181" s="94"/>
      <c r="X181" s="72">
        <v>33.700000000000003</v>
      </c>
      <c r="Y181" s="72">
        <v>23.8</v>
      </c>
      <c r="Z181" s="72">
        <f t="shared" si="164"/>
        <v>9.9000000000000021</v>
      </c>
      <c r="AA181" s="72">
        <f t="shared" si="150"/>
        <v>1.3998627585530832</v>
      </c>
      <c r="AB181" s="72">
        <f t="shared" si="151"/>
        <v>22.400137241446917</v>
      </c>
      <c r="AC181" s="72">
        <f t="shared" si="152"/>
        <v>6.2493490261431112E-2</v>
      </c>
      <c r="AD181" s="72"/>
      <c r="AE181" s="72"/>
      <c r="AF181" s="72"/>
      <c r="AG181" s="72"/>
      <c r="AH181" s="72">
        <f t="shared" si="153"/>
        <v>6.2493490261431112E-2</v>
      </c>
      <c r="AI181" s="72"/>
      <c r="AJ181" s="72">
        <f t="shared" si="154"/>
        <v>0</v>
      </c>
      <c r="AK181" s="94"/>
      <c r="AL181" s="69">
        <v>36.200000000000003</v>
      </c>
      <c r="AM181" s="69">
        <v>28.3</v>
      </c>
      <c r="AN181" s="69">
        <f t="shared" si="165"/>
        <v>7.9000000000000021</v>
      </c>
      <c r="AO181" s="73">
        <f t="shared" si="155"/>
        <v>1.6645426918929518</v>
      </c>
      <c r="AP181" s="73">
        <f t="shared" si="156"/>
        <v>26.63545730810705</v>
      </c>
      <c r="AQ181" s="72">
        <f t="shared" si="157"/>
        <v>6.2493490261431105E-2</v>
      </c>
      <c r="AR181" s="69"/>
      <c r="AS181" s="73">
        <f t="shared" si="177"/>
        <v>0</v>
      </c>
      <c r="AT181" s="94"/>
      <c r="AU181" s="73">
        <v>65.8</v>
      </c>
      <c r="AV181" s="73">
        <v>48.9</v>
      </c>
      <c r="AW181" s="73">
        <f t="shared" si="166"/>
        <v>16.899999999999999</v>
      </c>
      <c r="AX181" s="73">
        <f t="shared" si="159"/>
        <v>2.8761886089599056</v>
      </c>
      <c r="AY181" s="73">
        <f t="shared" si="160"/>
        <v>46.023811391040091</v>
      </c>
      <c r="AZ181" s="72">
        <f t="shared" si="161"/>
        <v>6.2493490261431098E-2</v>
      </c>
      <c r="BA181" s="73"/>
      <c r="BB181" s="73">
        <f t="shared" si="175"/>
        <v>0</v>
      </c>
      <c r="BC181" s="94"/>
      <c r="BD181" s="1"/>
      <c r="BE181" s="1" t="s">
        <v>60</v>
      </c>
      <c r="BF181" s="1"/>
    </row>
    <row r="182" spans="1:58" s="120" customFormat="1" ht="15" customHeight="1" x14ac:dyDescent="0.35">
      <c r="A182" s="69" t="s">
        <v>47</v>
      </c>
      <c r="B182" s="70" t="s">
        <v>64</v>
      </c>
      <c r="C182" s="69" t="str">
        <f t="shared" si="142"/>
        <v>TSM4_8-24_G</v>
      </c>
      <c r="D182" s="71">
        <v>45505</v>
      </c>
      <c r="E182" s="61" t="s">
        <v>60</v>
      </c>
      <c r="F182" s="69"/>
      <c r="G182" s="69"/>
      <c r="H182" s="69" t="str">
        <f t="shared" si="143"/>
        <v/>
      </c>
      <c r="I182" s="69">
        <v>133.6</v>
      </c>
      <c r="J182" s="69"/>
      <c r="K182" s="69">
        <v>143.19999999999999</v>
      </c>
      <c r="L182" s="69">
        <f t="shared" si="176"/>
        <v>9.5999999999999943</v>
      </c>
      <c r="M182" s="69">
        <f t="shared" si="163"/>
        <v>108.7</v>
      </c>
      <c r="N182" s="93"/>
      <c r="O182" s="69">
        <f t="shared" si="144"/>
        <v>26.862925482980682</v>
      </c>
      <c r="P182" s="69">
        <f t="shared" si="145"/>
        <v>2.3724386811096081</v>
      </c>
      <c r="Q182" s="94"/>
      <c r="R182" s="69">
        <f t="shared" si="146"/>
        <v>22.81508739650414</v>
      </c>
      <c r="S182" s="69">
        <f t="shared" si="147"/>
        <v>2.0149479209424066</v>
      </c>
      <c r="T182" s="94"/>
      <c r="U182" s="69">
        <f t="shared" si="148"/>
        <v>50.321987120515175</v>
      </c>
      <c r="V182" s="69">
        <f t="shared" si="149"/>
        <v>4.4442601320786137</v>
      </c>
      <c r="W182" s="94"/>
      <c r="X182" s="72">
        <v>38.4</v>
      </c>
      <c r="Y182" s="72">
        <v>29.2</v>
      </c>
      <c r="Z182" s="72">
        <f t="shared" si="164"/>
        <v>9.1999999999999993</v>
      </c>
      <c r="AA182" s="72">
        <f t="shared" si="150"/>
        <v>2.3724386811096081</v>
      </c>
      <c r="AB182" s="72">
        <f t="shared" si="151"/>
        <v>26.827561318890393</v>
      </c>
      <c r="AC182" s="72">
        <f t="shared" si="152"/>
        <v>8.8432886348080997E-2</v>
      </c>
      <c r="AD182" s="72"/>
      <c r="AE182" s="72">
        <f>AD182*AC182</f>
        <v>0</v>
      </c>
      <c r="AF182" s="72">
        <f>AD182-AE182</f>
        <v>0</v>
      </c>
      <c r="AG182" s="72"/>
      <c r="AH182" s="72">
        <f t="shared" si="153"/>
        <v>8.8432886348080997E-2</v>
      </c>
      <c r="AI182" s="72"/>
      <c r="AJ182" s="72">
        <f t="shared" si="154"/>
        <v>0</v>
      </c>
      <c r="AK182" s="94"/>
      <c r="AL182" s="69">
        <v>35.6</v>
      </c>
      <c r="AM182" s="69">
        <v>24.8</v>
      </c>
      <c r="AN182" s="69">
        <f t="shared" si="165"/>
        <v>10.8</v>
      </c>
      <c r="AO182" s="73">
        <f t="shared" si="155"/>
        <v>2.0149479209424066</v>
      </c>
      <c r="AP182" s="73">
        <f t="shared" si="156"/>
        <v>22.785052079057593</v>
      </c>
      <c r="AQ182" s="72">
        <f t="shared" si="157"/>
        <v>8.8432886348080997E-2</v>
      </c>
      <c r="AR182" s="69"/>
      <c r="AS182" s="73">
        <f t="shared" si="177"/>
        <v>0</v>
      </c>
      <c r="AT182" s="94"/>
      <c r="AU182" s="73">
        <v>71.3</v>
      </c>
      <c r="AV182" s="73">
        <v>54.7</v>
      </c>
      <c r="AW182" s="73">
        <f t="shared" si="166"/>
        <v>16.599999999999994</v>
      </c>
      <c r="AX182" s="73">
        <f t="shared" si="159"/>
        <v>4.4442601320786137</v>
      </c>
      <c r="AY182" s="73">
        <f t="shared" si="160"/>
        <v>50.255739867921392</v>
      </c>
      <c r="AZ182" s="72">
        <f t="shared" si="161"/>
        <v>8.8432886348080955E-2</v>
      </c>
      <c r="BA182" s="73"/>
      <c r="BB182" s="73">
        <f t="shared" si="175"/>
        <v>0</v>
      </c>
      <c r="BC182" s="94"/>
      <c r="BD182" s="1"/>
      <c r="BE182" s="1" t="s">
        <v>60</v>
      </c>
      <c r="BF182" s="1"/>
    </row>
    <row r="183" spans="1:58" s="120" customFormat="1" ht="15" customHeight="1" x14ac:dyDescent="0.35">
      <c r="A183" s="110" t="s">
        <v>35</v>
      </c>
      <c r="B183" s="111" t="s">
        <v>61</v>
      </c>
      <c r="C183" s="110" t="str">
        <f t="shared" si="142"/>
        <v>MCS1_1-24_G</v>
      </c>
      <c r="D183" s="112">
        <v>45298</v>
      </c>
      <c r="E183" s="115" t="s">
        <v>112</v>
      </c>
      <c r="F183" s="110"/>
      <c r="G183" s="110"/>
      <c r="H183" s="110" t="str">
        <f t="shared" si="143"/>
        <v>NS</v>
      </c>
      <c r="I183" s="110">
        <v>133.9</v>
      </c>
      <c r="J183" s="110"/>
      <c r="K183" s="110">
        <v>143.4</v>
      </c>
      <c r="L183" s="110">
        <f t="shared" si="176"/>
        <v>9.5</v>
      </c>
      <c r="M183" s="110">
        <f t="shared" si="163"/>
        <v>105.9</v>
      </c>
      <c r="N183" s="93"/>
      <c r="O183" s="110">
        <f t="shared" si="144"/>
        <v>25.873465533522189</v>
      </c>
      <c r="P183" s="110">
        <f t="shared" si="145"/>
        <v>2.3210379845935862</v>
      </c>
      <c r="Q183" s="94"/>
      <c r="R183" s="110">
        <f t="shared" si="146"/>
        <v>26.912181303116146</v>
      </c>
      <c r="S183" s="110">
        <f t="shared" si="147"/>
        <v>2.4142183416393141</v>
      </c>
      <c r="T183" s="94"/>
      <c r="U183" s="110">
        <f t="shared" si="148"/>
        <v>47.214353163361658</v>
      </c>
      <c r="V183" s="110">
        <f t="shared" si="149"/>
        <v>4.2354707748058136</v>
      </c>
      <c r="W183" s="94"/>
      <c r="X183" s="113">
        <v>34.700000000000003</v>
      </c>
      <c r="Y183" s="113">
        <v>27.4</v>
      </c>
      <c r="Z183" s="113">
        <f t="shared" si="164"/>
        <v>7.3000000000000043</v>
      </c>
      <c r="AA183" s="113">
        <f t="shared" si="150"/>
        <v>2.3210379845935862</v>
      </c>
      <c r="AB183" s="113">
        <f t="shared" si="151"/>
        <v>25.078962015406411</v>
      </c>
      <c r="AC183" s="113">
        <f t="shared" si="152"/>
        <v>9.2549204515232131E-2</v>
      </c>
      <c r="AD183" s="113">
        <v>17.8</v>
      </c>
      <c r="AE183" s="113">
        <f>AD183*AC183</f>
        <v>1.647375840371132</v>
      </c>
      <c r="AF183" s="113">
        <f>AD183-AE183</f>
        <v>16.152624159628868</v>
      </c>
      <c r="AG183" s="113"/>
      <c r="AH183" s="113">
        <f t="shared" si="153"/>
        <v>9.2549204515232131E-2</v>
      </c>
      <c r="AI183" s="113"/>
      <c r="AJ183" s="113">
        <f t="shared" si="154"/>
        <v>0</v>
      </c>
      <c r="AK183" s="94"/>
      <c r="AL183" s="110">
        <v>38</v>
      </c>
      <c r="AM183" s="110">
        <v>28.5</v>
      </c>
      <c r="AN183" s="110">
        <f t="shared" si="165"/>
        <v>9.5</v>
      </c>
      <c r="AO183" s="114">
        <f t="shared" si="155"/>
        <v>2.4142183416393141</v>
      </c>
      <c r="AP183" s="114">
        <f t="shared" si="156"/>
        <v>26.085781658360688</v>
      </c>
      <c r="AQ183" s="113">
        <f t="shared" si="157"/>
        <v>9.2549204515232117E-2</v>
      </c>
      <c r="AR183" s="110"/>
      <c r="AS183" s="114">
        <f t="shared" si="177"/>
        <v>0</v>
      </c>
      <c r="AT183" s="94"/>
      <c r="AU183" s="114">
        <v>69.7</v>
      </c>
      <c r="AV183" s="114">
        <v>50</v>
      </c>
      <c r="AW183" s="114">
        <f t="shared" si="166"/>
        <v>19.700000000000003</v>
      </c>
      <c r="AX183" s="114">
        <f t="shared" si="159"/>
        <v>4.2354707748058136</v>
      </c>
      <c r="AY183" s="114">
        <f t="shared" si="160"/>
        <v>45.764529225194188</v>
      </c>
      <c r="AZ183" s="113">
        <f t="shared" si="161"/>
        <v>9.2549204515232103E-2</v>
      </c>
      <c r="BA183" s="114">
        <v>48.6</v>
      </c>
      <c r="BB183" s="114">
        <f t="shared" si="175"/>
        <v>4.4978913394402804</v>
      </c>
      <c r="BC183" s="94"/>
      <c r="BD183" s="1"/>
      <c r="BE183" s="1" t="s">
        <v>60</v>
      </c>
      <c r="BF183" s="1"/>
    </row>
    <row r="184" spans="1:58" s="120" customFormat="1" ht="15" customHeight="1" x14ac:dyDescent="0.35">
      <c r="A184" s="110" t="s">
        <v>38</v>
      </c>
      <c r="B184" s="111" t="s">
        <v>61</v>
      </c>
      <c r="C184" s="110" t="str">
        <f t="shared" si="142"/>
        <v>MCS4_1-24_G</v>
      </c>
      <c r="D184" s="112">
        <v>45298</v>
      </c>
      <c r="E184" s="28" t="s">
        <v>60</v>
      </c>
      <c r="F184" s="110"/>
      <c r="G184" s="110"/>
      <c r="H184" s="110" t="str">
        <f t="shared" si="143"/>
        <v/>
      </c>
      <c r="I184" s="110">
        <v>135.19999999999999</v>
      </c>
      <c r="J184" s="110"/>
      <c r="K184" s="110">
        <v>142.1</v>
      </c>
      <c r="L184" s="110">
        <f t="shared" si="176"/>
        <v>6.9000000000000057</v>
      </c>
      <c r="M184" s="110">
        <f t="shared" si="163"/>
        <v>104.6</v>
      </c>
      <c r="N184" s="93"/>
      <c r="O184" s="110">
        <f t="shared" si="144"/>
        <v>25.812619502868074</v>
      </c>
      <c r="P184" s="110">
        <f t="shared" si="145"/>
        <v>1.7027444987551614</v>
      </c>
      <c r="Q184" s="94"/>
      <c r="R184" s="110">
        <f t="shared" si="146"/>
        <v>25.334608030592737</v>
      </c>
      <c r="S184" s="110">
        <f t="shared" si="147"/>
        <v>1.671212193222658</v>
      </c>
      <c r="T184" s="94"/>
      <c r="U184" s="110">
        <f t="shared" si="148"/>
        <v>48.8527724665392</v>
      </c>
      <c r="V184" s="110">
        <f t="shared" si="149"/>
        <v>3.2226016254218051</v>
      </c>
      <c r="W184" s="94"/>
      <c r="X184" s="113">
        <v>35.9</v>
      </c>
      <c r="Y184" s="113">
        <v>27</v>
      </c>
      <c r="Z184" s="113">
        <f t="shared" si="164"/>
        <v>8.8999999999999986</v>
      </c>
      <c r="AA184" s="113">
        <f t="shared" si="150"/>
        <v>1.7027444987551614</v>
      </c>
      <c r="AB184" s="113">
        <f t="shared" si="151"/>
        <v>25.297255501244837</v>
      </c>
      <c r="AC184" s="113">
        <f t="shared" si="152"/>
        <v>6.7309455710378233E-2</v>
      </c>
      <c r="AD184" s="113"/>
      <c r="AE184" s="113">
        <f>AD184*AC184</f>
        <v>0</v>
      </c>
      <c r="AF184" s="113">
        <f>AD184-AE184</f>
        <v>0</v>
      </c>
      <c r="AG184" s="113"/>
      <c r="AH184" s="113">
        <f t="shared" si="153"/>
        <v>6.7309455710378233E-2</v>
      </c>
      <c r="AI184" s="113"/>
      <c r="AJ184" s="113">
        <f t="shared" si="154"/>
        <v>0</v>
      </c>
      <c r="AK184" s="94"/>
      <c r="AL184" s="110">
        <v>35.6</v>
      </c>
      <c r="AM184" s="110">
        <v>26.5</v>
      </c>
      <c r="AN184" s="110">
        <f t="shared" si="165"/>
        <v>9.1000000000000014</v>
      </c>
      <c r="AO184" s="114">
        <f t="shared" si="155"/>
        <v>1.671212193222658</v>
      </c>
      <c r="AP184" s="114">
        <f t="shared" si="156"/>
        <v>24.828787806777342</v>
      </c>
      <c r="AQ184" s="113">
        <f t="shared" si="157"/>
        <v>6.7309455710378205E-2</v>
      </c>
      <c r="AR184" s="110"/>
      <c r="AS184" s="114">
        <f t="shared" si="177"/>
        <v>0</v>
      </c>
      <c r="AT184" s="94"/>
      <c r="AU184" s="114">
        <v>71</v>
      </c>
      <c r="AV184" s="114">
        <v>51.1</v>
      </c>
      <c r="AW184" s="114">
        <f t="shared" si="166"/>
        <v>19.899999999999999</v>
      </c>
      <c r="AX184" s="114">
        <f t="shared" si="159"/>
        <v>3.2226016254218051</v>
      </c>
      <c r="AY184" s="114">
        <f t="shared" si="160"/>
        <v>47.877398374578199</v>
      </c>
      <c r="AZ184" s="113">
        <f t="shared" si="161"/>
        <v>6.7309455710378205E-2</v>
      </c>
      <c r="BA184" s="114"/>
      <c r="BB184" s="114">
        <f t="shared" si="175"/>
        <v>0</v>
      </c>
      <c r="BC184" s="94"/>
      <c r="BD184" s="1"/>
      <c r="BE184" s="1" t="s">
        <v>60</v>
      </c>
      <c r="BF184" s="1"/>
    </row>
    <row r="185" spans="1:58" s="120" customFormat="1" ht="15" customHeight="1" x14ac:dyDescent="0.35">
      <c r="A185" s="110" t="s">
        <v>51</v>
      </c>
      <c r="B185" s="111" t="s">
        <v>61</v>
      </c>
      <c r="C185" s="110" t="str">
        <f t="shared" si="142"/>
        <v>TBC_1-24_G</v>
      </c>
      <c r="D185" s="112">
        <v>45298</v>
      </c>
      <c r="E185" s="28" t="s">
        <v>60</v>
      </c>
      <c r="F185" s="110"/>
      <c r="G185" s="110"/>
      <c r="H185" s="110" t="str">
        <f t="shared" si="143"/>
        <v/>
      </c>
      <c r="I185" s="110">
        <v>134.30000000000001</v>
      </c>
      <c r="J185" s="110"/>
      <c r="K185" s="110">
        <v>140.1</v>
      </c>
      <c r="L185" s="110">
        <f t="shared" si="176"/>
        <v>5.7999999999999829</v>
      </c>
      <c r="M185" s="110">
        <f t="shared" si="163"/>
        <v>0</v>
      </c>
      <c r="N185" s="93"/>
      <c r="O185" s="110" t="e">
        <f t="shared" si="144"/>
        <v>#DIV/0!</v>
      </c>
      <c r="P185" s="110" t="e">
        <f t="shared" si="145"/>
        <v>#DIV/0!</v>
      </c>
      <c r="Q185" s="94"/>
      <c r="R185" s="110" t="e">
        <f t="shared" si="146"/>
        <v>#DIV/0!</v>
      </c>
      <c r="S185" s="110" t="e">
        <f t="shared" si="147"/>
        <v>#DIV/0!</v>
      </c>
      <c r="T185" s="94"/>
      <c r="U185" s="110" t="e">
        <f t="shared" si="148"/>
        <v>#DIV/0!</v>
      </c>
      <c r="V185" s="110" t="e">
        <f t="shared" si="149"/>
        <v>#DIV/0!</v>
      </c>
      <c r="W185" s="94"/>
      <c r="X185" s="113"/>
      <c r="Y185" s="113"/>
      <c r="Z185" s="113">
        <f t="shared" si="164"/>
        <v>0</v>
      </c>
      <c r="AA185" s="113" t="e">
        <f t="shared" si="150"/>
        <v>#DIV/0!</v>
      </c>
      <c r="AB185" s="113" t="e">
        <f t="shared" si="151"/>
        <v>#DIV/0!</v>
      </c>
      <c r="AC185" s="113" t="e">
        <f t="shared" si="152"/>
        <v>#DIV/0!</v>
      </c>
      <c r="AD185" s="113"/>
      <c r="AE185" s="113" t="e">
        <f>AD185*AC185</f>
        <v>#DIV/0!</v>
      </c>
      <c r="AF185" s="113" t="e">
        <f>AD185-AE185</f>
        <v>#DIV/0!</v>
      </c>
      <c r="AG185" s="113"/>
      <c r="AH185" s="113" t="e">
        <f t="shared" si="153"/>
        <v>#DIV/0!</v>
      </c>
      <c r="AI185" s="113"/>
      <c r="AJ185" s="113" t="e">
        <f t="shared" si="154"/>
        <v>#DIV/0!</v>
      </c>
      <c r="AK185" s="94"/>
      <c r="AL185" s="110"/>
      <c r="AM185" s="110"/>
      <c r="AN185" s="110">
        <f t="shared" si="165"/>
        <v>0</v>
      </c>
      <c r="AO185" s="114" t="e">
        <f t="shared" si="155"/>
        <v>#DIV/0!</v>
      </c>
      <c r="AP185" s="114" t="e">
        <f t="shared" si="156"/>
        <v>#DIV/0!</v>
      </c>
      <c r="AQ185" s="113" t="e">
        <f t="shared" si="157"/>
        <v>#DIV/0!</v>
      </c>
      <c r="AR185" s="110"/>
      <c r="AS185" s="114" t="e">
        <f t="shared" si="177"/>
        <v>#DIV/0!</v>
      </c>
      <c r="AT185" s="94"/>
      <c r="AU185" s="114"/>
      <c r="AV185" s="114"/>
      <c r="AW185" s="114">
        <f t="shared" si="166"/>
        <v>0</v>
      </c>
      <c r="AX185" s="114" t="e">
        <f t="shared" si="159"/>
        <v>#DIV/0!</v>
      </c>
      <c r="AY185" s="114" t="e">
        <f t="shared" si="160"/>
        <v>#DIV/0!</v>
      </c>
      <c r="AZ185" s="113" t="e">
        <f t="shared" si="161"/>
        <v>#DIV/0!</v>
      </c>
      <c r="BA185" s="114"/>
      <c r="BB185" s="114" t="e">
        <f t="shared" si="175"/>
        <v>#DIV/0!</v>
      </c>
      <c r="BC185" s="94"/>
      <c r="BD185" s="1"/>
      <c r="BE185" s="1" t="s">
        <v>60</v>
      </c>
      <c r="BF185" s="1"/>
    </row>
    <row r="186" spans="1:58" s="120" customFormat="1" ht="15" customHeight="1" x14ac:dyDescent="0.35">
      <c r="A186" s="110" t="s">
        <v>42</v>
      </c>
      <c r="B186" s="111" t="s">
        <v>61</v>
      </c>
      <c r="C186" s="110" t="str">
        <f t="shared" si="142"/>
        <v>TB2_1-24_G</v>
      </c>
      <c r="D186" s="112">
        <v>45298</v>
      </c>
      <c r="E186" s="112" t="s">
        <v>60</v>
      </c>
      <c r="F186" s="112">
        <v>45320</v>
      </c>
      <c r="G186" s="110"/>
      <c r="H186" s="110" t="str">
        <f t="shared" si="143"/>
        <v/>
      </c>
      <c r="I186" s="110"/>
      <c r="J186" s="110">
        <v>130.50101010101005</v>
      </c>
      <c r="K186" s="110">
        <v>139.1</v>
      </c>
      <c r="L186" s="110">
        <f>K186-J186</f>
        <v>8.5989898989899416</v>
      </c>
      <c r="M186" s="110">
        <f t="shared" si="163"/>
        <v>98.9</v>
      </c>
      <c r="N186" s="93"/>
      <c r="O186" s="110">
        <f t="shared" si="144"/>
        <v>29.019211324570271</v>
      </c>
      <c r="P186" s="110">
        <f t="shared" si="145"/>
        <v>2.5231132968314891</v>
      </c>
      <c r="Q186" s="94"/>
      <c r="R186" s="110">
        <f t="shared" si="146"/>
        <v>24.772497472194136</v>
      </c>
      <c r="S186" s="110">
        <f t="shared" si="147"/>
        <v>2.1538772046122472</v>
      </c>
      <c r="T186" s="94"/>
      <c r="U186" s="110">
        <f t="shared" si="148"/>
        <v>46.208291203235589</v>
      </c>
      <c r="V186" s="110">
        <f t="shared" si="149"/>
        <v>4.0176403367665179</v>
      </c>
      <c r="W186" s="94"/>
      <c r="X186" s="113">
        <v>36.299999999999997</v>
      </c>
      <c r="Y186" s="113">
        <v>28.7</v>
      </c>
      <c r="Z186" s="113">
        <f t="shared" si="164"/>
        <v>7.5999999999999979</v>
      </c>
      <c r="AA186" s="113">
        <f t="shared" si="150"/>
        <v>2.5231132968314891</v>
      </c>
      <c r="AB186" s="113">
        <f t="shared" si="151"/>
        <v>26.17688670316851</v>
      </c>
      <c r="AC186" s="113">
        <f t="shared" si="152"/>
        <v>9.6387065637033364E-2</v>
      </c>
      <c r="AD186" s="113"/>
      <c r="AE186" s="113"/>
      <c r="AF186" s="113"/>
      <c r="AG186" s="113"/>
      <c r="AH186" s="113">
        <f t="shared" si="153"/>
        <v>9.6387065637033364E-2</v>
      </c>
      <c r="AI186" s="113"/>
      <c r="AJ186" s="113">
        <f t="shared" si="154"/>
        <v>0</v>
      </c>
      <c r="AK186" s="94"/>
      <c r="AL186" s="110">
        <v>35.200000000000003</v>
      </c>
      <c r="AM186" s="110">
        <v>24.5</v>
      </c>
      <c r="AN186" s="110">
        <f t="shared" si="165"/>
        <v>10.700000000000003</v>
      </c>
      <c r="AO186" s="114">
        <f t="shared" si="155"/>
        <v>2.1538772046122472</v>
      </c>
      <c r="AP186" s="114">
        <f t="shared" si="156"/>
        <v>22.346122795387753</v>
      </c>
      <c r="AQ186" s="113">
        <f t="shared" si="157"/>
        <v>9.6387065637033378E-2</v>
      </c>
      <c r="AR186" s="110"/>
      <c r="AS186" s="114">
        <f t="shared" si="177"/>
        <v>0</v>
      </c>
      <c r="AT186" s="94"/>
      <c r="AU186" s="114">
        <v>67.900000000000006</v>
      </c>
      <c r="AV186" s="114">
        <v>45.7</v>
      </c>
      <c r="AW186" s="114">
        <f t="shared" si="166"/>
        <v>22.200000000000003</v>
      </c>
      <c r="AX186" s="114">
        <f t="shared" si="159"/>
        <v>4.0176403367665179</v>
      </c>
      <c r="AY186" s="114">
        <f t="shared" si="160"/>
        <v>41.682359663233484</v>
      </c>
      <c r="AZ186" s="113">
        <f t="shared" si="161"/>
        <v>9.6387065637033364E-2</v>
      </c>
      <c r="BA186" s="114"/>
      <c r="BB186" s="114">
        <f t="shared" si="175"/>
        <v>0</v>
      </c>
      <c r="BC186" s="94"/>
      <c r="BD186" s="1"/>
      <c r="BE186" s="1" t="s">
        <v>60</v>
      </c>
      <c r="BF186" s="1"/>
    </row>
    <row r="187" spans="1:58" s="120" customFormat="1" ht="15" customHeight="1" x14ac:dyDescent="0.35">
      <c r="A187" s="110" t="s">
        <v>46</v>
      </c>
      <c r="B187" s="111" t="s">
        <v>61</v>
      </c>
      <c r="C187" s="110" t="str">
        <f t="shared" si="142"/>
        <v>TSM3_1-24_G</v>
      </c>
      <c r="D187" s="112">
        <v>45324</v>
      </c>
      <c r="E187" s="112" t="s">
        <v>60</v>
      </c>
      <c r="F187" s="112">
        <v>45546</v>
      </c>
      <c r="G187" s="110"/>
      <c r="H187" s="110" t="str">
        <f t="shared" si="143"/>
        <v/>
      </c>
      <c r="I187" s="110">
        <v>134.1</v>
      </c>
      <c r="J187" s="110"/>
      <c r="K187" s="110">
        <v>144.69999999999999</v>
      </c>
      <c r="L187" s="110">
        <f t="shared" ref="L187:L192" si="178">K187-I187</f>
        <v>10.599999999999994</v>
      </c>
      <c r="M187" s="110">
        <f t="shared" si="163"/>
        <v>116.8</v>
      </c>
      <c r="N187" s="93"/>
      <c r="O187" s="110">
        <f t="shared" si="144"/>
        <v>26.027397260273972</v>
      </c>
      <c r="P187" s="110">
        <f t="shared" si="145"/>
        <v>2.362075436291986</v>
      </c>
      <c r="Q187" s="94"/>
      <c r="R187" s="110">
        <f t="shared" si="146"/>
        <v>26.198630136986299</v>
      </c>
      <c r="S187" s="110">
        <f t="shared" si="147"/>
        <v>2.3776154062675912</v>
      </c>
      <c r="T187" s="94"/>
      <c r="U187" s="110">
        <f t="shared" si="148"/>
        <v>47.773972602739725</v>
      </c>
      <c r="V187" s="110">
        <f t="shared" si="149"/>
        <v>4.3356516231938427</v>
      </c>
      <c r="W187" s="94"/>
      <c r="X187" s="113">
        <v>38</v>
      </c>
      <c r="Y187" s="113">
        <v>30.4</v>
      </c>
      <c r="Z187" s="113">
        <f t="shared" si="164"/>
        <v>7.6000000000000014</v>
      </c>
      <c r="AA187" s="113">
        <f t="shared" si="150"/>
        <v>2.362075436291986</v>
      </c>
      <c r="AB187" s="113">
        <f t="shared" si="151"/>
        <v>28.037924563708014</v>
      </c>
      <c r="AC187" s="113">
        <f t="shared" si="152"/>
        <v>8.424573048996041E-2</v>
      </c>
      <c r="AD187" s="113"/>
      <c r="AE187" s="113"/>
      <c r="AF187" s="113"/>
      <c r="AG187" s="113"/>
      <c r="AH187" s="113">
        <f t="shared" si="153"/>
        <v>8.424573048996041E-2</v>
      </c>
      <c r="AI187" s="113"/>
      <c r="AJ187" s="113">
        <f t="shared" si="154"/>
        <v>0</v>
      </c>
      <c r="AK187" s="94"/>
      <c r="AL187" s="110">
        <v>37</v>
      </c>
      <c r="AM187" s="110">
        <v>30.6</v>
      </c>
      <c r="AN187" s="110">
        <f t="shared" si="165"/>
        <v>6.3999999999999986</v>
      </c>
      <c r="AO187" s="114">
        <f t="shared" si="155"/>
        <v>2.3776154062675912</v>
      </c>
      <c r="AP187" s="114">
        <f t="shared" si="156"/>
        <v>28.222384593732411</v>
      </c>
      <c r="AQ187" s="113">
        <f t="shared" si="157"/>
        <v>8.4245730489960396E-2</v>
      </c>
      <c r="AR187" s="110"/>
      <c r="AS187" s="114"/>
      <c r="AT187" s="94"/>
      <c r="AU187" s="114">
        <v>72.599999999999994</v>
      </c>
      <c r="AV187" s="114">
        <v>55.8</v>
      </c>
      <c r="AW187" s="114">
        <f t="shared" si="166"/>
        <v>16.799999999999997</v>
      </c>
      <c r="AX187" s="114">
        <f t="shared" si="159"/>
        <v>4.3356516231938427</v>
      </c>
      <c r="AY187" s="114">
        <f t="shared" si="160"/>
        <v>51.464348376806157</v>
      </c>
      <c r="AZ187" s="113">
        <f t="shared" si="161"/>
        <v>8.424573048996041E-2</v>
      </c>
      <c r="BA187" s="114"/>
      <c r="BB187" s="114">
        <f t="shared" si="175"/>
        <v>0</v>
      </c>
      <c r="BC187" s="94"/>
      <c r="BD187" s="1"/>
      <c r="BE187" s="1" t="s">
        <v>60</v>
      </c>
      <c r="BF187" s="1"/>
    </row>
    <row r="188" spans="1:58" ht="15" customHeight="1" x14ac:dyDescent="0.35">
      <c r="A188" s="26" t="s">
        <v>53</v>
      </c>
      <c r="B188" s="27" t="s">
        <v>61</v>
      </c>
      <c r="C188" s="26" t="str">
        <f t="shared" si="142"/>
        <v>WB2_1-24_G</v>
      </c>
      <c r="D188" s="28">
        <v>45298</v>
      </c>
      <c r="E188" s="28" t="s">
        <v>60</v>
      </c>
      <c r="F188" s="26"/>
      <c r="G188" s="26"/>
      <c r="H188" s="26" t="str">
        <f t="shared" si="143"/>
        <v/>
      </c>
      <c r="I188" s="26"/>
      <c r="J188" s="26"/>
      <c r="K188" s="26"/>
      <c r="L188" s="26">
        <f t="shared" si="178"/>
        <v>0</v>
      </c>
      <c r="M188" s="26">
        <f t="shared" si="163"/>
        <v>0</v>
      </c>
      <c r="O188" s="26" t="e">
        <f t="shared" si="144"/>
        <v>#DIV/0!</v>
      </c>
      <c r="P188" s="26" t="e">
        <f t="shared" si="145"/>
        <v>#DIV/0!</v>
      </c>
      <c r="Q188" s="94"/>
      <c r="R188" s="26" t="e">
        <f t="shared" si="146"/>
        <v>#DIV/0!</v>
      </c>
      <c r="S188" s="26" t="e">
        <f t="shared" si="147"/>
        <v>#DIV/0!</v>
      </c>
      <c r="T188" s="94"/>
      <c r="U188" s="26" t="e">
        <f t="shared" si="148"/>
        <v>#DIV/0!</v>
      </c>
      <c r="V188" s="26" t="e">
        <f t="shared" si="149"/>
        <v>#DIV/0!</v>
      </c>
      <c r="W188" s="94"/>
      <c r="X188" s="108"/>
      <c r="Y188" s="108"/>
      <c r="Z188" s="108">
        <f t="shared" si="164"/>
        <v>0</v>
      </c>
      <c r="AA188" s="108" t="e">
        <f t="shared" si="150"/>
        <v>#DIV/0!</v>
      </c>
      <c r="AB188" s="108" t="e">
        <f t="shared" si="151"/>
        <v>#DIV/0!</v>
      </c>
      <c r="AC188" s="108" t="e">
        <f t="shared" si="152"/>
        <v>#DIV/0!</v>
      </c>
      <c r="AD188" s="108"/>
      <c r="AE188" s="108" t="e">
        <f>AD188*AC188</f>
        <v>#DIV/0!</v>
      </c>
      <c r="AF188" s="108" t="e">
        <f>AD188-AE188</f>
        <v>#DIV/0!</v>
      </c>
      <c r="AG188" s="108"/>
      <c r="AH188" s="108" t="e">
        <f t="shared" si="153"/>
        <v>#DIV/0!</v>
      </c>
      <c r="AI188" s="108"/>
      <c r="AJ188" s="108" t="e">
        <f t="shared" si="154"/>
        <v>#DIV/0!</v>
      </c>
      <c r="AL188" s="26"/>
      <c r="AM188" s="26"/>
      <c r="AN188" s="26">
        <f t="shared" si="165"/>
        <v>0</v>
      </c>
      <c r="AO188" s="109" t="e">
        <f t="shared" si="155"/>
        <v>#DIV/0!</v>
      </c>
      <c r="AP188" s="109" t="e">
        <f t="shared" si="156"/>
        <v>#DIV/0!</v>
      </c>
      <c r="AQ188" s="108" t="e">
        <f t="shared" si="157"/>
        <v>#DIV/0!</v>
      </c>
      <c r="AR188" s="26"/>
      <c r="AS188" s="109" t="e">
        <f>AR188*AQ188</f>
        <v>#DIV/0!</v>
      </c>
      <c r="AU188" s="109"/>
      <c r="AV188" s="109"/>
      <c r="AW188" s="109">
        <f t="shared" si="166"/>
        <v>0</v>
      </c>
      <c r="AX188" s="109" t="e">
        <f t="shared" si="159"/>
        <v>#DIV/0!</v>
      </c>
      <c r="AY188" s="109" t="e">
        <f t="shared" si="160"/>
        <v>#DIV/0!</v>
      </c>
      <c r="AZ188" s="108" t="e">
        <f t="shared" si="161"/>
        <v>#DIV/0!</v>
      </c>
      <c r="BA188" s="109"/>
      <c r="BB188" s="109" t="e">
        <f t="shared" si="175"/>
        <v>#DIV/0!</v>
      </c>
      <c r="BE188" s="1" t="s">
        <v>60</v>
      </c>
    </row>
    <row r="189" spans="1:58" ht="15" customHeight="1" x14ac:dyDescent="0.35">
      <c r="A189" s="59" t="s">
        <v>26</v>
      </c>
      <c r="B189" s="60" t="s">
        <v>63</v>
      </c>
      <c r="C189" s="59" t="s">
        <v>113</v>
      </c>
      <c r="D189" s="61">
        <v>45392</v>
      </c>
      <c r="E189" s="61" t="s">
        <v>17</v>
      </c>
      <c r="F189" s="61">
        <v>45518</v>
      </c>
      <c r="G189" s="59" t="s">
        <v>17</v>
      </c>
      <c r="H189" s="1" t="str">
        <f t="shared" si="143"/>
        <v>C,N,S</v>
      </c>
      <c r="I189" s="59">
        <v>128.1</v>
      </c>
      <c r="J189" s="59">
        <v>130.50101010101005</v>
      </c>
      <c r="K189" s="59">
        <v>137.1</v>
      </c>
      <c r="L189" s="59">
        <f t="shared" si="178"/>
        <v>9</v>
      </c>
      <c r="M189" s="59">
        <f t="shared" si="163"/>
        <v>93.199999999999989</v>
      </c>
      <c r="O189" s="59">
        <f t="shared" si="144"/>
        <v>26.180257510729614</v>
      </c>
      <c r="P189" s="59">
        <f t="shared" si="145"/>
        <v>2.528136454898783</v>
      </c>
      <c r="Q189" s="94"/>
      <c r="R189" s="59">
        <f t="shared" si="146"/>
        <v>23.283261802575108</v>
      </c>
      <c r="S189" s="59">
        <f t="shared" si="147"/>
        <v>2.2483836504632619</v>
      </c>
      <c r="T189" s="94"/>
      <c r="U189" s="59">
        <f t="shared" si="148"/>
        <v>50.536480686695285</v>
      </c>
      <c r="V189" s="59">
        <f t="shared" si="149"/>
        <v>4.8801322551529784</v>
      </c>
      <c r="W189" s="94"/>
      <c r="X189" s="62">
        <v>35.1</v>
      </c>
      <c r="Y189" s="62">
        <v>24.4</v>
      </c>
      <c r="Z189" s="62">
        <f t="shared" si="164"/>
        <v>10.700000000000003</v>
      </c>
      <c r="AA189" s="62">
        <f t="shared" si="150"/>
        <v>2.528136454898783</v>
      </c>
      <c r="AB189" s="62">
        <f t="shared" si="151"/>
        <v>21.871863545101217</v>
      </c>
      <c r="AC189" s="62">
        <f t="shared" si="152"/>
        <v>0.11558852539865201</v>
      </c>
      <c r="AD189" s="62"/>
      <c r="AE189" s="62"/>
      <c r="AF189" s="62"/>
      <c r="AG189" s="62">
        <v>10.3</v>
      </c>
      <c r="AH189" s="62">
        <f t="shared" si="153"/>
        <v>0.11558852539865201</v>
      </c>
      <c r="AI189" s="62">
        <v>9.8000000000000007</v>
      </c>
      <c r="AJ189" s="62">
        <f t="shared" si="154"/>
        <v>1.1327675489067899</v>
      </c>
      <c r="AL189" s="59">
        <v>35.1</v>
      </c>
      <c r="AM189" s="59">
        <v>21.7</v>
      </c>
      <c r="AN189" s="59">
        <f t="shared" si="165"/>
        <v>13.400000000000002</v>
      </c>
      <c r="AO189" s="63">
        <f t="shared" si="155"/>
        <v>2.2483836504632619</v>
      </c>
      <c r="AP189" s="63">
        <f t="shared" si="156"/>
        <v>19.451616349536739</v>
      </c>
      <c r="AQ189" s="62">
        <f t="shared" si="157"/>
        <v>0.11558852539865201</v>
      </c>
      <c r="AR189" s="59">
        <v>8.9</v>
      </c>
      <c r="AS189" s="63">
        <f>AR189*AQ189</f>
        <v>1.028737876048003</v>
      </c>
      <c r="AU189" s="63">
        <v>67.2</v>
      </c>
      <c r="AV189" s="63">
        <v>47.1</v>
      </c>
      <c r="AW189" s="63">
        <f t="shared" si="166"/>
        <v>20.100000000000001</v>
      </c>
      <c r="AX189" s="63">
        <f t="shared" si="159"/>
        <v>4.8801322551529784</v>
      </c>
      <c r="AY189" s="63">
        <f t="shared" si="160"/>
        <v>42.219867744847022</v>
      </c>
      <c r="AZ189" s="62">
        <f t="shared" si="161"/>
        <v>0.115588525398652</v>
      </c>
      <c r="BA189" s="63">
        <v>33.1</v>
      </c>
      <c r="BB189" s="63">
        <f t="shared" si="175"/>
        <v>3.8259801906953812</v>
      </c>
      <c r="BD189" s="1" t="s">
        <v>60</v>
      </c>
      <c r="BE189" s="1" t="s">
        <v>17</v>
      </c>
    </row>
    <row r="190" spans="1:58" ht="15" customHeight="1" x14ac:dyDescent="0.35">
      <c r="A190" s="59" t="s">
        <v>26</v>
      </c>
      <c r="B190" s="60" t="s">
        <v>63</v>
      </c>
      <c r="C190" s="59" t="s">
        <v>114</v>
      </c>
      <c r="D190" s="61">
        <v>45392</v>
      </c>
      <c r="E190" s="61" t="s">
        <v>17</v>
      </c>
      <c r="F190" s="61">
        <v>45518</v>
      </c>
      <c r="G190" s="59" t="s">
        <v>17</v>
      </c>
      <c r="H190" s="1" t="str">
        <f t="shared" si="143"/>
        <v>C,N,S</v>
      </c>
      <c r="I190" s="59">
        <v>128.69999999999999</v>
      </c>
      <c r="J190" s="59">
        <v>130.50101010101005</v>
      </c>
      <c r="K190" s="59">
        <v>139</v>
      </c>
      <c r="L190" s="59">
        <f t="shared" si="178"/>
        <v>10.300000000000011</v>
      </c>
      <c r="M190" s="59">
        <f t="shared" si="163"/>
        <v>103.1</v>
      </c>
      <c r="O190" s="59">
        <f t="shared" si="144"/>
        <v>26.576139670223085</v>
      </c>
      <c r="P190" s="59">
        <f t="shared" si="145"/>
        <v>2.6550362619136578</v>
      </c>
      <c r="Q190" s="94"/>
      <c r="R190" s="59">
        <f t="shared" si="146"/>
        <v>25.218234723569349</v>
      </c>
      <c r="S190" s="59">
        <f t="shared" si="147"/>
        <v>2.51937747480858</v>
      </c>
      <c r="T190" s="94"/>
      <c r="U190" s="59">
        <f t="shared" si="148"/>
        <v>48.205625606207569</v>
      </c>
      <c r="V190" s="59">
        <f t="shared" si="149"/>
        <v>4.8158869422302475</v>
      </c>
      <c r="W190" s="94"/>
      <c r="X190" s="62">
        <v>32</v>
      </c>
      <c r="Y190" s="62">
        <v>27.4</v>
      </c>
      <c r="Z190" s="62">
        <f t="shared" si="164"/>
        <v>4.6000000000000014</v>
      </c>
      <c r="AA190" s="62">
        <f t="shared" si="150"/>
        <v>2.6550362619136578</v>
      </c>
      <c r="AB190" s="62">
        <f t="shared" si="151"/>
        <v>24.744963738086341</v>
      </c>
      <c r="AC190" s="62">
        <f t="shared" si="152"/>
        <v>0.10729602556770551</v>
      </c>
      <c r="AD190" s="62"/>
      <c r="AE190" s="62"/>
      <c r="AF190" s="62"/>
      <c r="AG190" s="62">
        <v>11.5</v>
      </c>
      <c r="AH190" s="62">
        <f t="shared" si="153"/>
        <v>0.10729602556770551</v>
      </c>
      <c r="AI190" s="62">
        <v>9.1</v>
      </c>
      <c r="AJ190" s="62">
        <f t="shared" si="154"/>
        <v>0.97639383266612012</v>
      </c>
      <c r="AL190" s="59">
        <v>39</v>
      </c>
      <c r="AM190" s="59">
        <v>26</v>
      </c>
      <c r="AN190" s="59">
        <f t="shared" si="165"/>
        <v>13</v>
      </c>
      <c r="AO190" s="63">
        <f t="shared" si="155"/>
        <v>2.51937747480858</v>
      </c>
      <c r="AP190" s="63">
        <f t="shared" si="156"/>
        <v>23.480622525191421</v>
      </c>
      <c r="AQ190" s="62">
        <f t="shared" si="157"/>
        <v>0.10729602556770548</v>
      </c>
      <c r="AR190" s="59">
        <v>15.2</v>
      </c>
      <c r="AS190" s="63">
        <f>AR190*AQ190</f>
        <v>1.6308995886291233</v>
      </c>
      <c r="AU190" s="63">
        <v>68.5</v>
      </c>
      <c r="AV190" s="63">
        <v>49.7</v>
      </c>
      <c r="AW190" s="63">
        <f t="shared" si="166"/>
        <v>18.799999999999997</v>
      </c>
      <c r="AX190" s="63">
        <f t="shared" si="159"/>
        <v>4.8158869422302475</v>
      </c>
      <c r="AY190" s="63">
        <f t="shared" si="160"/>
        <v>44.884113057769753</v>
      </c>
      <c r="AZ190" s="62">
        <f t="shared" si="161"/>
        <v>0.1072960255677055</v>
      </c>
      <c r="BA190" s="63">
        <v>37</v>
      </c>
      <c r="BB190" s="63">
        <f t="shared" si="175"/>
        <v>3.9699529460051033</v>
      </c>
      <c r="BD190" s="1" t="s">
        <v>60</v>
      </c>
      <c r="BE190" s="1" t="s">
        <v>17</v>
      </c>
    </row>
    <row r="191" spans="1:58" ht="15" customHeight="1" x14ac:dyDescent="0.35">
      <c r="A191" s="59" t="s">
        <v>26</v>
      </c>
      <c r="B191" s="60" t="s">
        <v>63</v>
      </c>
      <c r="C191" s="59" t="str">
        <f>A191&amp;"_"&amp;B191&amp;"_G1"</f>
        <v>ACS3_4-24_G1</v>
      </c>
      <c r="D191" s="61">
        <v>45392</v>
      </c>
      <c r="E191" s="61" t="s">
        <v>17</v>
      </c>
      <c r="F191" s="61">
        <v>45518</v>
      </c>
      <c r="G191" s="59" t="s">
        <v>17</v>
      </c>
      <c r="H191" s="1" t="str">
        <f t="shared" si="143"/>
        <v>C,N,S</v>
      </c>
      <c r="I191" s="59">
        <v>127</v>
      </c>
      <c r="J191" s="59">
        <v>130.50101010101005</v>
      </c>
      <c r="K191" s="59">
        <v>135.4</v>
      </c>
      <c r="L191" s="59">
        <f t="shared" si="178"/>
        <v>8.4000000000000057</v>
      </c>
      <c r="M191" s="59">
        <f t="shared" si="163"/>
        <v>100.6</v>
      </c>
      <c r="O191" s="59">
        <f t="shared" si="144"/>
        <v>25.248508946322069</v>
      </c>
      <c r="P191" s="59">
        <f t="shared" si="145"/>
        <v>2.1082253990964763</v>
      </c>
      <c r="Q191" s="94"/>
      <c r="R191" s="59">
        <f t="shared" si="146"/>
        <v>26.640159045725646</v>
      </c>
      <c r="S191" s="59">
        <f t="shared" si="147"/>
        <v>2.2244267990466757</v>
      </c>
      <c r="T191" s="94"/>
      <c r="U191" s="59">
        <f t="shared" si="148"/>
        <v>48.111332007952292</v>
      </c>
      <c r="V191" s="59">
        <f t="shared" si="149"/>
        <v>4.0172483982783254</v>
      </c>
      <c r="W191" s="94"/>
      <c r="X191" s="62">
        <v>33.9</v>
      </c>
      <c r="Y191" s="62">
        <v>25.4</v>
      </c>
      <c r="Z191" s="62">
        <f t="shared" si="164"/>
        <v>8.5</v>
      </c>
      <c r="AA191" s="62">
        <f t="shared" si="150"/>
        <v>2.1082253990964763</v>
      </c>
      <c r="AB191" s="62">
        <f t="shared" si="151"/>
        <v>23.291774600903523</v>
      </c>
      <c r="AC191" s="62">
        <f t="shared" si="152"/>
        <v>9.0513730070816298E-2</v>
      </c>
      <c r="AD191" s="62"/>
      <c r="AE191" s="62"/>
      <c r="AF191" s="62"/>
      <c r="AG191" s="62">
        <v>8.1999999999999993</v>
      </c>
      <c r="AH191" s="62">
        <f t="shared" si="153"/>
        <v>9.0513730070816298E-2</v>
      </c>
      <c r="AI191" s="62">
        <v>7.9</v>
      </c>
      <c r="AJ191" s="62">
        <f t="shared" si="154"/>
        <v>0.7150584675594488</v>
      </c>
      <c r="AL191" s="59">
        <v>30.4</v>
      </c>
      <c r="AM191" s="59">
        <v>26.8</v>
      </c>
      <c r="AN191" s="59">
        <f t="shared" si="165"/>
        <v>3.5999999999999979</v>
      </c>
      <c r="AO191" s="63">
        <f t="shared" si="155"/>
        <v>2.2244267990466757</v>
      </c>
      <c r="AP191" s="63">
        <f t="shared" si="156"/>
        <v>24.575573200953325</v>
      </c>
      <c r="AQ191" s="62">
        <f t="shared" si="157"/>
        <v>9.0513730070816284E-2</v>
      </c>
      <c r="AR191" s="59">
        <v>11.1</v>
      </c>
      <c r="AS191" s="63">
        <f>AR191*AQ191</f>
        <v>1.0047024037860608</v>
      </c>
      <c r="AU191" s="63">
        <v>71.400000000000006</v>
      </c>
      <c r="AV191" s="63">
        <v>48.4</v>
      </c>
      <c r="AW191" s="63">
        <f t="shared" si="166"/>
        <v>23.000000000000007</v>
      </c>
      <c r="AX191" s="63">
        <f t="shared" si="159"/>
        <v>4.0172483982783254</v>
      </c>
      <c r="AY191" s="63">
        <f t="shared" si="160"/>
        <v>44.382751601721672</v>
      </c>
      <c r="AZ191" s="62">
        <f t="shared" si="161"/>
        <v>9.0513730070816298E-2</v>
      </c>
      <c r="BA191" s="63">
        <v>36.200000000000003</v>
      </c>
      <c r="BB191" s="63">
        <f t="shared" si="175"/>
        <v>3.2765970285635504</v>
      </c>
      <c r="BD191" s="1" t="s">
        <v>60</v>
      </c>
      <c r="BE191" s="1" t="s">
        <v>17</v>
      </c>
    </row>
    <row r="192" spans="1:58" ht="15" customHeight="1" x14ac:dyDescent="0.35">
      <c r="A192" s="100" t="s">
        <v>47</v>
      </c>
      <c r="B192" s="101" t="s">
        <v>111</v>
      </c>
      <c r="C192" s="100" t="str">
        <f>A192&amp;"_"&amp;B192&amp;"_G"</f>
        <v>TSM4_11-24_G</v>
      </c>
      <c r="D192" s="102">
        <v>45606</v>
      </c>
      <c r="E192" s="59" t="s">
        <v>60</v>
      </c>
      <c r="F192" s="100"/>
      <c r="G192" s="100"/>
      <c r="H192" s="59" t="str">
        <f t="shared" si="143"/>
        <v/>
      </c>
      <c r="I192" s="100">
        <v>133.5</v>
      </c>
      <c r="J192" s="100"/>
      <c r="K192" s="100">
        <v>137.5</v>
      </c>
      <c r="L192" s="100">
        <f t="shared" si="178"/>
        <v>4</v>
      </c>
      <c r="M192" s="100">
        <f t="shared" si="163"/>
        <v>99.1</v>
      </c>
      <c r="N192" s="95"/>
      <c r="O192" s="100">
        <f t="shared" si="144"/>
        <v>23.713420787083756</v>
      </c>
      <c r="P192" s="100">
        <f t="shared" si="145"/>
        <v>0.95715119221326972</v>
      </c>
      <c r="Q192" s="95"/>
      <c r="R192" s="100">
        <f t="shared" si="146"/>
        <v>27.749747729566099</v>
      </c>
      <c r="S192" s="100">
        <f t="shared" si="147"/>
        <v>1.1200705440793584</v>
      </c>
      <c r="T192" s="95"/>
      <c r="U192" s="100">
        <f t="shared" si="148"/>
        <v>48.536831483350156</v>
      </c>
      <c r="V192" s="100">
        <f t="shared" si="149"/>
        <v>1.9591052061897138</v>
      </c>
      <c r="W192" s="95"/>
      <c r="X192" s="103">
        <v>33.9</v>
      </c>
      <c r="Y192" s="103">
        <v>23.5</v>
      </c>
      <c r="Z192" s="103">
        <f t="shared" si="164"/>
        <v>10.399999999999999</v>
      </c>
      <c r="AA192" s="103">
        <f t="shared" si="150"/>
        <v>0.95715119221326972</v>
      </c>
      <c r="AB192" s="103">
        <f t="shared" si="151"/>
        <v>22.542848807786729</v>
      </c>
      <c r="AC192" s="103">
        <f t="shared" si="152"/>
        <v>4.2459194060807941E-2</v>
      </c>
      <c r="AD192" s="103">
        <v>21.9</v>
      </c>
      <c r="AE192" s="103">
        <f>AD192*AC192</f>
        <v>0.92985634993169386</v>
      </c>
      <c r="AF192" s="103">
        <v>12.4</v>
      </c>
      <c r="AG192" s="103"/>
      <c r="AH192" s="103">
        <f t="shared" si="153"/>
        <v>4.2459194060807941E-2</v>
      </c>
      <c r="AI192" s="103"/>
      <c r="AJ192" s="103">
        <f t="shared" si="154"/>
        <v>0</v>
      </c>
      <c r="AK192" s="95"/>
      <c r="AL192" s="100">
        <v>36.200000000000003</v>
      </c>
      <c r="AM192" s="100">
        <v>27.5</v>
      </c>
      <c r="AN192" s="100">
        <f t="shared" si="165"/>
        <v>8.7000000000000028</v>
      </c>
      <c r="AO192" s="104">
        <f t="shared" si="155"/>
        <v>1.1200705440793584</v>
      </c>
      <c r="AP192" s="104">
        <f t="shared" si="156"/>
        <v>26.379929455920642</v>
      </c>
      <c r="AQ192" s="103">
        <f t="shared" si="157"/>
        <v>4.2459194060807948E-2</v>
      </c>
      <c r="AR192" s="100"/>
      <c r="AS192" s="104">
        <f>AR192*AQ192</f>
        <v>0</v>
      </c>
      <c r="AT192" s="95"/>
      <c r="AU192" s="104">
        <v>67.099999999999994</v>
      </c>
      <c r="AV192" s="104">
        <v>48.1</v>
      </c>
      <c r="AW192" s="104">
        <f t="shared" si="166"/>
        <v>18.999999999999993</v>
      </c>
      <c r="AX192" s="104">
        <f t="shared" si="159"/>
        <v>1.9591052061897138</v>
      </c>
      <c r="AY192" s="104">
        <f t="shared" si="160"/>
        <v>46.14089479381029</v>
      </c>
      <c r="AZ192" s="103">
        <f t="shared" si="161"/>
        <v>4.2459194060807941E-2</v>
      </c>
      <c r="BA192" s="104"/>
      <c r="BB192" s="104">
        <f t="shared" si="175"/>
        <v>0</v>
      </c>
      <c r="BC192" s="95"/>
      <c r="BD192" s="89"/>
      <c r="BE192" s="89" t="s">
        <v>60</v>
      </c>
      <c r="BF192" s="89"/>
    </row>
  </sheetData>
  <autoFilter ref="A1:BF188" xr:uid="{5A4BF88A-7E1C-482E-B889-48BF518675FC}">
    <sortState xmlns:xlrd2="http://schemas.microsoft.com/office/spreadsheetml/2017/richdata2" ref="A2:BF188">
      <sortCondition ref="D1:D188"/>
    </sortState>
  </autoFilter>
  <sortState xmlns:xlrd2="http://schemas.microsoft.com/office/spreadsheetml/2017/richdata2" ref="A1:BF192">
    <sortCondition descending="1" sortBy="cellColor" ref="C1:C192" dxfId="20"/>
    <sortCondition descending="1" sortBy="cellColor" ref="C1:C192" dxfId="19"/>
    <sortCondition descending="1" sortBy="cellColor" ref="C1:C192" dxfId="18"/>
    <sortCondition descending="1" sortBy="cellColor" ref="C1:C192" dxfId="17"/>
  </sortState>
  <phoneticPr fontId="1" type="noConversion"/>
  <conditionalFormatting sqref="E1:E1048576 G1:G1048576">
    <cfRule type="containsText" dxfId="10" priority="3" operator="containsText" text="Y">
      <formula>NOT(ISERROR(SEARCH("Y",E1)))</formula>
    </cfRule>
  </conditionalFormatting>
  <conditionalFormatting sqref="E2:E312">
    <cfRule type="containsText" dxfId="9" priority="2" operator="containsText" text="N">
      <formula>NOT(ISERROR(SEARCH("N",E2)))</formula>
    </cfRule>
  </conditionalFormatting>
  <conditionalFormatting sqref="H1:H1048576">
    <cfRule type="containsText" dxfId="8" priority="59" operator="containsText" text="C,N,S">
      <formula>NOT(ISERROR(SEARCH("C,N,S",H1)))</formula>
    </cfRule>
  </conditionalFormatting>
  <conditionalFormatting sqref="I168">
    <cfRule type="containsText" dxfId="7" priority="1" operator="containsText" text="C,N,S">
      <formula>NOT(ISERROR(SEARCH("C,N,S",I168)))</formula>
    </cfRule>
  </conditionalFormatting>
  <conditionalFormatting sqref="BD1:BE1048576">
    <cfRule type="containsText" dxfId="6" priority="51" operator="containsText" text="Y">
      <formula>NOT(ISERROR(SEARCH("Y",BD1)))</formula>
    </cfRule>
    <cfRule type="containsText" dxfId="5" priority="53" operator="containsText" text="N">
      <formula>NOT(ISERROR(SEARCH("N",BD1)))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63A5-9F71-4855-B110-A2F109B74238}">
  <sheetPr filterMode="1"/>
  <dimension ref="A1:J737"/>
  <sheetViews>
    <sheetView topLeftCell="A475" zoomScaleNormal="100" workbookViewId="0">
      <pane xSplit="1" topLeftCell="B1" activePane="topRight" state="frozen"/>
      <selection pane="topRight" activeCell="C507" sqref="C507"/>
    </sheetView>
  </sheetViews>
  <sheetFormatPr defaultRowHeight="15" customHeight="1" x14ac:dyDescent="0.35"/>
  <cols>
    <col min="1" max="1" width="17.54296875" style="1" customWidth="1"/>
    <col min="2" max="2" width="15.453125" style="2" customWidth="1"/>
    <col min="3" max="4" width="19.7265625" style="1" customWidth="1"/>
    <col min="5" max="5" width="20.7265625" style="1" customWidth="1"/>
    <col min="6" max="7" width="14.7265625" style="1" customWidth="1"/>
    <col min="8" max="8" width="16.453125" style="1" customWidth="1"/>
    <col min="9" max="9" width="14.7265625" customWidth="1"/>
  </cols>
  <sheetData>
    <row r="1" spans="1:9" s="7" customFormat="1" ht="14.5" x14ac:dyDescent="0.35">
      <c r="A1" s="8" t="s">
        <v>0</v>
      </c>
      <c r="B1" s="9" t="s">
        <v>1</v>
      </c>
      <c r="C1" s="8" t="s">
        <v>115</v>
      </c>
      <c r="D1" s="8" t="s">
        <v>116</v>
      </c>
      <c r="E1" s="8" t="s">
        <v>3</v>
      </c>
      <c r="F1" s="8" t="s">
        <v>4</v>
      </c>
      <c r="G1" s="8" t="s">
        <v>117</v>
      </c>
      <c r="H1" s="8" t="s">
        <v>12</v>
      </c>
      <c r="I1" s="7" t="s">
        <v>65</v>
      </c>
    </row>
    <row r="2" spans="1:9" ht="14.5" hidden="1" x14ac:dyDescent="0.35">
      <c r="A2" s="1" t="s">
        <v>14</v>
      </c>
      <c r="B2" s="2" t="s">
        <v>118</v>
      </c>
      <c r="C2" s="1" t="s">
        <v>119</v>
      </c>
      <c r="D2" s="1">
        <v>1</v>
      </c>
      <c r="E2" s="1" t="str">
        <f t="shared" ref="E2:E65" si="0">A2&amp;"_"&amp;B2&amp;"_"&amp;C2&amp;D2</f>
        <v>P37_9_23_UF1</v>
      </c>
      <c r="F2" s="10">
        <v>45184</v>
      </c>
      <c r="G2" s="10">
        <v>45204</v>
      </c>
      <c r="H2" s="10">
        <v>45247</v>
      </c>
    </row>
    <row r="3" spans="1:9" ht="14.5" hidden="1" x14ac:dyDescent="0.35">
      <c r="A3" s="1" t="s">
        <v>14</v>
      </c>
      <c r="B3" s="2" t="s">
        <v>118</v>
      </c>
      <c r="C3" s="1" t="s">
        <v>120</v>
      </c>
      <c r="D3" s="1">
        <v>1</v>
      </c>
      <c r="E3" s="1" t="str">
        <f t="shared" si="0"/>
        <v>P37_9_23_F1</v>
      </c>
      <c r="F3" s="10">
        <v>45184</v>
      </c>
      <c r="G3" s="10">
        <v>45204</v>
      </c>
      <c r="H3" s="10">
        <v>45247</v>
      </c>
    </row>
    <row r="4" spans="1:9" ht="14.5" hidden="1" x14ac:dyDescent="0.35">
      <c r="A4" s="1" t="s">
        <v>19</v>
      </c>
      <c r="B4" s="2" t="s">
        <v>118</v>
      </c>
      <c r="C4" s="1" t="s">
        <v>119</v>
      </c>
      <c r="D4" s="1">
        <v>1</v>
      </c>
      <c r="E4" s="1" t="str">
        <f t="shared" si="0"/>
        <v>NCL_9_23_UF1</v>
      </c>
      <c r="F4" s="10">
        <v>45184</v>
      </c>
      <c r="G4" s="10">
        <v>45204</v>
      </c>
      <c r="H4" s="10">
        <v>45247</v>
      </c>
    </row>
    <row r="5" spans="1:9" ht="14.5" hidden="1" x14ac:dyDescent="0.35">
      <c r="A5" s="1" t="s">
        <v>19</v>
      </c>
      <c r="B5" s="2" t="s">
        <v>118</v>
      </c>
      <c r="C5" s="1" t="s">
        <v>120</v>
      </c>
      <c r="D5" s="1">
        <v>1</v>
      </c>
      <c r="E5" s="1" t="str">
        <f t="shared" si="0"/>
        <v>NCL_9_23_F1</v>
      </c>
      <c r="F5" s="10">
        <v>45184</v>
      </c>
      <c r="G5" s="10">
        <v>45204</v>
      </c>
      <c r="H5" s="10">
        <v>45247</v>
      </c>
    </row>
    <row r="6" spans="1:9" ht="14.5" hidden="1" x14ac:dyDescent="0.35">
      <c r="A6" s="1" t="s">
        <v>20</v>
      </c>
      <c r="B6" s="2" t="s">
        <v>118</v>
      </c>
      <c r="C6" s="1" t="s">
        <v>119</v>
      </c>
      <c r="D6" s="1">
        <v>1</v>
      </c>
      <c r="E6" s="1" t="str">
        <f t="shared" si="0"/>
        <v>CP_9_23_UF1</v>
      </c>
      <c r="F6" s="10">
        <v>45184</v>
      </c>
      <c r="G6" s="10">
        <v>45204</v>
      </c>
      <c r="H6" s="10">
        <v>45247</v>
      </c>
    </row>
    <row r="7" spans="1:9" ht="14.5" hidden="1" x14ac:dyDescent="0.35">
      <c r="A7" s="1" t="s">
        <v>20</v>
      </c>
      <c r="B7" s="2" t="s">
        <v>118</v>
      </c>
      <c r="C7" s="1" t="s">
        <v>120</v>
      </c>
      <c r="D7" s="1">
        <v>1</v>
      </c>
      <c r="E7" s="1" t="str">
        <f t="shared" si="0"/>
        <v>CP_9_23_F1</v>
      </c>
      <c r="F7" s="10">
        <v>45184</v>
      </c>
      <c r="G7" s="10">
        <v>45204</v>
      </c>
      <c r="H7" s="10">
        <v>45247</v>
      </c>
    </row>
    <row r="8" spans="1:9" ht="14.5" hidden="1" x14ac:dyDescent="0.35">
      <c r="A8" s="1" t="s">
        <v>21</v>
      </c>
      <c r="B8" s="2" t="s">
        <v>118</v>
      </c>
      <c r="C8" s="1" t="s">
        <v>119</v>
      </c>
      <c r="D8" s="1">
        <v>1</v>
      </c>
      <c r="E8" s="1" t="str">
        <f t="shared" si="0"/>
        <v>EP146_9_23_UF1</v>
      </c>
      <c r="F8" s="10">
        <v>45184</v>
      </c>
      <c r="G8" s="10">
        <v>45204</v>
      </c>
      <c r="H8" s="10">
        <v>45247</v>
      </c>
    </row>
    <row r="9" spans="1:9" ht="14.5" hidden="1" x14ac:dyDescent="0.35">
      <c r="A9" s="1" t="s">
        <v>21</v>
      </c>
      <c r="B9" s="2" t="s">
        <v>118</v>
      </c>
      <c r="C9" s="1" t="s">
        <v>120</v>
      </c>
      <c r="D9" s="1">
        <v>1</v>
      </c>
      <c r="E9" s="1" t="str">
        <f t="shared" si="0"/>
        <v>EP146_9_23_F1</v>
      </c>
      <c r="F9" s="10">
        <v>45184</v>
      </c>
      <c r="G9" s="10">
        <v>45204</v>
      </c>
      <c r="H9" s="10">
        <v>45247</v>
      </c>
    </row>
    <row r="10" spans="1:9" ht="14.5" hidden="1" x14ac:dyDescent="0.35">
      <c r="A10" s="1" t="s">
        <v>22</v>
      </c>
      <c r="B10" s="2" t="s">
        <v>118</v>
      </c>
      <c r="C10" s="1" t="s">
        <v>119</v>
      </c>
      <c r="D10" s="1">
        <v>1</v>
      </c>
      <c r="E10" s="1" t="str">
        <f t="shared" si="0"/>
        <v>OL_9_23_UF1</v>
      </c>
      <c r="F10" s="10">
        <v>45184</v>
      </c>
      <c r="G10" s="10">
        <v>45204</v>
      </c>
      <c r="H10" s="10">
        <v>45247</v>
      </c>
    </row>
    <row r="11" spans="1:9" ht="14.5" hidden="1" x14ac:dyDescent="0.35">
      <c r="A11" s="1" t="s">
        <v>22</v>
      </c>
      <c r="B11" s="2" t="s">
        <v>118</v>
      </c>
      <c r="C11" s="1" t="s">
        <v>120</v>
      </c>
      <c r="D11" s="1">
        <v>1</v>
      </c>
      <c r="E11" s="1" t="str">
        <f t="shared" si="0"/>
        <v>OL_9_23_F1</v>
      </c>
      <c r="F11" s="10">
        <v>45184</v>
      </c>
      <c r="G11" s="10">
        <v>45204</v>
      </c>
      <c r="H11" s="10">
        <v>45247</v>
      </c>
    </row>
    <row r="12" spans="1:9" ht="14.5" hidden="1" x14ac:dyDescent="0.35">
      <c r="A12" s="1" t="s">
        <v>58</v>
      </c>
      <c r="B12" s="2" t="s">
        <v>118</v>
      </c>
      <c r="C12" s="1" t="s">
        <v>119</v>
      </c>
      <c r="D12" s="1">
        <v>1</v>
      </c>
      <c r="E12" s="1" t="str">
        <f t="shared" si="0"/>
        <v>TSH_9_23_UF1</v>
      </c>
      <c r="F12" s="10">
        <v>45184</v>
      </c>
      <c r="G12" s="10">
        <v>45204</v>
      </c>
      <c r="H12" s="10">
        <v>45247</v>
      </c>
    </row>
    <row r="13" spans="1:9" ht="14.5" hidden="1" x14ac:dyDescent="0.35">
      <c r="A13" s="1" t="s">
        <v>58</v>
      </c>
      <c r="B13" s="2" t="s">
        <v>118</v>
      </c>
      <c r="C13" s="1" t="s">
        <v>120</v>
      </c>
      <c r="D13" s="1">
        <v>1</v>
      </c>
      <c r="E13" s="1" t="str">
        <f t="shared" si="0"/>
        <v>TSH_9_23_F1</v>
      </c>
      <c r="F13" s="10">
        <v>45184</v>
      </c>
      <c r="G13" s="10">
        <v>45204</v>
      </c>
      <c r="H13" s="10">
        <v>45247</v>
      </c>
    </row>
    <row r="14" spans="1:9" ht="14.5" hidden="1" x14ac:dyDescent="0.35">
      <c r="A14" s="1" t="s">
        <v>23</v>
      </c>
      <c r="B14" s="2" t="s">
        <v>118</v>
      </c>
      <c r="C14" s="1" t="s">
        <v>119</v>
      </c>
      <c r="D14" s="1">
        <v>1</v>
      </c>
      <c r="E14" s="1" t="str">
        <f t="shared" si="0"/>
        <v>R127_9_23_UF1</v>
      </c>
      <c r="F14" s="10">
        <v>45184</v>
      </c>
      <c r="G14" s="10">
        <v>45204</v>
      </c>
      <c r="H14" s="10">
        <v>45247</v>
      </c>
    </row>
    <row r="15" spans="1:9" ht="14.5" hidden="1" x14ac:dyDescent="0.35">
      <c r="A15" s="1" t="s">
        <v>23</v>
      </c>
      <c r="B15" s="2" t="s">
        <v>118</v>
      </c>
      <c r="C15" s="1" t="s">
        <v>120</v>
      </c>
      <c r="D15" s="1">
        <v>1</v>
      </c>
      <c r="E15" s="1" t="str">
        <f t="shared" si="0"/>
        <v>R127_9_23_F1</v>
      </c>
      <c r="F15" s="10">
        <v>45184</v>
      </c>
      <c r="G15" s="10">
        <v>45204</v>
      </c>
      <c r="H15" s="10">
        <v>45247</v>
      </c>
    </row>
    <row r="16" spans="1:9" ht="14.5" hidden="1" x14ac:dyDescent="0.35">
      <c r="A16" s="1" t="s">
        <v>14</v>
      </c>
      <c r="B16" s="2" t="s">
        <v>118</v>
      </c>
      <c r="C16" s="1" t="s">
        <v>119</v>
      </c>
      <c r="D16" s="1">
        <v>2</v>
      </c>
      <c r="E16" s="1" t="str">
        <f t="shared" si="0"/>
        <v>P37_9_23_UF2</v>
      </c>
      <c r="F16" s="10">
        <v>45184</v>
      </c>
    </row>
    <row r="17" spans="1:8" ht="14.5" hidden="1" x14ac:dyDescent="0.35">
      <c r="A17" s="1" t="s">
        <v>14</v>
      </c>
      <c r="B17" s="2" t="s">
        <v>118</v>
      </c>
      <c r="C17" s="1" t="s">
        <v>120</v>
      </c>
      <c r="D17" s="1">
        <v>2</v>
      </c>
      <c r="E17" s="1" t="str">
        <f t="shared" si="0"/>
        <v>P37_9_23_F2</v>
      </c>
      <c r="F17" s="10">
        <v>45184</v>
      </c>
    </row>
    <row r="18" spans="1:8" ht="14.5" hidden="1" x14ac:dyDescent="0.35">
      <c r="A18" s="1" t="s">
        <v>19</v>
      </c>
      <c r="B18" s="2" t="s">
        <v>118</v>
      </c>
      <c r="C18" s="1" t="s">
        <v>119</v>
      </c>
      <c r="D18" s="1">
        <v>2</v>
      </c>
      <c r="E18" s="1" t="str">
        <f t="shared" si="0"/>
        <v>NCL_9_23_UF2</v>
      </c>
      <c r="F18" s="10">
        <v>45184</v>
      </c>
    </row>
    <row r="19" spans="1:8" ht="14.5" hidden="1" x14ac:dyDescent="0.35">
      <c r="A19" s="1" t="s">
        <v>19</v>
      </c>
      <c r="B19" s="2" t="s">
        <v>118</v>
      </c>
      <c r="C19" s="1" t="s">
        <v>120</v>
      </c>
      <c r="D19" s="1">
        <v>2</v>
      </c>
      <c r="E19" s="1" t="str">
        <f t="shared" si="0"/>
        <v>NCL_9_23_F2</v>
      </c>
      <c r="F19" s="10">
        <v>45184</v>
      </c>
    </row>
    <row r="20" spans="1:8" ht="14.5" hidden="1" x14ac:dyDescent="0.35">
      <c r="A20" s="1" t="s">
        <v>20</v>
      </c>
      <c r="B20" s="2" t="s">
        <v>118</v>
      </c>
      <c r="C20" s="1" t="s">
        <v>119</v>
      </c>
      <c r="D20" s="1">
        <v>2</v>
      </c>
      <c r="E20" s="1" t="str">
        <f t="shared" si="0"/>
        <v>CP_9_23_UF2</v>
      </c>
      <c r="F20" s="10">
        <v>45184</v>
      </c>
    </row>
    <row r="21" spans="1:8" ht="14.5" hidden="1" x14ac:dyDescent="0.35">
      <c r="A21" s="1" t="s">
        <v>20</v>
      </c>
      <c r="B21" s="2" t="s">
        <v>118</v>
      </c>
      <c r="C21" s="1" t="s">
        <v>120</v>
      </c>
      <c r="D21" s="1">
        <v>2</v>
      </c>
      <c r="E21" s="1" t="str">
        <f t="shared" si="0"/>
        <v>CP_9_23_F2</v>
      </c>
      <c r="F21" s="10">
        <v>45184</v>
      </c>
    </row>
    <row r="22" spans="1:8" ht="14.5" hidden="1" x14ac:dyDescent="0.35">
      <c r="A22" s="1" t="s">
        <v>21</v>
      </c>
      <c r="B22" s="2" t="s">
        <v>118</v>
      </c>
      <c r="C22" s="1" t="s">
        <v>119</v>
      </c>
      <c r="D22" s="1">
        <v>2</v>
      </c>
      <c r="E22" s="1" t="str">
        <f t="shared" si="0"/>
        <v>EP146_9_23_UF2</v>
      </c>
      <c r="F22" s="10">
        <v>45184</v>
      </c>
    </row>
    <row r="23" spans="1:8" ht="14.5" hidden="1" x14ac:dyDescent="0.35">
      <c r="A23" s="1" t="s">
        <v>21</v>
      </c>
      <c r="B23" s="2" t="s">
        <v>118</v>
      </c>
      <c r="C23" s="1" t="s">
        <v>120</v>
      </c>
      <c r="D23" s="1">
        <v>2</v>
      </c>
      <c r="E23" s="1" t="str">
        <f t="shared" si="0"/>
        <v>EP146_9_23_F2</v>
      </c>
      <c r="F23" s="10">
        <v>45184</v>
      </c>
    </row>
    <row r="24" spans="1:8" ht="14.5" hidden="1" x14ac:dyDescent="0.35">
      <c r="A24" s="1" t="s">
        <v>22</v>
      </c>
      <c r="B24" s="2" t="s">
        <v>118</v>
      </c>
      <c r="C24" s="1" t="s">
        <v>119</v>
      </c>
      <c r="D24" s="1">
        <v>2</v>
      </c>
      <c r="E24" s="1" t="str">
        <f t="shared" si="0"/>
        <v>OL_9_23_UF2</v>
      </c>
      <c r="F24" s="10">
        <v>45184</v>
      </c>
    </row>
    <row r="25" spans="1:8" ht="14.5" hidden="1" x14ac:dyDescent="0.35">
      <c r="A25" s="1" t="s">
        <v>22</v>
      </c>
      <c r="B25" s="2" t="s">
        <v>118</v>
      </c>
      <c r="C25" s="1" t="s">
        <v>120</v>
      </c>
      <c r="D25" s="1">
        <v>2</v>
      </c>
      <c r="E25" s="1" t="str">
        <f t="shared" si="0"/>
        <v>OL_9_23_F2</v>
      </c>
      <c r="F25" s="10">
        <v>45184</v>
      </c>
    </row>
    <row r="26" spans="1:8" ht="14.5" hidden="1" x14ac:dyDescent="0.35">
      <c r="A26" s="1" t="s">
        <v>58</v>
      </c>
      <c r="B26" s="2" t="s">
        <v>118</v>
      </c>
      <c r="C26" s="1" t="s">
        <v>119</v>
      </c>
      <c r="D26" s="1">
        <v>2</v>
      </c>
      <c r="E26" s="1" t="str">
        <f t="shared" si="0"/>
        <v>TSH_9_23_UF2</v>
      </c>
      <c r="F26" s="10">
        <v>45184</v>
      </c>
    </row>
    <row r="27" spans="1:8" ht="14.5" hidden="1" x14ac:dyDescent="0.35">
      <c r="A27" s="1" t="s">
        <v>58</v>
      </c>
      <c r="B27" s="2" t="s">
        <v>118</v>
      </c>
      <c r="C27" s="1" t="s">
        <v>120</v>
      </c>
      <c r="D27" s="1">
        <v>2</v>
      </c>
      <c r="E27" s="1" t="str">
        <f t="shared" si="0"/>
        <v>TSH_9_23_F2</v>
      </c>
      <c r="F27" s="10">
        <v>45184</v>
      </c>
    </row>
    <row r="28" spans="1:8" ht="14.5" hidden="1" x14ac:dyDescent="0.35">
      <c r="A28" s="1" t="s">
        <v>23</v>
      </c>
      <c r="B28" s="2" t="s">
        <v>118</v>
      </c>
      <c r="C28" s="1" t="s">
        <v>119</v>
      </c>
      <c r="D28" s="1">
        <v>2</v>
      </c>
      <c r="E28" s="1" t="str">
        <f t="shared" si="0"/>
        <v>R127_9_23_UF2</v>
      </c>
      <c r="F28" s="10">
        <v>45184</v>
      </c>
    </row>
    <row r="29" spans="1:8" ht="14.5" hidden="1" x14ac:dyDescent="0.35">
      <c r="A29" s="1" t="s">
        <v>23</v>
      </c>
      <c r="B29" s="2" t="s">
        <v>118</v>
      </c>
      <c r="C29" s="1" t="s">
        <v>120</v>
      </c>
      <c r="D29" s="1">
        <v>2</v>
      </c>
      <c r="E29" s="1" t="str">
        <f t="shared" si="0"/>
        <v>R127_9_23_F2</v>
      </c>
      <c r="F29" s="10">
        <v>45184</v>
      </c>
    </row>
    <row r="30" spans="1:8" ht="14.5" hidden="1" x14ac:dyDescent="0.35">
      <c r="A30" s="1" t="s">
        <v>24</v>
      </c>
      <c r="B30" s="2" t="s">
        <v>15</v>
      </c>
      <c r="C30" s="1" t="s">
        <v>119</v>
      </c>
      <c r="D30" s="1">
        <v>1</v>
      </c>
      <c r="E30" s="1" t="str">
        <f t="shared" si="0"/>
        <v>ACS1_9-23_UF1</v>
      </c>
      <c r="F30" s="10">
        <v>45195</v>
      </c>
      <c r="G30" s="10">
        <v>45204</v>
      </c>
      <c r="H30" s="10">
        <v>45247</v>
      </c>
    </row>
    <row r="31" spans="1:8" ht="14.5" hidden="1" x14ac:dyDescent="0.35">
      <c r="A31" s="1" t="s">
        <v>25</v>
      </c>
      <c r="B31" s="2" t="s">
        <v>15</v>
      </c>
      <c r="C31" s="1" t="s">
        <v>119</v>
      </c>
      <c r="D31" s="1">
        <v>1</v>
      </c>
      <c r="E31" s="1" t="str">
        <f t="shared" si="0"/>
        <v>ACS2_9-23_UF1</v>
      </c>
      <c r="F31" s="10">
        <v>45195</v>
      </c>
      <c r="G31" s="10">
        <v>45204</v>
      </c>
      <c r="H31" s="10">
        <v>45247</v>
      </c>
    </row>
    <row r="32" spans="1:8" ht="14.5" hidden="1" x14ac:dyDescent="0.35">
      <c r="A32" s="1" t="s">
        <v>26</v>
      </c>
      <c r="B32" s="2" t="s">
        <v>15</v>
      </c>
      <c r="C32" s="1" t="s">
        <v>119</v>
      </c>
      <c r="D32" s="1">
        <v>1</v>
      </c>
      <c r="E32" s="1" t="str">
        <f t="shared" si="0"/>
        <v>ACS3_9-23_UF1</v>
      </c>
      <c r="F32" s="10">
        <v>45195</v>
      </c>
      <c r="G32" s="10">
        <v>45204</v>
      </c>
      <c r="H32" s="10">
        <v>45247</v>
      </c>
    </row>
    <row r="33" spans="1:8" ht="14.5" hidden="1" x14ac:dyDescent="0.35">
      <c r="A33" s="1" t="s">
        <v>27</v>
      </c>
      <c r="B33" s="2" t="s">
        <v>15</v>
      </c>
      <c r="C33" s="1" t="s">
        <v>119</v>
      </c>
      <c r="D33" s="1">
        <v>1</v>
      </c>
      <c r="E33" s="1" t="str">
        <f t="shared" si="0"/>
        <v>ACS4_9-23_UF1</v>
      </c>
      <c r="F33" s="10">
        <v>45195</v>
      </c>
      <c r="G33" s="10">
        <v>45204</v>
      </c>
      <c r="H33" s="10">
        <v>45247</v>
      </c>
    </row>
    <row r="34" spans="1:8" ht="14.5" hidden="1" x14ac:dyDescent="0.35">
      <c r="A34" s="1" t="s">
        <v>28</v>
      </c>
      <c r="B34" s="2" t="s">
        <v>15</v>
      </c>
      <c r="C34" s="1" t="s">
        <v>119</v>
      </c>
      <c r="D34" s="1">
        <v>1</v>
      </c>
      <c r="E34" s="1" t="str">
        <f t="shared" si="0"/>
        <v>ACS5_9-23_UF1</v>
      </c>
      <c r="F34" s="10">
        <v>45195</v>
      </c>
      <c r="G34" s="10">
        <v>45204</v>
      </c>
      <c r="H34" s="10">
        <v>45247</v>
      </c>
    </row>
    <row r="35" spans="1:8" ht="14.5" hidden="1" x14ac:dyDescent="0.35">
      <c r="A35" s="1" t="s">
        <v>29</v>
      </c>
      <c r="B35" s="2" t="s">
        <v>15</v>
      </c>
      <c r="C35" s="1" t="s">
        <v>119</v>
      </c>
      <c r="D35" s="1">
        <v>1</v>
      </c>
      <c r="E35" s="1" t="str">
        <f t="shared" si="0"/>
        <v>GBHM_9-23_UF1</v>
      </c>
      <c r="F35" s="10">
        <v>45195</v>
      </c>
      <c r="G35" s="10">
        <v>45204</v>
      </c>
      <c r="H35" s="10">
        <v>45247</v>
      </c>
    </row>
    <row r="36" spans="1:8" ht="14.5" hidden="1" x14ac:dyDescent="0.35">
      <c r="A36" s="1" t="s">
        <v>30</v>
      </c>
      <c r="B36" s="2" t="s">
        <v>15</v>
      </c>
      <c r="C36" s="1" t="s">
        <v>119</v>
      </c>
      <c r="D36" s="1">
        <v>1</v>
      </c>
      <c r="E36" s="1" t="str">
        <f t="shared" si="0"/>
        <v>DC1_9-23_UF1</v>
      </c>
      <c r="F36" s="10">
        <v>45195</v>
      </c>
      <c r="G36" s="10">
        <v>45204</v>
      </c>
      <c r="H36" s="10">
        <v>45247</v>
      </c>
    </row>
    <row r="37" spans="1:8" ht="14.5" hidden="1" x14ac:dyDescent="0.35">
      <c r="A37" s="1" t="s">
        <v>31</v>
      </c>
      <c r="B37" s="2" t="s">
        <v>15</v>
      </c>
      <c r="C37" s="1" t="s">
        <v>119</v>
      </c>
      <c r="D37" s="1">
        <v>1</v>
      </c>
      <c r="E37" s="1" t="str">
        <f t="shared" si="0"/>
        <v>DCM1_9-23_UF1</v>
      </c>
      <c r="F37" s="10">
        <v>45195</v>
      </c>
      <c r="G37" s="10">
        <v>45204</v>
      </c>
      <c r="H37" s="10">
        <v>45247</v>
      </c>
    </row>
    <row r="38" spans="1:8" ht="14.5" hidden="1" x14ac:dyDescent="0.35">
      <c r="A38" s="1" t="s">
        <v>32</v>
      </c>
      <c r="B38" s="2" t="s">
        <v>15</v>
      </c>
      <c r="C38" s="1" t="s">
        <v>119</v>
      </c>
      <c r="D38" s="1">
        <v>1</v>
      </c>
      <c r="E38" s="1" t="str">
        <f t="shared" si="0"/>
        <v>DC2_9-23_UF1</v>
      </c>
      <c r="F38" s="10">
        <v>45195</v>
      </c>
      <c r="G38" s="10">
        <v>45204</v>
      </c>
      <c r="H38" s="10">
        <v>45247</v>
      </c>
    </row>
    <row r="39" spans="1:8" ht="14.5" hidden="1" x14ac:dyDescent="0.35">
      <c r="A39" s="1" t="s">
        <v>33</v>
      </c>
      <c r="B39" s="2" t="s">
        <v>15</v>
      </c>
      <c r="C39" s="1" t="s">
        <v>119</v>
      </c>
      <c r="D39" s="1">
        <v>1</v>
      </c>
      <c r="E39" s="1" t="str">
        <f t="shared" si="0"/>
        <v>DCM2_9-23_UF1</v>
      </c>
      <c r="F39" s="10">
        <v>45195</v>
      </c>
      <c r="G39" s="10">
        <v>45204</v>
      </c>
      <c r="H39" s="10">
        <v>45247</v>
      </c>
    </row>
    <row r="40" spans="1:8" ht="14.5" hidden="1" x14ac:dyDescent="0.35">
      <c r="A40" s="1" t="s">
        <v>34</v>
      </c>
      <c r="B40" s="2" t="s">
        <v>15</v>
      </c>
      <c r="C40" s="1" t="s">
        <v>119</v>
      </c>
      <c r="D40" s="1">
        <v>1</v>
      </c>
      <c r="E40" s="1" t="str">
        <f t="shared" si="0"/>
        <v>GB1_9-23_UF1</v>
      </c>
      <c r="F40" s="10">
        <v>45195</v>
      </c>
      <c r="G40" s="10">
        <v>45204</v>
      </c>
      <c r="H40" s="10">
        <v>45247</v>
      </c>
    </row>
    <row r="41" spans="1:8" ht="14.5" hidden="1" x14ac:dyDescent="0.35">
      <c r="A41" s="1" t="s">
        <v>24</v>
      </c>
      <c r="B41" s="2" t="s">
        <v>15</v>
      </c>
      <c r="C41" s="1" t="s">
        <v>120</v>
      </c>
      <c r="D41" s="1">
        <v>1</v>
      </c>
      <c r="E41" s="1" t="str">
        <f t="shared" si="0"/>
        <v>ACS1_9-23_F1</v>
      </c>
      <c r="F41" s="10">
        <v>45195</v>
      </c>
      <c r="G41" s="10">
        <v>45204</v>
      </c>
      <c r="H41" s="10">
        <v>45247</v>
      </c>
    </row>
    <row r="42" spans="1:8" ht="14.5" hidden="1" x14ac:dyDescent="0.35">
      <c r="A42" s="1" t="s">
        <v>25</v>
      </c>
      <c r="B42" s="2" t="s">
        <v>15</v>
      </c>
      <c r="C42" s="1" t="s">
        <v>120</v>
      </c>
      <c r="D42" s="1">
        <v>1</v>
      </c>
      <c r="E42" s="1" t="str">
        <f t="shared" si="0"/>
        <v>ACS2_9-23_F1</v>
      </c>
      <c r="F42" s="10">
        <v>45195</v>
      </c>
      <c r="G42" s="10">
        <v>45204</v>
      </c>
      <c r="H42" s="10">
        <v>45247</v>
      </c>
    </row>
    <row r="43" spans="1:8" ht="14.5" hidden="1" x14ac:dyDescent="0.35">
      <c r="A43" s="1" t="s">
        <v>26</v>
      </c>
      <c r="B43" s="2" t="s">
        <v>15</v>
      </c>
      <c r="C43" s="1" t="s">
        <v>120</v>
      </c>
      <c r="D43" s="1">
        <v>1</v>
      </c>
      <c r="E43" s="1" t="str">
        <f t="shared" si="0"/>
        <v>ACS3_9-23_F1</v>
      </c>
      <c r="F43" s="10">
        <v>45195</v>
      </c>
      <c r="G43" s="10">
        <v>45204</v>
      </c>
      <c r="H43" s="10">
        <v>45247</v>
      </c>
    </row>
    <row r="44" spans="1:8" ht="14.5" hidden="1" x14ac:dyDescent="0.35">
      <c r="A44" s="1" t="s">
        <v>27</v>
      </c>
      <c r="B44" s="2" t="s">
        <v>15</v>
      </c>
      <c r="C44" s="1" t="s">
        <v>120</v>
      </c>
      <c r="D44" s="1">
        <v>1</v>
      </c>
      <c r="E44" s="1" t="str">
        <f t="shared" si="0"/>
        <v>ACS4_9-23_F1</v>
      </c>
      <c r="F44" s="10">
        <v>45195</v>
      </c>
      <c r="G44" s="10">
        <v>45204</v>
      </c>
      <c r="H44" s="10">
        <v>45247</v>
      </c>
    </row>
    <row r="45" spans="1:8" ht="14.5" hidden="1" x14ac:dyDescent="0.35">
      <c r="A45" s="1" t="s">
        <v>28</v>
      </c>
      <c r="B45" s="2" t="s">
        <v>15</v>
      </c>
      <c r="C45" s="1" t="s">
        <v>120</v>
      </c>
      <c r="D45" s="1">
        <v>1</v>
      </c>
      <c r="E45" s="1" t="str">
        <f t="shared" si="0"/>
        <v>ACS5_9-23_F1</v>
      </c>
      <c r="F45" s="10">
        <v>45195</v>
      </c>
      <c r="G45" s="10">
        <v>45204</v>
      </c>
      <c r="H45" s="10">
        <v>45247</v>
      </c>
    </row>
    <row r="46" spans="1:8" ht="14.5" hidden="1" x14ac:dyDescent="0.35">
      <c r="A46" s="1" t="s">
        <v>29</v>
      </c>
      <c r="B46" s="2" t="s">
        <v>15</v>
      </c>
      <c r="C46" s="1" t="s">
        <v>120</v>
      </c>
      <c r="D46" s="1">
        <v>1</v>
      </c>
      <c r="E46" s="1" t="str">
        <f t="shared" si="0"/>
        <v>GBHM_9-23_F1</v>
      </c>
      <c r="F46" s="10">
        <v>45195</v>
      </c>
      <c r="G46" s="10">
        <v>45204</v>
      </c>
      <c r="H46" s="10">
        <v>45247</v>
      </c>
    </row>
    <row r="47" spans="1:8" ht="14.5" hidden="1" x14ac:dyDescent="0.35">
      <c r="A47" s="1" t="s">
        <v>30</v>
      </c>
      <c r="B47" s="2" t="s">
        <v>15</v>
      </c>
      <c r="C47" s="1" t="s">
        <v>120</v>
      </c>
      <c r="D47" s="1">
        <v>1</v>
      </c>
      <c r="E47" s="1" t="str">
        <f t="shared" si="0"/>
        <v>DC1_9-23_F1</v>
      </c>
      <c r="F47" s="10">
        <v>45195</v>
      </c>
      <c r="G47" s="10">
        <v>45204</v>
      </c>
      <c r="H47" s="10">
        <v>45247</v>
      </c>
    </row>
    <row r="48" spans="1:8" ht="14.5" hidden="1" x14ac:dyDescent="0.35">
      <c r="A48" s="1" t="s">
        <v>31</v>
      </c>
      <c r="B48" s="2" t="s">
        <v>15</v>
      </c>
      <c r="C48" s="1" t="s">
        <v>120</v>
      </c>
      <c r="D48" s="1">
        <v>1</v>
      </c>
      <c r="E48" s="1" t="str">
        <f t="shared" si="0"/>
        <v>DCM1_9-23_F1</v>
      </c>
      <c r="F48" s="10">
        <v>45195</v>
      </c>
      <c r="G48" s="10">
        <v>45204</v>
      </c>
      <c r="H48" s="10">
        <v>45247</v>
      </c>
    </row>
    <row r="49" spans="1:8" ht="14.5" hidden="1" x14ac:dyDescent="0.35">
      <c r="A49" s="1" t="s">
        <v>32</v>
      </c>
      <c r="B49" s="2" t="s">
        <v>15</v>
      </c>
      <c r="C49" s="1" t="s">
        <v>120</v>
      </c>
      <c r="D49" s="1">
        <v>1</v>
      </c>
      <c r="E49" s="1" t="str">
        <f t="shared" si="0"/>
        <v>DC2_9-23_F1</v>
      </c>
      <c r="F49" s="10">
        <v>45195</v>
      </c>
      <c r="G49" s="10">
        <v>45204</v>
      </c>
      <c r="H49" s="10">
        <v>45247</v>
      </c>
    </row>
    <row r="50" spans="1:8" ht="14.5" hidden="1" x14ac:dyDescent="0.35">
      <c r="A50" s="1" t="s">
        <v>33</v>
      </c>
      <c r="B50" s="2" t="s">
        <v>15</v>
      </c>
      <c r="C50" s="1" t="s">
        <v>120</v>
      </c>
      <c r="D50" s="1">
        <v>1</v>
      </c>
      <c r="E50" s="1" t="str">
        <f t="shared" si="0"/>
        <v>DCM2_9-23_F1</v>
      </c>
      <c r="F50" s="10">
        <v>45195</v>
      </c>
      <c r="G50" s="10">
        <v>45204</v>
      </c>
      <c r="H50" s="10">
        <v>45247</v>
      </c>
    </row>
    <row r="51" spans="1:8" ht="14.5" hidden="1" x14ac:dyDescent="0.35">
      <c r="A51" s="1" t="s">
        <v>34</v>
      </c>
      <c r="B51" s="2" t="s">
        <v>15</v>
      </c>
      <c r="C51" s="1" t="s">
        <v>120</v>
      </c>
      <c r="D51" s="1">
        <v>1</v>
      </c>
      <c r="E51" s="1" t="str">
        <f t="shared" si="0"/>
        <v>GB1_9-23_F1</v>
      </c>
      <c r="F51" s="10">
        <v>45195</v>
      </c>
      <c r="G51" s="10">
        <v>45204</v>
      </c>
      <c r="H51" s="10">
        <v>45247</v>
      </c>
    </row>
    <row r="52" spans="1:8" ht="14.5" hidden="1" x14ac:dyDescent="0.35">
      <c r="A52" s="1" t="s">
        <v>24</v>
      </c>
      <c r="B52" s="2" t="s">
        <v>15</v>
      </c>
      <c r="C52" s="1" t="s">
        <v>119</v>
      </c>
      <c r="D52" s="1">
        <v>2</v>
      </c>
      <c r="E52" s="1" t="str">
        <f t="shared" si="0"/>
        <v>ACS1_9-23_UF2</v>
      </c>
      <c r="F52" s="10">
        <v>45195</v>
      </c>
    </row>
    <row r="53" spans="1:8" ht="14.5" hidden="1" x14ac:dyDescent="0.35">
      <c r="A53" s="1" t="s">
        <v>25</v>
      </c>
      <c r="B53" s="2" t="s">
        <v>15</v>
      </c>
      <c r="C53" s="1" t="s">
        <v>119</v>
      </c>
      <c r="D53" s="1">
        <v>2</v>
      </c>
      <c r="E53" s="1" t="str">
        <f t="shared" si="0"/>
        <v>ACS2_9-23_UF2</v>
      </c>
      <c r="F53" s="10">
        <v>45195</v>
      </c>
    </row>
    <row r="54" spans="1:8" ht="14.5" hidden="1" x14ac:dyDescent="0.35">
      <c r="A54" s="1" t="s">
        <v>26</v>
      </c>
      <c r="B54" s="2" t="s">
        <v>15</v>
      </c>
      <c r="C54" s="1" t="s">
        <v>119</v>
      </c>
      <c r="D54" s="1">
        <v>2</v>
      </c>
      <c r="E54" s="1" t="str">
        <f t="shared" si="0"/>
        <v>ACS3_9-23_UF2</v>
      </c>
      <c r="F54" s="10">
        <v>45195</v>
      </c>
    </row>
    <row r="55" spans="1:8" ht="14.5" hidden="1" x14ac:dyDescent="0.35">
      <c r="A55" s="1" t="s">
        <v>27</v>
      </c>
      <c r="B55" s="2" t="s">
        <v>15</v>
      </c>
      <c r="C55" s="1" t="s">
        <v>119</v>
      </c>
      <c r="D55" s="1">
        <v>2</v>
      </c>
      <c r="E55" s="1" t="str">
        <f t="shared" si="0"/>
        <v>ACS4_9-23_UF2</v>
      </c>
      <c r="F55" s="10">
        <v>45195</v>
      </c>
    </row>
    <row r="56" spans="1:8" ht="14.5" hidden="1" x14ac:dyDescent="0.35">
      <c r="A56" s="1" t="s">
        <v>28</v>
      </c>
      <c r="B56" s="2" t="s">
        <v>15</v>
      </c>
      <c r="C56" s="1" t="s">
        <v>119</v>
      </c>
      <c r="D56" s="1">
        <v>2</v>
      </c>
      <c r="E56" s="1" t="str">
        <f t="shared" si="0"/>
        <v>ACS5_9-23_UF2</v>
      </c>
      <c r="F56" s="10">
        <v>45195</v>
      </c>
    </row>
    <row r="57" spans="1:8" ht="14.5" hidden="1" x14ac:dyDescent="0.35">
      <c r="A57" s="1" t="s">
        <v>29</v>
      </c>
      <c r="B57" s="2" t="s">
        <v>15</v>
      </c>
      <c r="C57" s="1" t="s">
        <v>119</v>
      </c>
      <c r="D57" s="1">
        <v>2</v>
      </c>
      <c r="E57" s="1" t="str">
        <f t="shared" si="0"/>
        <v>GBHM_9-23_UF2</v>
      </c>
      <c r="F57" s="10">
        <v>45195</v>
      </c>
    </row>
    <row r="58" spans="1:8" ht="14.5" hidden="1" x14ac:dyDescent="0.35">
      <c r="A58" s="1" t="s">
        <v>30</v>
      </c>
      <c r="B58" s="2" t="s">
        <v>15</v>
      </c>
      <c r="C58" s="1" t="s">
        <v>119</v>
      </c>
      <c r="D58" s="1">
        <v>2</v>
      </c>
      <c r="E58" s="1" t="str">
        <f t="shared" si="0"/>
        <v>DC1_9-23_UF2</v>
      </c>
      <c r="F58" s="10">
        <v>45195</v>
      </c>
    </row>
    <row r="59" spans="1:8" ht="14.5" hidden="1" x14ac:dyDescent="0.35">
      <c r="A59" s="1" t="s">
        <v>31</v>
      </c>
      <c r="B59" s="2" t="s">
        <v>15</v>
      </c>
      <c r="C59" s="1" t="s">
        <v>119</v>
      </c>
      <c r="D59" s="1">
        <v>2</v>
      </c>
      <c r="E59" s="1" t="str">
        <f t="shared" si="0"/>
        <v>DCM1_9-23_UF2</v>
      </c>
      <c r="F59" s="10">
        <v>45195</v>
      </c>
    </row>
    <row r="60" spans="1:8" ht="14.5" hidden="1" x14ac:dyDescent="0.35">
      <c r="A60" s="1" t="s">
        <v>32</v>
      </c>
      <c r="B60" s="2" t="s">
        <v>15</v>
      </c>
      <c r="C60" s="1" t="s">
        <v>119</v>
      </c>
      <c r="D60" s="1">
        <v>2</v>
      </c>
      <c r="E60" s="1" t="str">
        <f t="shared" si="0"/>
        <v>DC2_9-23_UF2</v>
      </c>
      <c r="F60" s="10">
        <v>45195</v>
      </c>
    </row>
    <row r="61" spans="1:8" ht="14.5" hidden="1" x14ac:dyDescent="0.35">
      <c r="A61" s="1" t="s">
        <v>33</v>
      </c>
      <c r="B61" s="2" t="s">
        <v>15</v>
      </c>
      <c r="C61" s="1" t="s">
        <v>119</v>
      </c>
      <c r="D61" s="1">
        <v>2</v>
      </c>
      <c r="E61" s="1" t="str">
        <f t="shared" si="0"/>
        <v>DCM2_9-23_UF2</v>
      </c>
      <c r="F61" s="10">
        <v>45195</v>
      </c>
    </row>
    <row r="62" spans="1:8" ht="14.5" hidden="1" x14ac:dyDescent="0.35">
      <c r="A62" s="1" t="s">
        <v>34</v>
      </c>
      <c r="B62" s="2" t="s">
        <v>15</v>
      </c>
      <c r="C62" s="1" t="s">
        <v>119</v>
      </c>
      <c r="D62" s="1">
        <v>2</v>
      </c>
      <c r="E62" s="1" t="str">
        <f t="shared" si="0"/>
        <v>GB1_9-23_UF2</v>
      </c>
      <c r="F62" s="10">
        <v>45195</v>
      </c>
    </row>
    <row r="63" spans="1:8" ht="14.5" hidden="1" x14ac:dyDescent="0.35">
      <c r="A63" s="1" t="s">
        <v>24</v>
      </c>
      <c r="B63" s="2" t="s">
        <v>15</v>
      </c>
      <c r="C63" s="1" t="s">
        <v>120</v>
      </c>
      <c r="D63" s="1">
        <v>2</v>
      </c>
      <c r="E63" s="1" t="str">
        <f t="shared" si="0"/>
        <v>ACS1_9-23_F2</v>
      </c>
      <c r="F63" s="10">
        <v>45195</v>
      </c>
    </row>
    <row r="64" spans="1:8" ht="14.5" hidden="1" x14ac:dyDescent="0.35">
      <c r="A64" s="1" t="s">
        <v>25</v>
      </c>
      <c r="B64" s="2" t="s">
        <v>15</v>
      </c>
      <c r="C64" s="1" t="s">
        <v>120</v>
      </c>
      <c r="D64" s="1">
        <v>2</v>
      </c>
      <c r="E64" s="1" t="str">
        <f t="shared" si="0"/>
        <v>ACS2_9-23_F2</v>
      </c>
      <c r="F64" s="10">
        <v>45195</v>
      </c>
    </row>
    <row r="65" spans="1:8" ht="14.5" hidden="1" x14ac:dyDescent="0.35">
      <c r="A65" s="1" t="s">
        <v>26</v>
      </c>
      <c r="B65" s="2" t="s">
        <v>15</v>
      </c>
      <c r="C65" s="1" t="s">
        <v>120</v>
      </c>
      <c r="D65" s="1">
        <v>2</v>
      </c>
      <c r="E65" s="1" t="str">
        <f t="shared" si="0"/>
        <v>ACS3_9-23_F2</v>
      </c>
      <c r="F65" s="10">
        <v>45195</v>
      </c>
    </row>
    <row r="66" spans="1:8" ht="14.5" hidden="1" x14ac:dyDescent="0.35">
      <c r="A66" s="1" t="s">
        <v>27</v>
      </c>
      <c r="B66" s="2" t="s">
        <v>15</v>
      </c>
      <c r="C66" s="1" t="s">
        <v>120</v>
      </c>
      <c r="D66" s="1">
        <v>2</v>
      </c>
      <c r="E66" s="1" t="str">
        <f t="shared" ref="E66:E129" si="1">A66&amp;"_"&amp;B66&amp;"_"&amp;C66&amp;D66</f>
        <v>ACS4_9-23_F2</v>
      </c>
      <c r="F66" s="10">
        <v>45195</v>
      </c>
    </row>
    <row r="67" spans="1:8" ht="14.5" hidden="1" x14ac:dyDescent="0.35">
      <c r="A67" s="1" t="s">
        <v>28</v>
      </c>
      <c r="B67" s="2" t="s">
        <v>15</v>
      </c>
      <c r="C67" s="1" t="s">
        <v>120</v>
      </c>
      <c r="D67" s="1">
        <v>2</v>
      </c>
      <c r="E67" s="1" t="str">
        <f t="shared" si="1"/>
        <v>ACS5_9-23_F2</v>
      </c>
      <c r="F67" s="10">
        <v>45195</v>
      </c>
    </row>
    <row r="68" spans="1:8" ht="14.5" hidden="1" x14ac:dyDescent="0.35">
      <c r="A68" s="1" t="s">
        <v>29</v>
      </c>
      <c r="B68" s="2" t="s">
        <v>15</v>
      </c>
      <c r="C68" s="1" t="s">
        <v>120</v>
      </c>
      <c r="D68" s="1">
        <v>2</v>
      </c>
      <c r="E68" s="1" t="str">
        <f t="shared" si="1"/>
        <v>GBHM_9-23_F2</v>
      </c>
      <c r="F68" s="10">
        <v>45195</v>
      </c>
    </row>
    <row r="69" spans="1:8" ht="14.5" hidden="1" x14ac:dyDescent="0.35">
      <c r="A69" s="1" t="s">
        <v>30</v>
      </c>
      <c r="B69" s="2" t="s">
        <v>15</v>
      </c>
      <c r="C69" s="1" t="s">
        <v>120</v>
      </c>
      <c r="D69" s="1">
        <v>2</v>
      </c>
      <c r="E69" s="1" t="str">
        <f t="shared" si="1"/>
        <v>DC1_9-23_F2</v>
      </c>
      <c r="F69" s="10">
        <v>45195</v>
      </c>
    </row>
    <row r="70" spans="1:8" ht="14.5" hidden="1" x14ac:dyDescent="0.35">
      <c r="A70" s="1" t="s">
        <v>31</v>
      </c>
      <c r="B70" s="2" t="s">
        <v>15</v>
      </c>
      <c r="C70" s="1" t="s">
        <v>120</v>
      </c>
      <c r="D70" s="1">
        <v>2</v>
      </c>
      <c r="E70" s="1" t="str">
        <f t="shared" si="1"/>
        <v>DCM1_9-23_F2</v>
      </c>
      <c r="F70" s="10">
        <v>45195</v>
      </c>
    </row>
    <row r="71" spans="1:8" ht="14.5" hidden="1" x14ac:dyDescent="0.35">
      <c r="A71" s="1" t="s">
        <v>32</v>
      </c>
      <c r="B71" s="2" t="s">
        <v>15</v>
      </c>
      <c r="C71" s="1" t="s">
        <v>120</v>
      </c>
      <c r="D71" s="1">
        <v>2</v>
      </c>
      <c r="E71" s="1" t="str">
        <f t="shared" si="1"/>
        <v>DC2_9-23_F2</v>
      </c>
      <c r="F71" s="10">
        <v>45195</v>
      </c>
    </row>
    <row r="72" spans="1:8" ht="14.5" hidden="1" x14ac:dyDescent="0.35">
      <c r="A72" s="1" t="s">
        <v>33</v>
      </c>
      <c r="B72" s="2" t="s">
        <v>15</v>
      </c>
      <c r="C72" s="1" t="s">
        <v>120</v>
      </c>
      <c r="D72" s="1">
        <v>2</v>
      </c>
      <c r="E72" s="1" t="str">
        <f t="shared" si="1"/>
        <v>DCM2_9-23_F2</v>
      </c>
      <c r="F72" s="10">
        <v>45195</v>
      </c>
    </row>
    <row r="73" spans="1:8" ht="14.5" hidden="1" x14ac:dyDescent="0.35">
      <c r="A73" s="1" t="s">
        <v>34</v>
      </c>
      <c r="B73" s="2" t="s">
        <v>15</v>
      </c>
      <c r="C73" s="1" t="s">
        <v>120</v>
      </c>
      <c r="D73" s="1">
        <v>2</v>
      </c>
      <c r="E73" s="1" t="str">
        <f t="shared" si="1"/>
        <v>GB1_9-23_F2</v>
      </c>
      <c r="F73" s="10">
        <v>45195</v>
      </c>
    </row>
    <row r="74" spans="1:8" ht="14.5" hidden="1" x14ac:dyDescent="0.35">
      <c r="A74" s="1" t="s">
        <v>35</v>
      </c>
      <c r="B74" s="2" t="s">
        <v>15</v>
      </c>
      <c r="C74" s="1" t="s">
        <v>119</v>
      </c>
      <c r="D74" s="1">
        <v>1</v>
      </c>
      <c r="E74" s="1" t="str">
        <f t="shared" si="1"/>
        <v>MCS1_9-23_UF1</v>
      </c>
      <c r="F74" s="10">
        <v>45196</v>
      </c>
      <c r="G74" s="10">
        <v>45204</v>
      </c>
      <c r="H74" s="10">
        <v>45247</v>
      </c>
    </row>
    <row r="75" spans="1:8" ht="14.5" hidden="1" x14ac:dyDescent="0.35">
      <c r="A75" s="1" t="s">
        <v>36</v>
      </c>
      <c r="B75" s="2" t="s">
        <v>15</v>
      </c>
      <c r="C75" s="1" t="s">
        <v>119</v>
      </c>
      <c r="D75" s="1">
        <v>1</v>
      </c>
      <c r="E75" s="1" t="str">
        <f t="shared" si="1"/>
        <v>MCS2_9-23_UF1</v>
      </c>
      <c r="F75" s="10">
        <v>45196</v>
      </c>
      <c r="G75" s="10">
        <v>45204</v>
      </c>
      <c r="H75" s="10">
        <v>45247</v>
      </c>
    </row>
    <row r="76" spans="1:8" ht="14.5" hidden="1" x14ac:dyDescent="0.35">
      <c r="A76" s="1" t="s">
        <v>37</v>
      </c>
      <c r="B76" s="2" t="s">
        <v>15</v>
      </c>
      <c r="C76" s="1" t="s">
        <v>119</v>
      </c>
      <c r="D76" s="1">
        <v>1</v>
      </c>
      <c r="E76" s="1" t="str">
        <f t="shared" si="1"/>
        <v>MCS3_9-23_UF1</v>
      </c>
      <c r="F76" s="10">
        <v>45196</v>
      </c>
      <c r="G76" s="10">
        <v>45204</v>
      </c>
      <c r="H76" s="10">
        <v>45247</v>
      </c>
    </row>
    <row r="77" spans="1:8" ht="14.5" hidden="1" x14ac:dyDescent="0.35">
      <c r="A77" s="1" t="s">
        <v>38</v>
      </c>
      <c r="B77" s="2" t="s">
        <v>15</v>
      </c>
      <c r="C77" s="1" t="s">
        <v>119</v>
      </c>
      <c r="D77" s="1">
        <v>1</v>
      </c>
      <c r="E77" s="1" t="str">
        <f t="shared" si="1"/>
        <v>MCS4_9-23_UF1</v>
      </c>
      <c r="F77" s="10">
        <v>45196</v>
      </c>
      <c r="G77" s="10">
        <v>45204</v>
      </c>
      <c r="H77" s="10">
        <v>45247</v>
      </c>
    </row>
    <row r="78" spans="1:8" ht="14.5" hidden="1" x14ac:dyDescent="0.35">
      <c r="A78" s="1" t="s">
        <v>39</v>
      </c>
      <c r="B78" s="2" t="s">
        <v>15</v>
      </c>
      <c r="C78" s="1" t="s">
        <v>119</v>
      </c>
      <c r="D78" s="1">
        <v>1</v>
      </c>
      <c r="E78" s="1" t="str">
        <f t="shared" si="1"/>
        <v>TBHM_9-23_UF1</v>
      </c>
      <c r="F78" s="10">
        <v>45196</v>
      </c>
      <c r="G78" s="10">
        <v>45204</v>
      </c>
      <c r="H78" s="10">
        <v>45247</v>
      </c>
    </row>
    <row r="79" spans="1:8" ht="14.5" hidden="1" x14ac:dyDescent="0.35">
      <c r="A79" s="1" t="s">
        <v>51</v>
      </c>
      <c r="B79" s="2" t="s">
        <v>15</v>
      </c>
      <c r="C79" s="1" t="s">
        <v>119</v>
      </c>
      <c r="D79" s="1">
        <v>1</v>
      </c>
      <c r="E79" s="1" t="str">
        <f t="shared" si="1"/>
        <v>TBC_9-23_UF1</v>
      </c>
      <c r="F79" s="10">
        <v>45196</v>
      </c>
      <c r="G79" s="10">
        <v>45204</v>
      </c>
      <c r="H79" s="10">
        <v>45247</v>
      </c>
    </row>
    <row r="80" spans="1:8" ht="14.5" hidden="1" x14ac:dyDescent="0.35">
      <c r="A80" s="1" t="s">
        <v>40</v>
      </c>
      <c r="B80" s="2" t="s">
        <v>15</v>
      </c>
      <c r="C80" s="1" t="s">
        <v>119</v>
      </c>
      <c r="D80" s="1">
        <v>1</v>
      </c>
      <c r="E80" s="1" t="str">
        <f t="shared" si="1"/>
        <v>TBCM_9-23_UF1</v>
      </c>
      <c r="F80" s="10">
        <v>45196</v>
      </c>
      <c r="G80" s="10">
        <v>45204</v>
      </c>
      <c r="H80" s="10">
        <v>45247</v>
      </c>
    </row>
    <row r="81" spans="1:8" ht="14.5" hidden="1" x14ac:dyDescent="0.35">
      <c r="A81" s="1" t="s">
        <v>41</v>
      </c>
      <c r="B81" s="2" t="s">
        <v>15</v>
      </c>
      <c r="C81" s="1" t="s">
        <v>119</v>
      </c>
      <c r="D81" s="1">
        <v>1</v>
      </c>
      <c r="E81" s="1" t="str">
        <f t="shared" si="1"/>
        <v>TB1_9-23_UF1</v>
      </c>
      <c r="F81" s="10">
        <v>45196</v>
      </c>
      <c r="G81" s="10">
        <v>45204</v>
      </c>
      <c r="H81" s="10">
        <v>45247</v>
      </c>
    </row>
    <row r="82" spans="1:8" ht="14.5" hidden="1" x14ac:dyDescent="0.35">
      <c r="A82" s="1" t="s">
        <v>42</v>
      </c>
      <c r="B82" s="2" t="s">
        <v>15</v>
      </c>
      <c r="C82" s="1" t="s">
        <v>119</v>
      </c>
      <c r="D82" s="1">
        <v>1</v>
      </c>
      <c r="E82" s="1" t="str">
        <f t="shared" si="1"/>
        <v>TB2_9-23_UF1</v>
      </c>
      <c r="F82" s="10">
        <v>45196</v>
      </c>
      <c r="G82" s="10">
        <v>45204</v>
      </c>
      <c r="H82" s="10">
        <v>45247</v>
      </c>
    </row>
    <row r="83" spans="1:8" ht="14.5" hidden="1" x14ac:dyDescent="0.35">
      <c r="A83" s="1" t="s">
        <v>43</v>
      </c>
      <c r="B83" s="2" t="s">
        <v>15</v>
      </c>
      <c r="C83" s="1" t="s">
        <v>119</v>
      </c>
      <c r="D83" s="1">
        <v>1</v>
      </c>
      <c r="E83" s="1" t="str">
        <f t="shared" si="1"/>
        <v>GB2_9-23_UF1</v>
      </c>
      <c r="F83" s="10">
        <v>45196</v>
      </c>
      <c r="G83" s="10">
        <v>45204</v>
      </c>
      <c r="H83" s="10">
        <v>45247</v>
      </c>
    </row>
    <row r="84" spans="1:8" ht="14.5" hidden="1" x14ac:dyDescent="0.35">
      <c r="A84" s="1" t="s">
        <v>44</v>
      </c>
      <c r="B84" s="2" t="s">
        <v>15</v>
      </c>
      <c r="C84" s="1" t="s">
        <v>119</v>
      </c>
      <c r="D84" s="1">
        <v>1</v>
      </c>
      <c r="E84" s="1" t="str">
        <f t="shared" si="1"/>
        <v>RB_9-23_UF1</v>
      </c>
      <c r="F84" s="10">
        <v>45196</v>
      </c>
      <c r="G84" s="10">
        <v>45204</v>
      </c>
      <c r="H84" s="10">
        <v>45247</v>
      </c>
    </row>
    <row r="85" spans="1:8" ht="14.5" hidden="1" x14ac:dyDescent="0.35">
      <c r="A85" s="1" t="s">
        <v>35</v>
      </c>
      <c r="B85" s="2" t="s">
        <v>15</v>
      </c>
      <c r="C85" s="1" t="s">
        <v>120</v>
      </c>
      <c r="D85" s="1">
        <v>1</v>
      </c>
      <c r="E85" s="1" t="str">
        <f t="shared" si="1"/>
        <v>MCS1_9-23_F1</v>
      </c>
      <c r="F85" s="10">
        <v>45196</v>
      </c>
      <c r="G85" s="10">
        <v>45204</v>
      </c>
      <c r="H85" s="10">
        <v>45247</v>
      </c>
    </row>
    <row r="86" spans="1:8" ht="14.5" hidden="1" x14ac:dyDescent="0.35">
      <c r="A86" s="1" t="s">
        <v>36</v>
      </c>
      <c r="B86" s="2" t="s">
        <v>15</v>
      </c>
      <c r="C86" s="1" t="s">
        <v>120</v>
      </c>
      <c r="D86" s="1">
        <v>1</v>
      </c>
      <c r="E86" s="1" t="str">
        <f t="shared" si="1"/>
        <v>MCS2_9-23_F1</v>
      </c>
      <c r="F86" s="10">
        <v>45196</v>
      </c>
      <c r="G86" s="10">
        <v>45204</v>
      </c>
      <c r="H86" s="10">
        <v>45247</v>
      </c>
    </row>
    <row r="87" spans="1:8" ht="14.5" hidden="1" x14ac:dyDescent="0.35">
      <c r="A87" s="1" t="s">
        <v>37</v>
      </c>
      <c r="B87" s="2" t="s">
        <v>15</v>
      </c>
      <c r="C87" s="1" t="s">
        <v>120</v>
      </c>
      <c r="D87" s="1">
        <v>1</v>
      </c>
      <c r="E87" s="1" t="str">
        <f t="shared" si="1"/>
        <v>MCS3_9-23_F1</v>
      </c>
      <c r="F87" s="10">
        <v>45196</v>
      </c>
      <c r="G87" s="10">
        <v>45204</v>
      </c>
      <c r="H87" s="10">
        <v>45247</v>
      </c>
    </row>
    <row r="88" spans="1:8" ht="14.5" hidden="1" x14ac:dyDescent="0.35">
      <c r="A88" s="1" t="s">
        <v>38</v>
      </c>
      <c r="B88" s="2" t="s">
        <v>15</v>
      </c>
      <c r="C88" s="1" t="s">
        <v>120</v>
      </c>
      <c r="D88" s="1">
        <v>1</v>
      </c>
      <c r="E88" s="1" t="str">
        <f t="shared" si="1"/>
        <v>MCS4_9-23_F1</v>
      </c>
      <c r="F88" s="10">
        <v>45196</v>
      </c>
      <c r="G88" s="10">
        <v>45204</v>
      </c>
      <c r="H88" s="10">
        <v>45247</v>
      </c>
    </row>
    <row r="89" spans="1:8" ht="14.5" hidden="1" x14ac:dyDescent="0.35">
      <c r="A89" s="1" t="s">
        <v>39</v>
      </c>
      <c r="B89" s="2" t="s">
        <v>15</v>
      </c>
      <c r="C89" s="1" t="s">
        <v>120</v>
      </c>
      <c r="D89" s="1">
        <v>1</v>
      </c>
      <c r="E89" s="1" t="str">
        <f t="shared" si="1"/>
        <v>TBHM_9-23_F1</v>
      </c>
      <c r="F89" s="10">
        <v>45196</v>
      </c>
      <c r="G89" s="10">
        <v>45204</v>
      </c>
      <c r="H89" s="10">
        <v>45247</v>
      </c>
    </row>
    <row r="90" spans="1:8" ht="14.5" hidden="1" x14ac:dyDescent="0.35">
      <c r="A90" s="1" t="s">
        <v>51</v>
      </c>
      <c r="B90" s="2" t="s">
        <v>15</v>
      </c>
      <c r="C90" s="1" t="s">
        <v>120</v>
      </c>
      <c r="D90" s="1">
        <v>1</v>
      </c>
      <c r="E90" s="1" t="str">
        <f t="shared" si="1"/>
        <v>TBC_9-23_F1</v>
      </c>
      <c r="F90" s="10">
        <v>45196</v>
      </c>
      <c r="G90" s="10">
        <v>45204</v>
      </c>
      <c r="H90" s="10">
        <v>45247</v>
      </c>
    </row>
    <row r="91" spans="1:8" ht="14.5" hidden="1" x14ac:dyDescent="0.35">
      <c r="A91" s="1" t="s">
        <v>40</v>
      </c>
      <c r="B91" s="2" t="s">
        <v>15</v>
      </c>
      <c r="C91" s="1" t="s">
        <v>120</v>
      </c>
      <c r="D91" s="1">
        <v>1</v>
      </c>
      <c r="E91" s="1" t="str">
        <f t="shared" si="1"/>
        <v>TBCM_9-23_F1</v>
      </c>
      <c r="F91" s="10">
        <v>45196</v>
      </c>
      <c r="G91" s="10">
        <v>45204</v>
      </c>
      <c r="H91" s="10">
        <v>45247</v>
      </c>
    </row>
    <row r="92" spans="1:8" ht="14.5" hidden="1" x14ac:dyDescent="0.35">
      <c r="A92" s="1" t="s">
        <v>41</v>
      </c>
      <c r="B92" s="2" t="s">
        <v>15</v>
      </c>
      <c r="C92" s="1" t="s">
        <v>120</v>
      </c>
      <c r="D92" s="1">
        <v>1</v>
      </c>
      <c r="E92" s="1" t="str">
        <f t="shared" si="1"/>
        <v>TB1_9-23_F1</v>
      </c>
      <c r="F92" s="10">
        <v>45196</v>
      </c>
      <c r="G92" s="10">
        <v>45204</v>
      </c>
      <c r="H92" s="10">
        <v>45247</v>
      </c>
    </row>
    <row r="93" spans="1:8" ht="14.5" hidden="1" x14ac:dyDescent="0.35">
      <c r="A93" s="1" t="s">
        <v>42</v>
      </c>
      <c r="B93" s="2" t="s">
        <v>15</v>
      </c>
      <c r="C93" s="1" t="s">
        <v>120</v>
      </c>
      <c r="D93" s="1">
        <v>1</v>
      </c>
      <c r="E93" s="1" t="str">
        <f t="shared" si="1"/>
        <v>TB2_9-23_F1</v>
      </c>
      <c r="F93" s="10">
        <v>45196</v>
      </c>
      <c r="G93" s="10">
        <v>45204</v>
      </c>
      <c r="H93" s="10">
        <v>45247</v>
      </c>
    </row>
    <row r="94" spans="1:8" ht="14.5" hidden="1" x14ac:dyDescent="0.35">
      <c r="A94" s="1" t="s">
        <v>43</v>
      </c>
      <c r="B94" s="2" t="s">
        <v>15</v>
      </c>
      <c r="C94" s="1" t="s">
        <v>120</v>
      </c>
      <c r="D94" s="1">
        <v>1</v>
      </c>
      <c r="E94" s="1" t="str">
        <f t="shared" si="1"/>
        <v>GB2_9-23_F1</v>
      </c>
      <c r="F94" s="10">
        <v>45196</v>
      </c>
      <c r="G94" s="10">
        <v>45204</v>
      </c>
      <c r="H94" s="10">
        <v>45247</v>
      </c>
    </row>
    <row r="95" spans="1:8" ht="14.5" hidden="1" x14ac:dyDescent="0.35">
      <c r="A95" s="1" t="s">
        <v>44</v>
      </c>
      <c r="B95" s="2" t="s">
        <v>15</v>
      </c>
      <c r="C95" s="1" t="s">
        <v>120</v>
      </c>
      <c r="D95" s="1">
        <v>1</v>
      </c>
      <c r="E95" s="1" t="str">
        <f t="shared" si="1"/>
        <v>RB_9-23_F1</v>
      </c>
      <c r="F95" s="10">
        <v>45196</v>
      </c>
      <c r="G95" s="10">
        <v>45204</v>
      </c>
      <c r="H95" s="10">
        <v>45247</v>
      </c>
    </row>
    <row r="96" spans="1:8" ht="14.5" hidden="1" x14ac:dyDescent="0.35">
      <c r="A96" s="1" t="s">
        <v>35</v>
      </c>
      <c r="B96" s="2" t="s">
        <v>15</v>
      </c>
      <c r="C96" s="1" t="s">
        <v>119</v>
      </c>
      <c r="D96" s="1">
        <v>2</v>
      </c>
      <c r="E96" s="1" t="str">
        <f t="shared" si="1"/>
        <v>MCS1_9-23_UF2</v>
      </c>
      <c r="F96" s="10">
        <v>45196</v>
      </c>
    </row>
    <row r="97" spans="1:6" ht="14.5" hidden="1" x14ac:dyDescent="0.35">
      <c r="A97" s="1" t="s">
        <v>36</v>
      </c>
      <c r="B97" s="2" t="s">
        <v>15</v>
      </c>
      <c r="C97" s="1" t="s">
        <v>119</v>
      </c>
      <c r="D97" s="1">
        <v>2</v>
      </c>
      <c r="E97" s="1" t="str">
        <f t="shared" si="1"/>
        <v>MCS2_9-23_UF2</v>
      </c>
      <c r="F97" s="10">
        <v>45196</v>
      </c>
    </row>
    <row r="98" spans="1:6" ht="14.5" hidden="1" x14ac:dyDescent="0.35">
      <c r="A98" s="1" t="s">
        <v>37</v>
      </c>
      <c r="B98" s="2" t="s">
        <v>15</v>
      </c>
      <c r="C98" s="1" t="s">
        <v>119</v>
      </c>
      <c r="D98" s="1">
        <v>2</v>
      </c>
      <c r="E98" s="1" t="str">
        <f t="shared" si="1"/>
        <v>MCS3_9-23_UF2</v>
      </c>
      <c r="F98" s="10">
        <v>45196</v>
      </c>
    </row>
    <row r="99" spans="1:6" ht="14.5" hidden="1" x14ac:dyDescent="0.35">
      <c r="A99" s="1" t="s">
        <v>38</v>
      </c>
      <c r="B99" s="2" t="s">
        <v>15</v>
      </c>
      <c r="C99" s="1" t="s">
        <v>119</v>
      </c>
      <c r="D99" s="1">
        <v>2</v>
      </c>
      <c r="E99" s="1" t="str">
        <f t="shared" si="1"/>
        <v>MCS4_9-23_UF2</v>
      </c>
      <c r="F99" s="10">
        <v>45196</v>
      </c>
    </row>
    <row r="100" spans="1:6" ht="14.5" hidden="1" x14ac:dyDescent="0.35">
      <c r="A100" s="1" t="s">
        <v>39</v>
      </c>
      <c r="B100" s="2" t="s">
        <v>15</v>
      </c>
      <c r="C100" s="1" t="s">
        <v>119</v>
      </c>
      <c r="D100" s="1">
        <v>2</v>
      </c>
      <c r="E100" s="1" t="str">
        <f t="shared" si="1"/>
        <v>TBHM_9-23_UF2</v>
      </c>
      <c r="F100" s="10">
        <v>45196</v>
      </c>
    </row>
    <row r="101" spans="1:6" ht="14.5" hidden="1" x14ac:dyDescent="0.35">
      <c r="A101" s="1" t="s">
        <v>51</v>
      </c>
      <c r="B101" s="2" t="s">
        <v>15</v>
      </c>
      <c r="C101" s="1" t="s">
        <v>119</v>
      </c>
      <c r="D101" s="1">
        <v>2</v>
      </c>
      <c r="E101" s="1" t="str">
        <f t="shared" si="1"/>
        <v>TBC_9-23_UF2</v>
      </c>
      <c r="F101" s="10">
        <v>45196</v>
      </c>
    </row>
    <row r="102" spans="1:6" ht="14.5" hidden="1" x14ac:dyDescent="0.35">
      <c r="A102" s="1" t="s">
        <v>40</v>
      </c>
      <c r="B102" s="2" t="s">
        <v>15</v>
      </c>
      <c r="C102" s="1" t="s">
        <v>119</v>
      </c>
      <c r="D102" s="1">
        <v>2</v>
      </c>
      <c r="E102" s="1" t="str">
        <f t="shared" si="1"/>
        <v>TBCM_9-23_UF2</v>
      </c>
      <c r="F102" s="10">
        <v>45196</v>
      </c>
    </row>
    <row r="103" spans="1:6" ht="14.5" hidden="1" x14ac:dyDescent="0.35">
      <c r="A103" s="1" t="s">
        <v>41</v>
      </c>
      <c r="B103" s="2" t="s">
        <v>15</v>
      </c>
      <c r="C103" s="1" t="s">
        <v>119</v>
      </c>
      <c r="D103" s="1">
        <v>2</v>
      </c>
      <c r="E103" s="1" t="str">
        <f t="shared" si="1"/>
        <v>TB1_9-23_UF2</v>
      </c>
      <c r="F103" s="10">
        <v>45196</v>
      </c>
    </row>
    <row r="104" spans="1:6" ht="14.5" hidden="1" x14ac:dyDescent="0.35">
      <c r="A104" s="1" t="s">
        <v>42</v>
      </c>
      <c r="B104" s="2" t="s">
        <v>15</v>
      </c>
      <c r="C104" s="1" t="s">
        <v>119</v>
      </c>
      <c r="D104" s="1">
        <v>2</v>
      </c>
      <c r="E104" s="1" t="str">
        <f t="shared" si="1"/>
        <v>TB2_9-23_UF2</v>
      </c>
      <c r="F104" s="10">
        <v>45196</v>
      </c>
    </row>
    <row r="105" spans="1:6" ht="14.5" hidden="1" x14ac:dyDescent="0.35">
      <c r="A105" s="1" t="s">
        <v>43</v>
      </c>
      <c r="B105" s="2" t="s">
        <v>15</v>
      </c>
      <c r="C105" s="1" t="s">
        <v>119</v>
      </c>
      <c r="D105" s="1">
        <v>2</v>
      </c>
      <c r="E105" s="1" t="str">
        <f t="shared" si="1"/>
        <v>GB2_9-23_UF2</v>
      </c>
      <c r="F105" s="10">
        <v>45196</v>
      </c>
    </row>
    <row r="106" spans="1:6" ht="14.5" hidden="1" x14ac:dyDescent="0.35">
      <c r="A106" s="1" t="s">
        <v>44</v>
      </c>
      <c r="B106" s="2" t="s">
        <v>15</v>
      </c>
      <c r="C106" s="1" t="s">
        <v>119</v>
      </c>
      <c r="D106" s="1">
        <v>2</v>
      </c>
      <c r="E106" s="1" t="str">
        <f t="shared" si="1"/>
        <v>RB_9-23_UF2</v>
      </c>
      <c r="F106" s="10">
        <v>45196</v>
      </c>
    </row>
    <row r="107" spans="1:6" ht="14.5" hidden="1" x14ac:dyDescent="0.35">
      <c r="A107" s="1" t="s">
        <v>35</v>
      </c>
      <c r="B107" s="2" t="s">
        <v>15</v>
      </c>
      <c r="C107" s="1" t="s">
        <v>120</v>
      </c>
      <c r="D107" s="1">
        <v>2</v>
      </c>
      <c r="E107" s="1" t="str">
        <f t="shared" si="1"/>
        <v>MCS1_9-23_F2</v>
      </c>
      <c r="F107" s="10">
        <v>45196</v>
      </c>
    </row>
    <row r="108" spans="1:6" ht="14.5" hidden="1" x14ac:dyDescent="0.35">
      <c r="A108" s="1" t="s">
        <v>36</v>
      </c>
      <c r="B108" s="2" t="s">
        <v>15</v>
      </c>
      <c r="C108" s="1" t="s">
        <v>120</v>
      </c>
      <c r="D108" s="1">
        <v>2</v>
      </c>
      <c r="E108" s="1" t="str">
        <f t="shared" si="1"/>
        <v>MCS2_9-23_F2</v>
      </c>
      <c r="F108" s="10">
        <v>45196</v>
      </c>
    </row>
    <row r="109" spans="1:6" ht="14.5" hidden="1" x14ac:dyDescent="0.35">
      <c r="A109" s="1" t="s">
        <v>37</v>
      </c>
      <c r="B109" s="2" t="s">
        <v>15</v>
      </c>
      <c r="C109" s="1" t="s">
        <v>120</v>
      </c>
      <c r="D109" s="1">
        <v>2</v>
      </c>
      <c r="E109" s="1" t="str">
        <f t="shared" si="1"/>
        <v>MCS3_9-23_F2</v>
      </c>
      <c r="F109" s="10">
        <v>45196</v>
      </c>
    </row>
    <row r="110" spans="1:6" ht="14.5" hidden="1" x14ac:dyDescent="0.35">
      <c r="A110" s="1" t="s">
        <v>38</v>
      </c>
      <c r="B110" s="2" t="s">
        <v>15</v>
      </c>
      <c r="C110" s="1" t="s">
        <v>120</v>
      </c>
      <c r="D110" s="1">
        <v>2</v>
      </c>
      <c r="E110" s="1" t="str">
        <f t="shared" si="1"/>
        <v>MCS4_9-23_F2</v>
      </c>
      <c r="F110" s="10">
        <v>45196</v>
      </c>
    </row>
    <row r="111" spans="1:6" ht="14.5" hidden="1" x14ac:dyDescent="0.35">
      <c r="A111" s="1" t="s">
        <v>39</v>
      </c>
      <c r="B111" s="2" t="s">
        <v>15</v>
      </c>
      <c r="C111" s="1" t="s">
        <v>120</v>
      </c>
      <c r="D111" s="1">
        <v>2</v>
      </c>
      <c r="E111" s="1" t="str">
        <f t="shared" si="1"/>
        <v>TBHM_9-23_F2</v>
      </c>
      <c r="F111" s="10">
        <v>45196</v>
      </c>
    </row>
    <row r="112" spans="1:6" ht="14.5" hidden="1" x14ac:dyDescent="0.35">
      <c r="A112" s="1" t="s">
        <v>51</v>
      </c>
      <c r="B112" s="2" t="s">
        <v>15</v>
      </c>
      <c r="C112" s="1" t="s">
        <v>120</v>
      </c>
      <c r="D112" s="1">
        <v>2</v>
      </c>
      <c r="E112" s="1" t="str">
        <f t="shared" si="1"/>
        <v>TBC_9-23_F2</v>
      </c>
      <c r="F112" s="10">
        <v>45196</v>
      </c>
    </row>
    <row r="113" spans="1:8" ht="14.5" hidden="1" x14ac:dyDescent="0.35">
      <c r="A113" s="1" t="s">
        <v>40</v>
      </c>
      <c r="B113" s="2" t="s">
        <v>15</v>
      </c>
      <c r="C113" s="1" t="s">
        <v>120</v>
      </c>
      <c r="D113" s="1">
        <v>2</v>
      </c>
      <c r="E113" s="1" t="str">
        <f t="shared" si="1"/>
        <v>TBCM_9-23_F2</v>
      </c>
      <c r="F113" s="10">
        <v>45196</v>
      </c>
    </row>
    <row r="114" spans="1:8" ht="14.5" hidden="1" x14ac:dyDescent="0.35">
      <c r="A114" s="1" t="s">
        <v>41</v>
      </c>
      <c r="B114" s="2" t="s">
        <v>15</v>
      </c>
      <c r="C114" s="1" t="s">
        <v>120</v>
      </c>
      <c r="D114" s="1">
        <v>2</v>
      </c>
      <c r="E114" s="1" t="str">
        <f t="shared" si="1"/>
        <v>TB1_9-23_F2</v>
      </c>
      <c r="F114" s="10">
        <v>45196</v>
      </c>
    </row>
    <row r="115" spans="1:8" ht="14.5" hidden="1" x14ac:dyDescent="0.35">
      <c r="A115" s="1" t="s">
        <v>42</v>
      </c>
      <c r="B115" s="2" t="s">
        <v>15</v>
      </c>
      <c r="C115" s="1" t="s">
        <v>120</v>
      </c>
      <c r="D115" s="1">
        <v>2</v>
      </c>
      <c r="E115" s="1" t="str">
        <f t="shared" si="1"/>
        <v>TB2_9-23_F2</v>
      </c>
      <c r="F115" s="10">
        <v>45196</v>
      </c>
    </row>
    <row r="116" spans="1:8" ht="14.5" hidden="1" x14ac:dyDescent="0.35">
      <c r="A116" s="1" t="s">
        <v>43</v>
      </c>
      <c r="B116" s="2" t="s">
        <v>15</v>
      </c>
      <c r="C116" s="1" t="s">
        <v>120</v>
      </c>
      <c r="D116" s="1">
        <v>2</v>
      </c>
      <c r="E116" s="1" t="str">
        <f t="shared" si="1"/>
        <v>GB2_9-23_F2</v>
      </c>
      <c r="F116" s="10">
        <v>45196</v>
      </c>
    </row>
    <row r="117" spans="1:8" ht="14.5" hidden="1" x14ac:dyDescent="0.35">
      <c r="A117" s="1" t="s">
        <v>44</v>
      </c>
      <c r="B117" s="2" t="s">
        <v>15</v>
      </c>
      <c r="C117" s="1" t="s">
        <v>120</v>
      </c>
      <c r="D117" s="1">
        <v>2</v>
      </c>
      <c r="E117" s="1" t="str">
        <f t="shared" si="1"/>
        <v>RB_9-23_F2</v>
      </c>
      <c r="F117" s="10">
        <v>45196</v>
      </c>
    </row>
    <row r="118" spans="1:8" ht="14.5" hidden="1" x14ac:dyDescent="0.35">
      <c r="A118" s="1" t="s">
        <v>45</v>
      </c>
      <c r="B118" s="2" t="s">
        <v>15</v>
      </c>
      <c r="C118" s="1" t="s">
        <v>119</v>
      </c>
      <c r="D118" s="1">
        <v>1</v>
      </c>
      <c r="E118" s="1" t="str">
        <f t="shared" si="1"/>
        <v>TSM1_9-23_UF1</v>
      </c>
      <c r="F118" s="10">
        <v>45199</v>
      </c>
      <c r="G118" s="10">
        <v>45204</v>
      </c>
      <c r="H118" s="10">
        <v>45247</v>
      </c>
    </row>
    <row r="119" spans="1:8" ht="14.5" hidden="1" x14ac:dyDescent="0.35">
      <c r="A119" s="1" t="s">
        <v>46</v>
      </c>
      <c r="B119" s="2" t="s">
        <v>15</v>
      </c>
      <c r="C119" s="1" t="s">
        <v>119</v>
      </c>
      <c r="D119" s="1">
        <v>1</v>
      </c>
      <c r="E119" s="1" t="str">
        <f t="shared" si="1"/>
        <v>TSM3_9-23_UF1</v>
      </c>
      <c r="F119" s="10">
        <v>45199</v>
      </c>
      <c r="G119" s="10">
        <v>45204</v>
      </c>
      <c r="H119" s="10">
        <v>45247</v>
      </c>
    </row>
    <row r="120" spans="1:8" ht="14.5" hidden="1" x14ac:dyDescent="0.35">
      <c r="A120" s="1" t="s">
        <v>47</v>
      </c>
      <c r="B120" s="2" t="s">
        <v>15</v>
      </c>
      <c r="C120" s="1" t="s">
        <v>119</v>
      </c>
      <c r="D120" s="1">
        <v>1</v>
      </c>
      <c r="E120" s="1" t="str">
        <f t="shared" si="1"/>
        <v>TSM4_9-23_UF1</v>
      </c>
      <c r="F120" s="10">
        <v>45199</v>
      </c>
      <c r="G120" s="10">
        <v>45204</v>
      </c>
      <c r="H120" s="10">
        <v>45247</v>
      </c>
    </row>
    <row r="121" spans="1:8" ht="14.5" hidden="1" x14ac:dyDescent="0.35">
      <c r="A121" s="1" t="s">
        <v>48</v>
      </c>
      <c r="B121" s="2" t="s">
        <v>15</v>
      </c>
      <c r="C121" s="1" t="s">
        <v>119</v>
      </c>
      <c r="D121" s="1">
        <v>1</v>
      </c>
      <c r="E121" s="1" t="str">
        <f t="shared" si="1"/>
        <v>SBT1_9-23_UF1</v>
      </c>
      <c r="F121" s="10">
        <v>45199</v>
      </c>
      <c r="G121" s="10">
        <v>45204</v>
      </c>
      <c r="H121" s="10">
        <v>45247</v>
      </c>
    </row>
    <row r="122" spans="1:8" ht="14.5" hidden="1" x14ac:dyDescent="0.35">
      <c r="A122" s="1" t="s">
        <v>45</v>
      </c>
      <c r="B122" s="2" t="s">
        <v>15</v>
      </c>
      <c r="C122" s="1" t="s">
        <v>120</v>
      </c>
      <c r="D122" s="1">
        <v>1</v>
      </c>
      <c r="E122" s="1" t="str">
        <f t="shared" si="1"/>
        <v>TSM1_9-23_F1</v>
      </c>
      <c r="F122" s="10">
        <v>45199</v>
      </c>
      <c r="G122" s="10">
        <v>45204</v>
      </c>
      <c r="H122" s="10">
        <v>45247</v>
      </c>
    </row>
    <row r="123" spans="1:8" ht="14.5" hidden="1" x14ac:dyDescent="0.35">
      <c r="A123" s="1" t="s">
        <v>46</v>
      </c>
      <c r="B123" s="2" t="s">
        <v>15</v>
      </c>
      <c r="C123" s="1" t="s">
        <v>120</v>
      </c>
      <c r="D123" s="1">
        <v>1</v>
      </c>
      <c r="E123" s="1" t="str">
        <f t="shared" si="1"/>
        <v>TSM3_9-23_F1</v>
      </c>
      <c r="F123" s="10">
        <v>45199</v>
      </c>
      <c r="G123" s="10">
        <v>45204</v>
      </c>
      <c r="H123" s="10">
        <v>45247</v>
      </c>
    </row>
    <row r="124" spans="1:8" ht="14.5" hidden="1" x14ac:dyDescent="0.35">
      <c r="A124" s="1" t="s">
        <v>47</v>
      </c>
      <c r="B124" s="2" t="s">
        <v>15</v>
      </c>
      <c r="C124" s="1" t="s">
        <v>120</v>
      </c>
      <c r="D124" s="1">
        <v>1</v>
      </c>
      <c r="E124" s="1" t="str">
        <f t="shared" si="1"/>
        <v>TSM4_9-23_F1</v>
      </c>
      <c r="F124" s="10">
        <v>45199</v>
      </c>
      <c r="G124" s="10">
        <v>45204</v>
      </c>
      <c r="H124" s="10">
        <v>45247</v>
      </c>
    </row>
    <row r="125" spans="1:8" ht="14.5" hidden="1" x14ac:dyDescent="0.35">
      <c r="A125" s="1" t="s">
        <v>48</v>
      </c>
      <c r="B125" s="2" t="s">
        <v>15</v>
      </c>
      <c r="C125" s="1" t="s">
        <v>120</v>
      </c>
      <c r="D125" s="1">
        <v>1</v>
      </c>
      <c r="E125" s="1" t="str">
        <f t="shared" si="1"/>
        <v>SBT1_9-23_F1</v>
      </c>
      <c r="F125" s="10">
        <v>45199</v>
      </c>
      <c r="G125" s="10">
        <v>45204</v>
      </c>
      <c r="H125" s="10">
        <v>45247</v>
      </c>
    </row>
    <row r="126" spans="1:8" ht="14.5" hidden="1" x14ac:dyDescent="0.35">
      <c r="A126" s="1" t="s">
        <v>45</v>
      </c>
      <c r="B126" s="2" t="s">
        <v>15</v>
      </c>
      <c r="C126" s="1" t="s">
        <v>119</v>
      </c>
      <c r="D126" s="1">
        <v>2</v>
      </c>
      <c r="E126" s="1" t="str">
        <f t="shared" si="1"/>
        <v>TSM1_9-23_UF2</v>
      </c>
      <c r="F126" s="10">
        <v>45199</v>
      </c>
    </row>
    <row r="127" spans="1:8" ht="14.5" hidden="1" x14ac:dyDescent="0.35">
      <c r="A127" s="1" t="s">
        <v>46</v>
      </c>
      <c r="B127" s="2" t="s">
        <v>15</v>
      </c>
      <c r="C127" s="1" t="s">
        <v>119</v>
      </c>
      <c r="D127" s="1">
        <v>2</v>
      </c>
      <c r="E127" s="1" t="str">
        <f t="shared" si="1"/>
        <v>TSM3_9-23_UF2</v>
      </c>
      <c r="F127" s="10">
        <v>45199</v>
      </c>
    </row>
    <row r="128" spans="1:8" ht="14.5" hidden="1" x14ac:dyDescent="0.35">
      <c r="A128" s="1" t="s">
        <v>47</v>
      </c>
      <c r="B128" s="2" t="s">
        <v>15</v>
      </c>
      <c r="C128" s="1" t="s">
        <v>119</v>
      </c>
      <c r="D128" s="1">
        <v>2</v>
      </c>
      <c r="E128" s="1" t="str">
        <f t="shared" si="1"/>
        <v>TSM4_9-23_UF2</v>
      </c>
      <c r="F128" s="10">
        <v>45199</v>
      </c>
    </row>
    <row r="129" spans="1:8" ht="14.5" hidden="1" x14ac:dyDescent="0.35">
      <c r="A129" s="1" t="s">
        <v>48</v>
      </c>
      <c r="B129" s="2" t="s">
        <v>15</v>
      </c>
      <c r="C129" s="1" t="s">
        <v>119</v>
      </c>
      <c r="D129" s="1">
        <v>2</v>
      </c>
      <c r="E129" s="1" t="str">
        <f t="shared" si="1"/>
        <v>SBT1_9-23_UF2</v>
      </c>
      <c r="F129" s="10">
        <v>45199</v>
      </c>
    </row>
    <row r="130" spans="1:8" ht="14.5" hidden="1" x14ac:dyDescent="0.35">
      <c r="A130" s="1" t="s">
        <v>45</v>
      </c>
      <c r="B130" s="2" t="s">
        <v>15</v>
      </c>
      <c r="C130" s="1" t="s">
        <v>120</v>
      </c>
      <c r="D130" s="1">
        <v>2</v>
      </c>
      <c r="E130" s="1" t="str">
        <f t="shared" ref="E130:E193" si="2">A130&amp;"_"&amp;B130&amp;"_"&amp;C130&amp;D130</f>
        <v>TSM1_9-23_F2</v>
      </c>
      <c r="F130" s="10">
        <v>45199</v>
      </c>
    </row>
    <row r="131" spans="1:8" ht="14.5" hidden="1" x14ac:dyDescent="0.35">
      <c r="A131" s="1" t="s">
        <v>46</v>
      </c>
      <c r="B131" s="2" t="s">
        <v>15</v>
      </c>
      <c r="C131" s="1" t="s">
        <v>120</v>
      </c>
      <c r="D131" s="1">
        <v>2</v>
      </c>
      <c r="E131" s="1" t="str">
        <f t="shared" si="2"/>
        <v>TSM3_9-23_F2</v>
      </c>
      <c r="F131" s="10">
        <v>45199</v>
      </c>
    </row>
    <row r="132" spans="1:8" ht="14.5" hidden="1" x14ac:dyDescent="0.35">
      <c r="A132" s="1" t="s">
        <v>47</v>
      </c>
      <c r="B132" s="2" t="s">
        <v>15</v>
      </c>
      <c r="C132" s="1" t="s">
        <v>120</v>
      </c>
      <c r="D132" s="1">
        <v>2</v>
      </c>
      <c r="E132" s="1" t="str">
        <f t="shared" si="2"/>
        <v>TSM4_9-23_F2</v>
      </c>
      <c r="F132" s="10">
        <v>45199</v>
      </c>
    </row>
    <row r="133" spans="1:8" ht="14.5" hidden="1" x14ac:dyDescent="0.35">
      <c r="A133" s="1" t="s">
        <v>48</v>
      </c>
      <c r="B133" s="2" t="s">
        <v>15</v>
      </c>
      <c r="C133" s="1" t="s">
        <v>120</v>
      </c>
      <c r="D133" s="1">
        <v>2</v>
      </c>
      <c r="E133" s="1" t="str">
        <f t="shared" si="2"/>
        <v>SBT1_9-23_F2</v>
      </c>
      <c r="F133" s="10">
        <v>45199</v>
      </c>
    </row>
    <row r="134" spans="1:8" ht="14.5" hidden="1" x14ac:dyDescent="0.35">
      <c r="A134" s="1" t="s">
        <v>49</v>
      </c>
      <c r="B134" s="2" t="s">
        <v>15</v>
      </c>
      <c r="C134" s="1" t="s">
        <v>119</v>
      </c>
      <c r="D134" s="1">
        <v>1</v>
      </c>
      <c r="E134" s="1" t="str">
        <f t="shared" si="2"/>
        <v>SBT2_9-23_UF1</v>
      </c>
      <c r="F134" s="10">
        <v>45204</v>
      </c>
      <c r="G134" s="10">
        <v>45320</v>
      </c>
      <c r="H134" s="10">
        <v>45352</v>
      </c>
    </row>
    <row r="135" spans="1:8" ht="14.5" hidden="1" x14ac:dyDescent="0.35">
      <c r="A135" s="1" t="s">
        <v>52</v>
      </c>
      <c r="B135" s="2" t="s">
        <v>15</v>
      </c>
      <c r="C135" s="1" t="s">
        <v>119</v>
      </c>
      <c r="D135" s="1">
        <v>1</v>
      </c>
      <c r="E135" s="1" t="str">
        <f t="shared" si="2"/>
        <v>WB1_9-23_UF1</v>
      </c>
      <c r="F135" s="10">
        <v>45204</v>
      </c>
      <c r="G135" s="10">
        <v>45320</v>
      </c>
      <c r="H135" s="10">
        <v>45352</v>
      </c>
    </row>
    <row r="136" spans="1:8" ht="14.5" hidden="1" x14ac:dyDescent="0.35">
      <c r="A136" s="1" t="s">
        <v>53</v>
      </c>
      <c r="B136" s="2" t="s">
        <v>15</v>
      </c>
      <c r="C136" s="1" t="s">
        <v>119</v>
      </c>
      <c r="D136" s="1">
        <v>1</v>
      </c>
      <c r="E136" s="1" t="str">
        <f t="shared" si="2"/>
        <v>WB2_9-23_UF1</v>
      </c>
      <c r="F136" s="10">
        <v>45204</v>
      </c>
      <c r="G136" s="10">
        <v>45320</v>
      </c>
      <c r="H136" s="10">
        <v>45352</v>
      </c>
    </row>
    <row r="137" spans="1:8" ht="14.5" hidden="1" x14ac:dyDescent="0.35">
      <c r="A137" s="1" t="s">
        <v>54</v>
      </c>
      <c r="B137" s="2" t="s">
        <v>15</v>
      </c>
      <c r="C137" s="1" t="s">
        <v>119</v>
      </c>
      <c r="D137" s="1">
        <v>1</v>
      </c>
      <c r="E137" s="1" t="str">
        <f t="shared" si="2"/>
        <v>TKB_9-23_UF1</v>
      </c>
      <c r="F137" s="10">
        <v>45204</v>
      </c>
      <c r="G137" s="10">
        <v>45320</v>
      </c>
      <c r="H137" s="10">
        <v>45352</v>
      </c>
    </row>
    <row r="138" spans="1:8" ht="14.5" hidden="1" x14ac:dyDescent="0.35">
      <c r="A138" s="1" t="s">
        <v>55</v>
      </c>
      <c r="B138" s="2" t="s">
        <v>15</v>
      </c>
      <c r="C138" s="1" t="s">
        <v>119</v>
      </c>
      <c r="D138" s="1">
        <v>1</v>
      </c>
      <c r="E138" s="1" t="str">
        <f t="shared" si="2"/>
        <v>JB_9-23_UF1</v>
      </c>
      <c r="F138" s="10">
        <v>45204</v>
      </c>
      <c r="G138" s="10">
        <v>45320</v>
      </c>
      <c r="H138" s="10">
        <v>45352</v>
      </c>
    </row>
    <row r="139" spans="1:8" ht="14.5" hidden="1" x14ac:dyDescent="0.35">
      <c r="A139" s="1" t="s">
        <v>56</v>
      </c>
      <c r="B139" s="2" t="s">
        <v>15</v>
      </c>
      <c r="C139" s="1" t="s">
        <v>119</v>
      </c>
      <c r="D139" s="1">
        <v>1</v>
      </c>
      <c r="E139" s="1" t="str">
        <f t="shared" si="2"/>
        <v>CC_9-23_UF1</v>
      </c>
      <c r="F139" s="10">
        <v>45204</v>
      </c>
      <c r="G139" s="10">
        <v>45320</v>
      </c>
      <c r="H139" s="10">
        <v>45352</v>
      </c>
    </row>
    <row r="140" spans="1:8" ht="14.5" hidden="1" x14ac:dyDescent="0.35">
      <c r="A140" s="1" t="s">
        <v>49</v>
      </c>
      <c r="B140" s="2" t="s">
        <v>15</v>
      </c>
      <c r="C140" s="1" t="s">
        <v>120</v>
      </c>
      <c r="D140" s="1">
        <v>1</v>
      </c>
      <c r="E140" s="1" t="str">
        <f t="shared" si="2"/>
        <v>SBT2_9-23_F1</v>
      </c>
      <c r="F140" s="10">
        <v>45204</v>
      </c>
      <c r="G140" s="10">
        <v>45320</v>
      </c>
      <c r="H140" s="10">
        <v>45352</v>
      </c>
    </row>
    <row r="141" spans="1:8" ht="14.5" hidden="1" x14ac:dyDescent="0.35">
      <c r="A141" s="1" t="s">
        <v>52</v>
      </c>
      <c r="B141" s="2" t="s">
        <v>15</v>
      </c>
      <c r="C141" s="1" t="s">
        <v>120</v>
      </c>
      <c r="D141" s="1">
        <v>1</v>
      </c>
      <c r="E141" s="1" t="str">
        <f t="shared" si="2"/>
        <v>WB1_9-23_F1</v>
      </c>
      <c r="F141" s="10">
        <v>45204</v>
      </c>
      <c r="G141" s="10">
        <v>45320</v>
      </c>
      <c r="H141" s="10">
        <v>45352</v>
      </c>
    </row>
    <row r="142" spans="1:8" ht="14.5" hidden="1" x14ac:dyDescent="0.35">
      <c r="A142" s="1" t="s">
        <v>53</v>
      </c>
      <c r="B142" s="2" t="s">
        <v>15</v>
      </c>
      <c r="C142" s="1" t="s">
        <v>120</v>
      </c>
      <c r="D142" s="1">
        <v>1</v>
      </c>
      <c r="E142" s="1" t="str">
        <f t="shared" si="2"/>
        <v>WB2_9-23_F1</v>
      </c>
      <c r="F142" s="10">
        <v>45204</v>
      </c>
      <c r="G142" s="10">
        <v>45320</v>
      </c>
      <c r="H142" s="10">
        <v>45352</v>
      </c>
    </row>
    <row r="143" spans="1:8" ht="14.5" hidden="1" x14ac:dyDescent="0.35">
      <c r="A143" s="1" t="s">
        <v>54</v>
      </c>
      <c r="B143" s="2" t="s">
        <v>15</v>
      </c>
      <c r="C143" s="1" t="s">
        <v>120</v>
      </c>
      <c r="D143" s="1">
        <v>1</v>
      </c>
      <c r="E143" s="1" t="str">
        <f t="shared" si="2"/>
        <v>TKB_9-23_F1</v>
      </c>
      <c r="F143" s="10">
        <v>45204</v>
      </c>
      <c r="G143" s="10">
        <v>45320</v>
      </c>
      <c r="H143" s="10">
        <v>45352</v>
      </c>
    </row>
    <row r="144" spans="1:8" ht="14.5" hidden="1" x14ac:dyDescent="0.35">
      <c r="A144" s="1" t="s">
        <v>55</v>
      </c>
      <c r="B144" s="2" t="s">
        <v>15</v>
      </c>
      <c r="C144" s="1" t="s">
        <v>120</v>
      </c>
      <c r="D144" s="1">
        <v>1</v>
      </c>
      <c r="E144" s="1" t="str">
        <f t="shared" si="2"/>
        <v>JB_9-23_F1</v>
      </c>
      <c r="F144" s="10">
        <v>45204</v>
      </c>
      <c r="G144" s="10">
        <v>45320</v>
      </c>
      <c r="H144" s="10">
        <v>45352</v>
      </c>
    </row>
    <row r="145" spans="1:8" ht="14.5" hidden="1" x14ac:dyDescent="0.35">
      <c r="A145" s="1" t="s">
        <v>56</v>
      </c>
      <c r="B145" s="2" t="s">
        <v>15</v>
      </c>
      <c r="C145" s="1" t="s">
        <v>120</v>
      </c>
      <c r="D145" s="1">
        <v>1</v>
      </c>
      <c r="E145" s="1" t="str">
        <f t="shared" si="2"/>
        <v>CC_9-23_F1</v>
      </c>
      <c r="F145" s="10">
        <v>45204</v>
      </c>
      <c r="G145" s="10">
        <v>45320</v>
      </c>
      <c r="H145" s="10">
        <v>45352</v>
      </c>
    </row>
    <row r="146" spans="1:8" ht="14.5" hidden="1" x14ac:dyDescent="0.35">
      <c r="A146" s="1" t="s">
        <v>49</v>
      </c>
      <c r="B146" s="2" t="s">
        <v>15</v>
      </c>
      <c r="C146" s="1" t="s">
        <v>119</v>
      </c>
      <c r="D146" s="1">
        <v>2</v>
      </c>
      <c r="E146" s="1" t="str">
        <f t="shared" si="2"/>
        <v>SBT2_9-23_UF2</v>
      </c>
      <c r="F146" s="10">
        <v>45204</v>
      </c>
    </row>
    <row r="147" spans="1:8" ht="14.5" hidden="1" x14ac:dyDescent="0.35">
      <c r="A147" s="1" t="s">
        <v>52</v>
      </c>
      <c r="B147" s="2" t="s">
        <v>15</v>
      </c>
      <c r="C147" s="1" t="s">
        <v>119</v>
      </c>
      <c r="D147" s="1">
        <v>2</v>
      </c>
      <c r="E147" s="1" t="str">
        <f t="shared" si="2"/>
        <v>WB1_9-23_UF2</v>
      </c>
      <c r="F147" s="10">
        <v>45204</v>
      </c>
    </row>
    <row r="148" spans="1:8" ht="14.5" hidden="1" x14ac:dyDescent="0.35">
      <c r="A148" s="1" t="s">
        <v>53</v>
      </c>
      <c r="B148" s="2" t="s">
        <v>15</v>
      </c>
      <c r="C148" s="1" t="s">
        <v>119</v>
      </c>
      <c r="D148" s="1">
        <v>2</v>
      </c>
      <c r="E148" s="1" t="str">
        <f t="shared" si="2"/>
        <v>WB2_9-23_UF2</v>
      </c>
      <c r="F148" s="10">
        <v>45204</v>
      </c>
    </row>
    <row r="149" spans="1:8" ht="14.5" hidden="1" x14ac:dyDescent="0.35">
      <c r="A149" s="1" t="s">
        <v>54</v>
      </c>
      <c r="B149" s="2" t="s">
        <v>15</v>
      </c>
      <c r="C149" s="1" t="s">
        <v>119</v>
      </c>
      <c r="D149" s="1">
        <v>2</v>
      </c>
      <c r="E149" s="1" t="str">
        <f t="shared" si="2"/>
        <v>TKB_9-23_UF2</v>
      </c>
      <c r="F149" s="10">
        <v>45204</v>
      </c>
    </row>
    <row r="150" spans="1:8" ht="14.5" hidden="1" x14ac:dyDescent="0.35">
      <c r="A150" s="1" t="s">
        <v>55</v>
      </c>
      <c r="B150" s="2" t="s">
        <v>15</v>
      </c>
      <c r="C150" s="1" t="s">
        <v>119</v>
      </c>
      <c r="D150" s="1">
        <v>2</v>
      </c>
      <c r="E150" s="1" t="str">
        <f t="shared" si="2"/>
        <v>JB_9-23_UF2</v>
      </c>
      <c r="F150" s="10">
        <v>45204</v>
      </c>
    </row>
    <row r="151" spans="1:8" ht="14.5" hidden="1" x14ac:dyDescent="0.35">
      <c r="A151" s="1" t="s">
        <v>56</v>
      </c>
      <c r="B151" s="2" t="s">
        <v>15</v>
      </c>
      <c r="C151" s="1" t="s">
        <v>119</v>
      </c>
      <c r="D151" s="1">
        <v>2</v>
      </c>
      <c r="E151" s="1" t="str">
        <f t="shared" si="2"/>
        <v>CC_9-23_UF2</v>
      </c>
      <c r="F151" s="10">
        <v>45204</v>
      </c>
    </row>
    <row r="152" spans="1:8" ht="14.5" hidden="1" x14ac:dyDescent="0.35">
      <c r="A152" s="1" t="s">
        <v>49</v>
      </c>
      <c r="B152" s="2" t="s">
        <v>15</v>
      </c>
      <c r="C152" s="1" t="s">
        <v>120</v>
      </c>
      <c r="D152" s="1">
        <v>2</v>
      </c>
      <c r="E152" s="1" t="str">
        <f t="shared" si="2"/>
        <v>SBT2_9-23_F2</v>
      </c>
      <c r="F152" s="10">
        <v>45204</v>
      </c>
    </row>
    <row r="153" spans="1:8" ht="14.5" hidden="1" x14ac:dyDescent="0.35">
      <c r="A153" s="1" t="s">
        <v>52</v>
      </c>
      <c r="B153" s="2" t="s">
        <v>15</v>
      </c>
      <c r="C153" s="1" t="s">
        <v>120</v>
      </c>
      <c r="D153" s="1">
        <v>2</v>
      </c>
      <c r="E153" s="1" t="str">
        <f t="shared" si="2"/>
        <v>WB1_9-23_F2</v>
      </c>
      <c r="F153" s="10">
        <v>45204</v>
      </c>
    </row>
    <row r="154" spans="1:8" ht="14.5" hidden="1" x14ac:dyDescent="0.35">
      <c r="A154" s="1" t="s">
        <v>53</v>
      </c>
      <c r="B154" s="2" t="s">
        <v>15</v>
      </c>
      <c r="C154" s="1" t="s">
        <v>120</v>
      </c>
      <c r="D154" s="1">
        <v>2</v>
      </c>
      <c r="E154" s="1" t="str">
        <f t="shared" si="2"/>
        <v>WB2_9-23_F2</v>
      </c>
      <c r="F154" s="10">
        <v>45204</v>
      </c>
    </row>
    <row r="155" spans="1:8" ht="14.5" hidden="1" x14ac:dyDescent="0.35">
      <c r="A155" s="1" t="s">
        <v>54</v>
      </c>
      <c r="B155" s="2" t="s">
        <v>15</v>
      </c>
      <c r="C155" s="1" t="s">
        <v>120</v>
      </c>
      <c r="D155" s="1">
        <v>2</v>
      </c>
      <c r="E155" s="1" t="str">
        <f t="shared" si="2"/>
        <v>TKB_9-23_F2</v>
      </c>
      <c r="F155" s="10">
        <v>45204</v>
      </c>
    </row>
    <row r="156" spans="1:8" ht="14.5" hidden="1" x14ac:dyDescent="0.35">
      <c r="A156" s="1" t="s">
        <v>55</v>
      </c>
      <c r="B156" s="2" t="s">
        <v>15</v>
      </c>
      <c r="C156" s="1" t="s">
        <v>120</v>
      </c>
      <c r="D156" s="1">
        <v>2</v>
      </c>
      <c r="E156" s="1" t="str">
        <f t="shared" si="2"/>
        <v>JB_9-23_F2</v>
      </c>
      <c r="F156" s="10">
        <v>45204</v>
      </c>
    </row>
    <row r="157" spans="1:8" ht="14.5" hidden="1" x14ac:dyDescent="0.35">
      <c r="A157" s="1" t="s">
        <v>56</v>
      </c>
      <c r="B157" s="2" t="s">
        <v>15</v>
      </c>
      <c r="C157" s="1" t="s">
        <v>120</v>
      </c>
      <c r="D157" s="1">
        <v>2</v>
      </c>
      <c r="E157" s="1" t="str">
        <f t="shared" si="2"/>
        <v>CC_9-23_F2</v>
      </c>
      <c r="F157" s="10">
        <v>45204</v>
      </c>
    </row>
    <row r="158" spans="1:8" ht="14.5" hidden="1" x14ac:dyDescent="0.35">
      <c r="A158" s="1" t="s">
        <v>46</v>
      </c>
      <c r="B158" s="2" t="s">
        <v>110</v>
      </c>
      <c r="C158" s="1" t="s">
        <v>119</v>
      </c>
      <c r="D158" s="1">
        <v>1</v>
      </c>
      <c r="E158" s="1" t="str">
        <f t="shared" si="2"/>
        <v>TSM3_1123E_UF1</v>
      </c>
      <c r="F158" s="10">
        <v>45258</v>
      </c>
      <c r="G158" s="10">
        <v>45320</v>
      </c>
      <c r="H158" s="10">
        <v>45352</v>
      </c>
    </row>
    <row r="159" spans="1:8" ht="14.5" hidden="1" x14ac:dyDescent="0.35">
      <c r="A159" s="1" t="s">
        <v>47</v>
      </c>
      <c r="B159" s="2" t="s">
        <v>110</v>
      </c>
      <c r="C159" s="1" t="s">
        <v>119</v>
      </c>
      <c r="D159" s="1">
        <v>1</v>
      </c>
      <c r="E159" s="1" t="str">
        <f t="shared" si="2"/>
        <v>TSM4_1123E_UF1</v>
      </c>
      <c r="F159" s="10">
        <v>45258</v>
      </c>
      <c r="G159" s="10">
        <v>45320</v>
      </c>
      <c r="H159" s="10">
        <v>45352</v>
      </c>
    </row>
    <row r="160" spans="1:8" ht="14.5" hidden="1" x14ac:dyDescent="0.35">
      <c r="A160" s="1" t="s">
        <v>48</v>
      </c>
      <c r="B160" s="2" t="s">
        <v>110</v>
      </c>
      <c r="C160" s="1" t="s">
        <v>119</v>
      </c>
      <c r="D160" s="1">
        <v>1</v>
      </c>
      <c r="E160" s="1" t="str">
        <f t="shared" si="2"/>
        <v>SBT1_1123E_UF1</v>
      </c>
      <c r="F160" s="10">
        <v>45258</v>
      </c>
      <c r="G160" s="10">
        <v>45320</v>
      </c>
      <c r="H160" s="10">
        <v>45352</v>
      </c>
    </row>
    <row r="161" spans="1:8" ht="14.5" hidden="1" x14ac:dyDescent="0.35">
      <c r="A161" s="1" t="s">
        <v>24</v>
      </c>
      <c r="B161" s="2" t="s">
        <v>110</v>
      </c>
      <c r="C161" s="1" t="s">
        <v>119</v>
      </c>
      <c r="D161" s="1">
        <v>1</v>
      </c>
      <c r="E161" s="1" t="str">
        <f t="shared" si="2"/>
        <v>ACS1_1123E_UF1</v>
      </c>
      <c r="F161" s="10">
        <v>45258</v>
      </c>
      <c r="G161" s="10">
        <v>45320</v>
      </c>
      <c r="H161" s="10">
        <v>45352</v>
      </c>
    </row>
    <row r="162" spans="1:8" ht="15" hidden="1" customHeight="1" x14ac:dyDescent="0.35">
      <c r="A162" s="1" t="s">
        <v>30</v>
      </c>
      <c r="B162" s="2" t="s">
        <v>110</v>
      </c>
      <c r="C162" s="1" t="s">
        <v>119</v>
      </c>
      <c r="D162" s="1">
        <v>1</v>
      </c>
      <c r="E162" s="1" t="str">
        <f t="shared" si="2"/>
        <v>DC1_1123E_UF1</v>
      </c>
      <c r="F162" s="10">
        <v>45258</v>
      </c>
      <c r="G162" s="10">
        <v>45320</v>
      </c>
      <c r="H162" s="10">
        <v>45352</v>
      </c>
    </row>
    <row r="163" spans="1:8" ht="15" hidden="1" customHeight="1" x14ac:dyDescent="0.35">
      <c r="A163" s="1" t="s">
        <v>31</v>
      </c>
      <c r="B163" s="2" t="s">
        <v>110</v>
      </c>
      <c r="C163" s="1" t="s">
        <v>119</v>
      </c>
      <c r="D163" s="1">
        <v>1</v>
      </c>
      <c r="E163" s="1" t="str">
        <f t="shared" si="2"/>
        <v>DCM1_1123E_UF1</v>
      </c>
      <c r="F163" s="10">
        <v>45258</v>
      </c>
      <c r="G163" s="10">
        <v>45320</v>
      </c>
      <c r="H163" s="10">
        <v>45352</v>
      </c>
    </row>
    <row r="164" spans="1:8" ht="15" hidden="1" customHeight="1" x14ac:dyDescent="0.35">
      <c r="A164" s="1" t="s">
        <v>34</v>
      </c>
      <c r="B164" s="2" t="s">
        <v>110</v>
      </c>
      <c r="C164" s="1" t="s">
        <v>119</v>
      </c>
      <c r="D164" s="1">
        <v>1</v>
      </c>
      <c r="E164" s="1" t="str">
        <f t="shared" si="2"/>
        <v>GB1_1123E_UF1</v>
      </c>
      <c r="F164" s="10">
        <v>45258</v>
      </c>
      <c r="G164" s="10">
        <v>45320</v>
      </c>
      <c r="H164" s="10">
        <v>45352</v>
      </c>
    </row>
    <row r="165" spans="1:8" ht="15" hidden="1" customHeight="1" x14ac:dyDescent="0.35">
      <c r="A165" s="1" t="s">
        <v>46</v>
      </c>
      <c r="B165" s="2" t="s">
        <v>110</v>
      </c>
      <c r="C165" s="1" t="s">
        <v>120</v>
      </c>
      <c r="D165" s="1">
        <v>1</v>
      </c>
      <c r="E165" s="1" t="str">
        <f t="shared" si="2"/>
        <v>TSM3_1123E_F1</v>
      </c>
      <c r="F165" s="10">
        <v>45258</v>
      </c>
      <c r="G165" s="10">
        <v>45320</v>
      </c>
      <c r="H165" s="10">
        <v>45352</v>
      </c>
    </row>
    <row r="166" spans="1:8" ht="15" hidden="1" customHeight="1" x14ac:dyDescent="0.35">
      <c r="A166" s="1" t="s">
        <v>47</v>
      </c>
      <c r="B166" s="2" t="s">
        <v>110</v>
      </c>
      <c r="C166" s="1" t="s">
        <v>120</v>
      </c>
      <c r="D166" s="1">
        <v>1</v>
      </c>
      <c r="E166" s="1" t="str">
        <f t="shared" si="2"/>
        <v>TSM4_1123E_F1</v>
      </c>
      <c r="F166" s="10">
        <v>45258</v>
      </c>
      <c r="G166" s="10">
        <v>45320</v>
      </c>
      <c r="H166" s="10">
        <v>45352</v>
      </c>
    </row>
    <row r="167" spans="1:8" ht="15" hidden="1" customHeight="1" x14ac:dyDescent="0.35">
      <c r="A167" s="1" t="s">
        <v>48</v>
      </c>
      <c r="B167" s="2" t="s">
        <v>110</v>
      </c>
      <c r="C167" s="1" t="s">
        <v>120</v>
      </c>
      <c r="D167" s="1">
        <v>1</v>
      </c>
      <c r="E167" s="1" t="str">
        <f t="shared" si="2"/>
        <v>SBT1_1123E_F1</v>
      </c>
      <c r="F167" s="10">
        <v>45258</v>
      </c>
      <c r="G167" s="10">
        <v>45320</v>
      </c>
      <c r="H167" s="10">
        <v>45352</v>
      </c>
    </row>
    <row r="168" spans="1:8" ht="15" hidden="1" customHeight="1" x14ac:dyDescent="0.35">
      <c r="A168" s="1" t="s">
        <v>24</v>
      </c>
      <c r="B168" s="2" t="s">
        <v>110</v>
      </c>
      <c r="C168" s="1" t="s">
        <v>120</v>
      </c>
      <c r="D168" s="1">
        <v>1</v>
      </c>
      <c r="E168" s="1" t="str">
        <f t="shared" si="2"/>
        <v>ACS1_1123E_F1</v>
      </c>
      <c r="F168" s="10">
        <v>45258</v>
      </c>
      <c r="G168" s="10">
        <v>45320</v>
      </c>
      <c r="H168" s="10">
        <v>45352</v>
      </c>
    </row>
    <row r="169" spans="1:8" ht="15" hidden="1" customHeight="1" x14ac:dyDescent="0.35">
      <c r="A169" s="1" t="s">
        <v>30</v>
      </c>
      <c r="B169" s="2" t="s">
        <v>110</v>
      </c>
      <c r="C169" s="1" t="s">
        <v>120</v>
      </c>
      <c r="D169" s="1">
        <v>1</v>
      </c>
      <c r="E169" s="1" t="str">
        <f t="shared" si="2"/>
        <v>DC1_1123E_F1</v>
      </c>
      <c r="F169" s="10">
        <v>45258</v>
      </c>
      <c r="G169" s="10"/>
    </row>
    <row r="170" spans="1:8" ht="15" hidden="1" customHeight="1" x14ac:dyDescent="0.35">
      <c r="A170" s="1" t="s">
        <v>31</v>
      </c>
      <c r="B170" s="2" t="s">
        <v>110</v>
      </c>
      <c r="C170" s="1" t="s">
        <v>120</v>
      </c>
      <c r="D170" s="1">
        <v>1</v>
      </c>
      <c r="E170" s="1" t="str">
        <f t="shared" si="2"/>
        <v>DCM1_1123E_F1</v>
      </c>
      <c r="F170" s="10">
        <v>45258</v>
      </c>
      <c r="G170" s="10">
        <v>45320</v>
      </c>
      <c r="H170" s="10">
        <v>45352</v>
      </c>
    </row>
    <row r="171" spans="1:8" ht="15" hidden="1" customHeight="1" x14ac:dyDescent="0.35">
      <c r="A171" s="1" t="s">
        <v>34</v>
      </c>
      <c r="B171" s="2" t="s">
        <v>110</v>
      </c>
      <c r="C171" s="1" t="s">
        <v>120</v>
      </c>
      <c r="D171" s="1">
        <v>1</v>
      </c>
      <c r="E171" s="1" t="str">
        <f t="shared" si="2"/>
        <v>GB1_1123E_F1</v>
      </c>
      <c r="F171" s="10">
        <v>45258</v>
      </c>
      <c r="G171" s="10">
        <v>45320</v>
      </c>
      <c r="H171" s="10">
        <v>45352</v>
      </c>
    </row>
    <row r="172" spans="1:8" ht="15" hidden="1" customHeight="1" x14ac:dyDescent="0.35">
      <c r="A172" s="1" t="s">
        <v>46</v>
      </c>
      <c r="B172" s="2" t="s">
        <v>110</v>
      </c>
      <c r="C172" s="1" t="s">
        <v>119</v>
      </c>
      <c r="D172" s="1">
        <v>2</v>
      </c>
      <c r="E172" s="1" t="str">
        <f t="shared" si="2"/>
        <v>TSM3_1123E_UF2</v>
      </c>
      <c r="F172" s="10">
        <v>45258</v>
      </c>
    </row>
    <row r="173" spans="1:8" ht="15" hidden="1" customHeight="1" x14ac:dyDescent="0.35">
      <c r="A173" s="1" t="s">
        <v>47</v>
      </c>
      <c r="B173" s="2" t="s">
        <v>110</v>
      </c>
      <c r="C173" s="1" t="s">
        <v>119</v>
      </c>
      <c r="D173" s="1">
        <v>2</v>
      </c>
      <c r="E173" s="1" t="str">
        <f t="shared" si="2"/>
        <v>TSM4_1123E_UF2</v>
      </c>
      <c r="F173" s="10">
        <v>45258</v>
      </c>
    </row>
    <row r="174" spans="1:8" ht="15" hidden="1" customHeight="1" x14ac:dyDescent="0.35">
      <c r="A174" s="1" t="s">
        <v>48</v>
      </c>
      <c r="B174" s="2" t="s">
        <v>110</v>
      </c>
      <c r="C174" s="1" t="s">
        <v>119</v>
      </c>
      <c r="D174" s="1">
        <v>2</v>
      </c>
      <c r="E174" s="1" t="str">
        <f t="shared" si="2"/>
        <v>SBT1_1123E_UF2</v>
      </c>
      <c r="F174" s="10">
        <v>45258</v>
      </c>
    </row>
    <row r="175" spans="1:8" ht="15" hidden="1" customHeight="1" x14ac:dyDescent="0.35">
      <c r="A175" s="1" t="s">
        <v>24</v>
      </c>
      <c r="B175" s="2" t="s">
        <v>110</v>
      </c>
      <c r="C175" s="1" t="s">
        <v>119</v>
      </c>
      <c r="D175" s="1">
        <v>2</v>
      </c>
      <c r="E175" s="1" t="str">
        <f t="shared" si="2"/>
        <v>ACS1_1123E_UF2</v>
      </c>
      <c r="F175" s="10">
        <v>45258</v>
      </c>
    </row>
    <row r="176" spans="1:8" ht="15" hidden="1" customHeight="1" x14ac:dyDescent="0.35">
      <c r="A176" s="1" t="s">
        <v>30</v>
      </c>
      <c r="B176" s="2" t="s">
        <v>110</v>
      </c>
      <c r="C176" s="1" t="s">
        <v>119</v>
      </c>
      <c r="D176" s="1">
        <v>2</v>
      </c>
      <c r="E176" s="1" t="str">
        <f t="shared" si="2"/>
        <v>DC1_1123E_UF2</v>
      </c>
      <c r="F176" s="10">
        <v>45258</v>
      </c>
    </row>
    <row r="177" spans="1:8" ht="15" hidden="1" customHeight="1" x14ac:dyDescent="0.35">
      <c r="A177" s="1" t="s">
        <v>31</v>
      </c>
      <c r="B177" s="2" t="s">
        <v>110</v>
      </c>
      <c r="C177" s="1" t="s">
        <v>119</v>
      </c>
      <c r="D177" s="1">
        <v>2</v>
      </c>
      <c r="E177" s="1" t="str">
        <f t="shared" si="2"/>
        <v>DCM1_1123E_UF2</v>
      </c>
      <c r="F177" s="10">
        <v>45258</v>
      </c>
    </row>
    <row r="178" spans="1:8" ht="15" hidden="1" customHeight="1" x14ac:dyDescent="0.35">
      <c r="A178" s="1" t="s">
        <v>34</v>
      </c>
      <c r="B178" s="2" t="s">
        <v>110</v>
      </c>
      <c r="C178" s="1" t="s">
        <v>119</v>
      </c>
      <c r="D178" s="1">
        <v>2</v>
      </c>
      <c r="E178" s="1" t="str">
        <f t="shared" si="2"/>
        <v>GB1_1123E_UF2</v>
      </c>
      <c r="F178" s="10">
        <v>45258</v>
      </c>
    </row>
    <row r="179" spans="1:8" ht="15" hidden="1" customHeight="1" x14ac:dyDescent="0.35">
      <c r="A179" s="1" t="s">
        <v>46</v>
      </c>
      <c r="B179" s="2" t="s">
        <v>110</v>
      </c>
      <c r="C179" s="1" t="s">
        <v>120</v>
      </c>
      <c r="D179" s="1">
        <v>2</v>
      </c>
      <c r="E179" s="1" t="str">
        <f t="shared" si="2"/>
        <v>TSM3_1123E_F2</v>
      </c>
      <c r="F179" s="10">
        <v>45258</v>
      </c>
    </row>
    <row r="180" spans="1:8" ht="15" hidden="1" customHeight="1" x14ac:dyDescent="0.35">
      <c r="A180" s="1" t="s">
        <v>47</v>
      </c>
      <c r="B180" s="2" t="s">
        <v>110</v>
      </c>
      <c r="C180" s="1" t="s">
        <v>120</v>
      </c>
      <c r="D180" s="1">
        <v>2</v>
      </c>
      <c r="E180" s="1" t="str">
        <f t="shared" si="2"/>
        <v>TSM4_1123E_F2</v>
      </c>
      <c r="F180" s="10">
        <v>45258</v>
      </c>
    </row>
    <row r="181" spans="1:8" ht="15" hidden="1" customHeight="1" x14ac:dyDescent="0.35">
      <c r="A181" s="1" t="s">
        <v>48</v>
      </c>
      <c r="B181" s="2" t="s">
        <v>110</v>
      </c>
      <c r="C181" s="1" t="s">
        <v>120</v>
      </c>
      <c r="D181" s="1">
        <v>2</v>
      </c>
      <c r="E181" s="1" t="str">
        <f t="shared" si="2"/>
        <v>SBT1_1123E_F2</v>
      </c>
      <c r="F181" s="10">
        <v>45258</v>
      </c>
    </row>
    <row r="182" spans="1:8" ht="15" hidden="1" customHeight="1" x14ac:dyDescent="0.35">
      <c r="A182" s="1" t="s">
        <v>24</v>
      </c>
      <c r="B182" s="2" t="s">
        <v>110</v>
      </c>
      <c r="C182" s="1" t="s">
        <v>120</v>
      </c>
      <c r="D182" s="1">
        <v>2</v>
      </c>
      <c r="E182" s="1" t="str">
        <f t="shared" si="2"/>
        <v>ACS1_1123E_F2</v>
      </c>
      <c r="F182" s="10">
        <v>45258</v>
      </c>
    </row>
    <row r="183" spans="1:8" ht="15" hidden="1" customHeight="1" x14ac:dyDescent="0.35">
      <c r="A183" s="1" t="s">
        <v>30</v>
      </c>
      <c r="B183" s="2" t="s">
        <v>110</v>
      </c>
      <c r="C183" s="1" t="s">
        <v>120</v>
      </c>
      <c r="D183" s="1">
        <v>2</v>
      </c>
      <c r="E183" s="1" t="str">
        <f t="shared" si="2"/>
        <v>DC1_1123E_F2</v>
      </c>
      <c r="F183" s="10">
        <v>45258</v>
      </c>
      <c r="G183" s="10">
        <v>45320</v>
      </c>
      <c r="H183" s="10">
        <v>45352</v>
      </c>
    </row>
    <row r="184" spans="1:8" ht="15" hidden="1" customHeight="1" x14ac:dyDescent="0.35">
      <c r="A184" s="1" t="s">
        <v>31</v>
      </c>
      <c r="B184" s="2" t="s">
        <v>110</v>
      </c>
      <c r="C184" s="1" t="s">
        <v>120</v>
      </c>
      <c r="D184" s="1">
        <v>2</v>
      </c>
      <c r="E184" s="1" t="str">
        <f t="shared" si="2"/>
        <v>DCM1_1123E_F2</v>
      </c>
      <c r="F184" s="10">
        <v>45258</v>
      </c>
    </row>
    <row r="185" spans="1:8" ht="15" hidden="1" customHeight="1" x14ac:dyDescent="0.35">
      <c r="A185" s="1" t="s">
        <v>34</v>
      </c>
      <c r="B185" s="2" t="s">
        <v>110</v>
      </c>
      <c r="C185" s="1" t="s">
        <v>120</v>
      </c>
      <c r="D185" s="1">
        <v>2</v>
      </c>
      <c r="E185" s="1" t="str">
        <f t="shared" si="2"/>
        <v>GB1_1123E_F2</v>
      </c>
      <c r="F185" s="10">
        <v>45258</v>
      </c>
    </row>
    <row r="186" spans="1:8" ht="15" hidden="1" customHeight="1" x14ac:dyDescent="0.35">
      <c r="A186" s="1" t="s">
        <v>14</v>
      </c>
      <c r="B186" s="2" t="s">
        <v>57</v>
      </c>
      <c r="C186" s="1" t="s">
        <v>119</v>
      </c>
      <c r="D186" s="1">
        <v>1</v>
      </c>
      <c r="E186" s="1" t="str">
        <f t="shared" si="2"/>
        <v>P37_11_23_UF1</v>
      </c>
      <c r="F186" s="10">
        <v>45259</v>
      </c>
    </row>
    <row r="187" spans="1:8" ht="15" hidden="1" customHeight="1" x14ac:dyDescent="0.35">
      <c r="A187" s="1" t="s">
        <v>14</v>
      </c>
      <c r="B187" s="2" t="s">
        <v>57</v>
      </c>
      <c r="C187" s="1" t="s">
        <v>120</v>
      </c>
      <c r="D187" s="1">
        <v>1</v>
      </c>
      <c r="E187" s="1" t="str">
        <f t="shared" si="2"/>
        <v>P37_11_23_F1</v>
      </c>
      <c r="F187" s="10">
        <v>45259</v>
      </c>
    </row>
    <row r="188" spans="1:8" ht="15" hidden="1" customHeight="1" x14ac:dyDescent="0.35">
      <c r="A188" s="1" t="s">
        <v>19</v>
      </c>
      <c r="B188" s="2" t="s">
        <v>57</v>
      </c>
      <c r="C188" s="1" t="s">
        <v>119</v>
      </c>
      <c r="D188" s="1">
        <v>1</v>
      </c>
      <c r="E188" s="1" t="str">
        <f t="shared" si="2"/>
        <v>NCL_11_23_UF1</v>
      </c>
      <c r="F188" s="10">
        <v>45259</v>
      </c>
    </row>
    <row r="189" spans="1:8" ht="15" hidden="1" customHeight="1" x14ac:dyDescent="0.35">
      <c r="A189" s="1" t="s">
        <v>19</v>
      </c>
      <c r="B189" s="2" t="s">
        <v>57</v>
      </c>
      <c r="C189" s="1" t="s">
        <v>120</v>
      </c>
      <c r="D189" s="1">
        <v>1</v>
      </c>
      <c r="E189" s="1" t="str">
        <f t="shared" si="2"/>
        <v>NCL_11_23_F1</v>
      </c>
      <c r="F189" s="10">
        <v>45259</v>
      </c>
    </row>
    <row r="190" spans="1:8" ht="15" hidden="1" customHeight="1" x14ac:dyDescent="0.35">
      <c r="A190" s="1" t="s">
        <v>20</v>
      </c>
      <c r="B190" s="2" t="s">
        <v>57</v>
      </c>
      <c r="C190" s="1" t="s">
        <v>119</v>
      </c>
      <c r="D190" s="1">
        <v>1</v>
      </c>
      <c r="E190" s="1" t="str">
        <f t="shared" si="2"/>
        <v>CP_11_23_UF1</v>
      </c>
      <c r="F190" s="10">
        <v>45259</v>
      </c>
    </row>
    <row r="191" spans="1:8" ht="15" hidden="1" customHeight="1" x14ac:dyDescent="0.35">
      <c r="A191" s="1" t="s">
        <v>20</v>
      </c>
      <c r="B191" s="2" t="s">
        <v>57</v>
      </c>
      <c r="C191" s="1" t="s">
        <v>120</v>
      </c>
      <c r="D191" s="1">
        <v>1</v>
      </c>
      <c r="E191" s="1" t="str">
        <f t="shared" si="2"/>
        <v>CP_11_23_F1</v>
      </c>
      <c r="F191" s="10">
        <v>45259</v>
      </c>
    </row>
    <row r="192" spans="1:8" ht="15" hidden="1" customHeight="1" x14ac:dyDescent="0.35">
      <c r="A192" s="1" t="s">
        <v>21</v>
      </c>
      <c r="B192" s="2" t="s">
        <v>57</v>
      </c>
      <c r="C192" s="1" t="s">
        <v>119</v>
      </c>
      <c r="D192" s="1">
        <v>1</v>
      </c>
      <c r="E192" s="1" t="str">
        <f t="shared" si="2"/>
        <v>EP146_11_23_UF1</v>
      </c>
      <c r="F192" s="10">
        <v>45259</v>
      </c>
    </row>
    <row r="193" spans="1:6" ht="15" hidden="1" customHeight="1" x14ac:dyDescent="0.35">
      <c r="A193" s="1" t="s">
        <v>21</v>
      </c>
      <c r="B193" s="2" t="s">
        <v>57</v>
      </c>
      <c r="C193" s="1" t="s">
        <v>120</v>
      </c>
      <c r="D193" s="1">
        <v>1</v>
      </c>
      <c r="E193" s="1" t="str">
        <f t="shared" si="2"/>
        <v>EP146_11_23_F1</v>
      </c>
      <c r="F193" s="10">
        <v>45259</v>
      </c>
    </row>
    <row r="194" spans="1:6" ht="15" hidden="1" customHeight="1" x14ac:dyDescent="0.35">
      <c r="A194" s="1" t="s">
        <v>22</v>
      </c>
      <c r="B194" s="2" t="s">
        <v>57</v>
      </c>
      <c r="C194" s="1" t="s">
        <v>119</v>
      </c>
      <c r="D194" s="1">
        <v>1</v>
      </c>
      <c r="E194" s="1" t="str">
        <f t="shared" ref="E194:E257" si="3">A194&amp;"_"&amp;B194&amp;"_"&amp;C194&amp;D194</f>
        <v>OL_11_23_UF1</v>
      </c>
      <c r="F194" s="10">
        <v>45259</v>
      </c>
    </row>
    <row r="195" spans="1:6" ht="15" hidden="1" customHeight="1" x14ac:dyDescent="0.35">
      <c r="A195" s="1" t="s">
        <v>22</v>
      </c>
      <c r="B195" s="2" t="s">
        <v>57</v>
      </c>
      <c r="C195" s="1" t="s">
        <v>120</v>
      </c>
      <c r="D195" s="1">
        <v>1</v>
      </c>
      <c r="E195" s="1" t="str">
        <f t="shared" si="3"/>
        <v>OL_11_23_F1</v>
      </c>
      <c r="F195" s="10">
        <v>45259</v>
      </c>
    </row>
    <row r="196" spans="1:6" ht="15" hidden="1" customHeight="1" x14ac:dyDescent="0.35">
      <c r="A196" s="1" t="s">
        <v>58</v>
      </c>
      <c r="B196" s="2" t="s">
        <v>57</v>
      </c>
      <c r="C196" s="1" t="s">
        <v>119</v>
      </c>
      <c r="D196" s="1">
        <v>1</v>
      </c>
      <c r="E196" s="1" t="str">
        <f t="shared" si="3"/>
        <v>TSH_11_23_UF1</v>
      </c>
      <c r="F196" s="10">
        <v>45259</v>
      </c>
    </row>
    <row r="197" spans="1:6" ht="15" hidden="1" customHeight="1" x14ac:dyDescent="0.35">
      <c r="A197" s="1" t="s">
        <v>58</v>
      </c>
      <c r="B197" s="2" t="s">
        <v>57</v>
      </c>
      <c r="C197" s="1" t="s">
        <v>120</v>
      </c>
      <c r="D197" s="1">
        <v>1</v>
      </c>
      <c r="E197" s="1" t="str">
        <f t="shared" si="3"/>
        <v>TSH_11_23_F1</v>
      </c>
      <c r="F197" s="10">
        <v>45259</v>
      </c>
    </row>
    <row r="198" spans="1:6" ht="15" hidden="1" customHeight="1" x14ac:dyDescent="0.35">
      <c r="A198" s="1" t="s">
        <v>23</v>
      </c>
      <c r="B198" s="2" t="s">
        <v>57</v>
      </c>
      <c r="C198" s="1" t="s">
        <v>119</v>
      </c>
      <c r="D198" s="1">
        <v>1</v>
      </c>
      <c r="E198" s="1" t="str">
        <f t="shared" si="3"/>
        <v>R127_11_23_UF1</v>
      </c>
      <c r="F198" s="10">
        <v>45259</v>
      </c>
    </row>
    <row r="199" spans="1:6" ht="15" hidden="1" customHeight="1" x14ac:dyDescent="0.35">
      <c r="A199" s="1" t="s">
        <v>23</v>
      </c>
      <c r="B199" s="2" t="s">
        <v>57</v>
      </c>
      <c r="C199" s="1" t="s">
        <v>120</v>
      </c>
      <c r="D199" s="1">
        <v>1</v>
      </c>
      <c r="E199" s="1" t="str">
        <f t="shared" si="3"/>
        <v>R127_11_23_F1</v>
      </c>
      <c r="F199" s="10">
        <v>45259</v>
      </c>
    </row>
    <row r="200" spans="1:6" ht="15" hidden="1" customHeight="1" x14ac:dyDescent="0.35">
      <c r="A200" s="1" t="s">
        <v>14</v>
      </c>
      <c r="B200" s="2" t="s">
        <v>57</v>
      </c>
      <c r="C200" s="1" t="s">
        <v>119</v>
      </c>
      <c r="D200" s="1">
        <v>2</v>
      </c>
      <c r="E200" s="1" t="str">
        <f t="shared" si="3"/>
        <v>P37_11_23_UF2</v>
      </c>
      <c r="F200" s="10">
        <v>45259</v>
      </c>
    </row>
    <row r="201" spans="1:6" ht="15" hidden="1" customHeight="1" x14ac:dyDescent="0.35">
      <c r="A201" s="1" t="s">
        <v>14</v>
      </c>
      <c r="B201" s="2" t="s">
        <v>57</v>
      </c>
      <c r="C201" s="1" t="s">
        <v>120</v>
      </c>
      <c r="D201" s="1">
        <v>2</v>
      </c>
      <c r="E201" s="1" t="str">
        <f t="shared" si="3"/>
        <v>P37_11_23_F2</v>
      </c>
      <c r="F201" s="10">
        <v>45259</v>
      </c>
    </row>
    <row r="202" spans="1:6" ht="15" hidden="1" customHeight="1" x14ac:dyDescent="0.35">
      <c r="A202" s="1" t="s">
        <v>19</v>
      </c>
      <c r="B202" s="2" t="s">
        <v>57</v>
      </c>
      <c r="C202" s="1" t="s">
        <v>119</v>
      </c>
      <c r="D202" s="1">
        <v>2</v>
      </c>
      <c r="E202" s="1" t="str">
        <f t="shared" si="3"/>
        <v>NCL_11_23_UF2</v>
      </c>
      <c r="F202" s="10">
        <v>45259</v>
      </c>
    </row>
    <row r="203" spans="1:6" ht="15" hidden="1" customHeight="1" x14ac:dyDescent="0.35">
      <c r="A203" s="1" t="s">
        <v>19</v>
      </c>
      <c r="B203" s="2" t="s">
        <v>57</v>
      </c>
      <c r="C203" s="1" t="s">
        <v>120</v>
      </c>
      <c r="D203" s="1">
        <v>2</v>
      </c>
      <c r="E203" s="1" t="str">
        <f t="shared" si="3"/>
        <v>NCL_11_23_F2</v>
      </c>
      <c r="F203" s="10">
        <v>45259</v>
      </c>
    </row>
    <row r="204" spans="1:6" ht="15" hidden="1" customHeight="1" x14ac:dyDescent="0.35">
      <c r="A204" s="1" t="s">
        <v>20</v>
      </c>
      <c r="B204" s="2" t="s">
        <v>57</v>
      </c>
      <c r="C204" s="1" t="s">
        <v>119</v>
      </c>
      <c r="D204" s="1">
        <v>2</v>
      </c>
      <c r="E204" s="1" t="str">
        <f t="shared" si="3"/>
        <v>CP_11_23_UF2</v>
      </c>
      <c r="F204" s="10">
        <v>45259</v>
      </c>
    </row>
    <row r="205" spans="1:6" ht="15" hidden="1" customHeight="1" x14ac:dyDescent="0.35">
      <c r="A205" s="1" t="s">
        <v>20</v>
      </c>
      <c r="B205" s="2" t="s">
        <v>57</v>
      </c>
      <c r="C205" s="1" t="s">
        <v>120</v>
      </c>
      <c r="D205" s="1">
        <v>2</v>
      </c>
      <c r="E205" s="1" t="str">
        <f t="shared" si="3"/>
        <v>CP_11_23_F2</v>
      </c>
      <c r="F205" s="10">
        <v>45259</v>
      </c>
    </row>
    <row r="206" spans="1:6" ht="15" hidden="1" customHeight="1" x14ac:dyDescent="0.35">
      <c r="A206" s="1" t="s">
        <v>21</v>
      </c>
      <c r="B206" s="2" t="s">
        <v>57</v>
      </c>
      <c r="C206" s="1" t="s">
        <v>119</v>
      </c>
      <c r="D206" s="1">
        <v>2</v>
      </c>
      <c r="E206" s="1" t="str">
        <f t="shared" si="3"/>
        <v>EP146_11_23_UF2</v>
      </c>
      <c r="F206" s="10">
        <v>45259</v>
      </c>
    </row>
    <row r="207" spans="1:6" ht="15" hidden="1" customHeight="1" x14ac:dyDescent="0.35">
      <c r="A207" s="1" t="s">
        <v>21</v>
      </c>
      <c r="B207" s="2" t="s">
        <v>57</v>
      </c>
      <c r="C207" s="1" t="s">
        <v>120</v>
      </c>
      <c r="D207" s="1">
        <v>2</v>
      </c>
      <c r="E207" s="1" t="str">
        <f t="shared" si="3"/>
        <v>EP146_11_23_F2</v>
      </c>
      <c r="F207" s="10">
        <v>45259</v>
      </c>
    </row>
    <row r="208" spans="1:6" ht="15" hidden="1" customHeight="1" x14ac:dyDescent="0.35">
      <c r="A208" s="1" t="s">
        <v>22</v>
      </c>
      <c r="B208" s="2" t="s">
        <v>57</v>
      </c>
      <c r="C208" s="1" t="s">
        <v>119</v>
      </c>
      <c r="D208" s="1">
        <v>2</v>
      </c>
      <c r="E208" s="1" t="str">
        <f t="shared" si="3"/>
        <v>OL_11_23_UF2</v>
      </c>
      <c r="F208" s="10">
        <v>45259</v>
      </c>
    </row>
    <row r="209" spans="1:8" ht="15" hidden="1" customHeight="1" x14ac:dyDescent="0.35">
      <c r="A209" s="1" t="s">
        <v>22</v>
      </c>
      <c r="B209" s="2" t="s">
        <v>57</v>
      </c>
      <c r="C209" s="1" t="s">
        <v>120</v>
      </c>
      <c r="D209" s="1">
        <v>2</v>
      </c>
      <c r="E209" s="1" t="str">
        <f t="shared" si="3"/>
        <v>OL_11_23_F2</v>
      </c>
      <c r="F209" s="10">
        <v>45259</v>
      </c>
    </row>
    <row r="210" spans="1:8" ht="15" hidden="1" customHeight="1" x14ac:dyDescent="0.35">
      <c r="A210" s="1" t="s">
        <v>58</v>
      </c>
      <c r="B210" s="2" t="s">
        <v>57</v>
      </c>
      <c r="C210" s="1" t="s">
        <v>119</v>
      </c>
      <c r="D210" s="1">
        <v>2</v>
      </c>
      <c r="E210" s="1" t="str">
        <f t="shared" si="3"/>
        <v>TSH_11_23_UF2</v>
      </c>
      <c r="F210" s="10">
        <v>45259</v>
      </c>
    </row>
    <row r="211" spans="1:8" ht="15" hidden="1" customHeight="1" x14ac:dyDescent="0.35">
      <c r="A211" s="1" t="s">
        <v>58</v>
      </c>
      <c r="B211" s="2" t="s">
        <v>57</v>
      </c>
      <c r="C211" s="1" t="s">
        <v>120</v>
      </c>
      <c r="D211" s="1">
        <v>2</v>
      </c>
      <c r="E211" s="1" t="str">
        <f t="shared" si="3"/>
        <v>TSH_11_23_F2</v>
      </c>
      <c r="F211" s="10">
        <v>45259</v>
      </c>
    </row>
    <row r="212" spans="1:8" ht="15" hidden="1" customHeight="1" x14ac:dyDescent="0.35">
      <c r="A212" s="1" t="s">
        <v>23</v>
      </c>
      <c r="B212" s="2" t="s">
        <v>57</v>
      </c>
      <c r="C212" s="1" t="s">
        <v>119</v>
      </c>
      <c r="D212" s="1">
        <v>2</v>
      </c>
      <c r="E212" s="1" t="str">
        <f t="shared" si="3"/>
        <v>R127_11_23_UF2</v>
      </c>
      <c r="F212" s="10">
        <v>45259</v>
      </c>
    </row>
    <row r="213" spans="1:8" ht="15" hidden="1" customHeight="1" x14ac:dyDescent="0.35">
      <c r="A213" s="1" t="s">
        <v>23</v>
      </c>
      <c r="B213" s="2" t="s">
        <v>57</v>
      </c>
      <c r="C213" s="1" t="s">
        <v>120</v>
      </c>
      <c r="D213" s="1">
        <v>2</v>
      </c>
      <c r="E213" s="1" t="str">
        <f t="shared" si="3"/>
        <v>R127_11_23_F2</v>
      </c>
      <c r="F213" s="10">
        <v>45259</v>
      </c>
    </row>
    <row r="214" spans="1:8" ht="15" hidden="1" customHeight="1" x14ac:dyDescent="0.35">
      <c r="A214" s="1" t="s">
        <v>49</v>
      </c>
      <c r="B214" s="2" t="s">
        <v>110</v>
      </c>
      <c r="C214" s="1" t="s">
        <v>119</v>
      </c>
      <c r="D214" s="1">
        <v>1</v>
      </c>
      <c r="E214" s="1" t="str">
        <f t="shared" si="3"/>
        <v>SBT2_1123E_UF1</v>
      </c>
      <c r="F214" s="10">
        <v>45260</v>
      </c>
      <c r="G214" s="10">
        <v>45320</v>
      </c>
      <c r="H214" s="10">
        <v>45352</v>
      </c>
    </row>
    <row r="215" spans="1:8" ht="15" hidden="1" customHeight="1" x14ac:dyDescent="0.35">
      <c r="A215" s="1" t="s">
        <v>35</v>
      </c>
      <c r="B215" s="2" t="s">
        <v>110</v>
      </c>
      <c r="C215" s="1" t="s">
        <v>119</v>
      </c>
      <c r="D215" s="1">
        <v>1</v>
      </c>
      <c r="E215" s="1" t="str">
        <f t="shared" si="3"/>
        <v>MCS1_1123E_UF1</v>
      </c>
      <c r="F215" s="10">
        <v>45260</v>
      </c>
      <c r="G215" s="10">
        <v>45320</v>
      </c>
      <c r="H215" s="10">
        <v>45352</v>
      </c>
    </row>
    <row r="216" spans="1:8" ht="15" hidden="1" customHeight="1" x14ac:dyDescent="0.35">
      <c r="A216" s="1" t="s">
        <v>41</v>
      </c>
      <c r="B216" s="2" t="s">
        <v>110</v>
      </c>
      <c r="C216" s="1" t="s">
        <v>119</v>
      </c>
      <c r="D216" s="1">
        <v>1</v>
      </c>
      <c r="E216" s="1" t="str">
        <f t="shared" si="3"/>
        <v>TB1_1123E_UF1</v>
      </c>
      <c r="F216" s="10">
        <v>45260</v>
      </c>
      <c r="G216" s="10">
        <v>45320</v>
      </c>
      <c r="H216" s="10">
        <v>45352</v>
      </c>
    </row>
    <row r="217" spans="1:8" ht="15" hidden="1" customHeight="1" x14ac:dyDescent="0.35">
      <c r="A217" s="1" t="s">
        <v>42</v>
      </c>
      <c r="B217" s="2" t="s">
        <v>110</v>
      </c>
      <c r="C217" s="1" t="s">
        <v>119</v>
      </c>
      <c r="D217" s="1">
        <v>1</v>
      </c>
      <c r="E217" s="1" t="str">
        <f t="shared" si="3"/>
        <v>TB2_1123E_UF1</v>
      </c>
      <c r="F217" s="10">
        <v>45260</v>
      </c>
      <c r="G217" s="10">
        <v>45320</v>
      </c>
      <c r="H217" s="10">
        <v>45352</v>
      </c>
    </row>
    <row r="218" spans="1:8" ht="15" hidden="1" customHeight="1" x14ac:dyDescent="0.35">
      <c r="A218" s="1" t="s">
        <v>43</v>
      </c>
      <c r="B218" s="2" t="s">
        <v>110</v>
      </c>
      <c r="C218" s="1" t="s">
        <v>119</v>
      </c>
      <c r="D218" s="1">
        <v>1</v>
      </c>
      <c r="E218" s="1" t="str">
        <f t="shared" si="3"/>
        <v>GB2_1123E_UF1</v>
      </c>
      <c r="F218" s="10">
        <v>45260</v>
      </c>
      <c r="G218" s="10">
        <v>45320</v>
      </c>
      <c r="H218" s="10">
        <v>45352</v>
      </c>
    </row>
    <row r="219" spans="1:8" ht="15" hidden="1" customHeight="1" x14ac:dyDescent="0.35">
      <c r="A219" s="1" t="s">
        <v>44</v>
      </c>
      <c r="B219" s="2" t="s">
        <v>110</v>
      </c>
      <c r="C219" s="1" t="s">
        <v>119</v>
      </c>
      <c r="D219" s="1">
        <v>1</v>
      </c>
      <c r="E219" s="1" t="str">
        <f t="shared" si="3"/>
        <v>RB_1123E_UF1</v>
      </c>
      <c r="F219" s="10">
        <v>45260</v>
      </c>
      <c r="G219" s="10">
        <v>45320</v>
      </c>
      <c r="H219" s="10">
        <v>45352</v>
      </c>
    </row>
    <row r="220" spans="1:8" ht="15" hidden="1" customHeight="1" x14ac:dyDescent="0.35">
      <c r="A220" s="1" t="s">
        <v>52</v>
      </c>
      <c r="B220" s="2" t="s">
        <v>110</v>
      </c>
      <c r="C220" s="1" t="s">
        <v>119</v>
      </c>
      <c r="D220" s="1">
        <v>1</v>
      </c>
      <c r="E220" s="1" t="str">
        <f t="shared" si="3"/>
        <v>WB1_1123E_UF1</v>
      </c>
      <c r="F220" s="10">
        <v>45260</v>
      </c>
      <c r="G220" s="10">
        <v>45320</v>
      </c>
      <c r="H220" s="10">
        <v>45352</v>
      </c>
    </row>
    <row r="221" spans="1:8" ht="15" hidden="1" customHeight="1" x14ac:dyDescent="0.35">
      <c r="A221" s="1" t="s">
        <v>54</v>
      </c>
      <c r="B221" s="2" t="s">
        <v>110</v>
      </c>
      <c r="C221" s="1" t="s">
        <v>119</v>
      </c>
      <c r="D221" s="1">
        <v>1</v>
      </c>
      <c r="E221" s="1" t="str">
        <f t="shared" si="3"/>
        <v>TKB_1123E_UF1</v>
      </c>
      <c r="F221" s="10">
        <v>45260</v>
      </c>
      <c r="G221" s="10">
        <v>45320</v>
      </c>
      <c r="H221" s="10">
        <v>45352</v>
      </c>
    </row>
    <row r="222" spans="1:8" ht="15" hidden="1" customHeight="1" x14ac:dyDescent="0.35">
      <c r="A222" s="1" t="s">
        <v>55</v>
      </c>
      <c r="B222" s="2" t="s">
        <v>110</v>
      </c>
      <c r="C222" s="1" t="s">
        <v>119</v>
      </c>
      <c r="D222" s="1">
        <v>1</v>
      </c>
      <c r="E222" s="1" t="str">
        <f t="shared" si="3"/>
        <v>JB_1123E_UF1</v>
      </c>
      <c r="F222" s="10">
        <v>45260</v>
      </c>
      <c r="G222" s="10">
        <v>45320</v>
      </c>
      <c r="H222" s="10">
        <v>45352</v>
      </c>
    </row>
    <row r="223" spans="1:8" ht="15" hidden="1" customHeight="1" x14ac:dyDescent="0.35">
      <c r="A223" s="1" t="s">
        <v>49</v>
      </c>
      <c r="B223" s="2" t="s">
        <v>110</v>
      </c>
      <c r="C223" s="1" t="s">
        <v>120</v>
      </c>
      <c r="D223" s="1">
        <v>1</v>
      </c>
      <c r="E223" s="1" t="str">
        <f t="shared" si="3"/>
        <v>SBT2_1123E_F1</v>
      </c>
      <c r="F223" s="10">
        <v>45260</v>
      </c>
      <c r="G223" s="10">
        <v>45320</v>
      </c>
      <c r="H223" s="10">
        <v>45352</v>
      </c>
    </row>
    <row r="224" spans="1:8" ht="15" hidden="1" customHeight="1" x14ac:dyDescent="0.35">
      <c r="A224" s="1" t="s">
        <v>35</v>
      </c>
      <c r="B224" s="2" t="s">
        <v>110</v>
      </c>
      <c r="C224" s="1" t="s">
        <v>120</v>
      </c>
      <c r="D224" s="1">
        <v>1</v>
      </c>
      <c r="E224" s="1" t="str">
        <f t="shared" si="3"/>
        <v>MCS1_1123E_F1</v>
      </c>
      <c r="F224" s="10">
        <v>45260</v>
      </c>
      <c r="G224" s="10">
        <v>45320</v>
      </c>
      <c r="H224" s="10">
        <v>45352</v>
      </c>
    </row>
    <row r="225" spans="1:8" ht="15" hidden="1" customHeight="1" x14ac:dyDescent="0.35">
      <c r="A225" s="1" t="s">
        <v>41</v>
      </c>
      <c r="B225" s="2" t="s">
        <v>110</v>
      </c>
      <c r="C225" s="1" t="s">
        <v>120</v>
      </c>
      <c r="D225" s="1">
        <v>1</v>
      </c>
      <c r="E225" s="1" t="str">
        <f t="shared" si="3"/>
        <v>TB1_1123E_F1</v>
      </c>
      <c r="F225" s="10">
        <v>45260</v>
      </c>
      <c r="G225" s="10">
        <v>45320</v>
      </c>
      <c r="H225" s="10">
        <v>45352</v>
      </c>
    </row>
    <row r="226" spans="1:8" ht="15" hidden="1" customHeight="1" x14ac:dyDescent="0.35">
      <c r="A226" s="1" t="s">
        <v>42</v>
      </c>
      <c r="B226" s="2" t="s">
        <v>110</v>
      </c>
      <c r="C226" s="1" t="s">
        <v>120</v>
      </c>
      <c r="D226" s="1">
        <v>1</v>
      </c>
      <c r="E226" s="1" t="str">
        <f t="shared" si="3"/>
        <v>TB2_1123E_F1</v>
      </c>
      <c r="F226" s="10">
        <v>45260</v>
      </c>
      <c r="G226" s="10">
        <v>45320</v>
      </c>
      <c r="H226" s="10">
        <v>45352</v>
      </c>
    </row>
    <row r="227" spans="1:8" ht="15" hidden="1" customHeight="1" x14ac:dyDescent="0.35">
      <c r="A227" s="1" t="s">
        <v>43</v>
      </c>
      <c r="B227" s="2" t="s">
        <v>110</v>
      </c>
      <c r="C227" s="1" t="s">
        <v>120</v>
      </c>
      <c r="D227" s="1">
        <v>1</v>
      </c>
      <c r="E227" s="1" t="str">
        <f t="shared" si="3"/>
        <v>GB2_1123E_F1</v>
      </c>
      <c r="F227" s="10">
        <v>45260</v>
      </c>
      <c r="G227" s="10">
        <v>45320</v>
      </c>
      <c r="H227" s="10">
        <v>45352</v>
      </c>
    </row>
    <row r="228" spans="1:8" ht="15" hidden="1" customHeight="1" x14ac:dyDescent="0.35">
      <c r="A228" s="1" t="s">
        <v>44</v>
      </c>
      <c r="B228" s="2" t="s">
        <v>110</v>
      </c>
      <c r="C228" s="1" t="s">
        <v>120</v>
      </c>
      <c r="D228" s="1">
        <v>1</v>
      </c>
      <c r="E228" s="1" t="str">
        <f t="shared" si="3"/>
        <v>RB_1123E_F1</v>
      </c>
      <c r="F228" s="10">
        <v>45260</v>
      </c>
      <c r="G228" s="10">
        <v>45320</v>
      </c>
      <c r="H228" s="10">
        <v>45352</v>
      </c>
    </row>
    <row r="229" spans="1:8" ht="15" hidden="1" customHeight="1" x14ac:dyDescent="0.35">
      <c r="A229" s="1" t="s">
        <v>52</v>
      </c>
      <c r="B229" s="2" t="s">
        <v>110</v>
      </c>
      <c r="C229" s="1" t="s">
        <v>120</v>
      </c>
      <c r="D229" s="1">
        <v>1</v>
      </c>
      <c r="E229" s="1" t="str">
        <f t="shared" si="3"/>
        <v>WB1_1123E_F1</v>
      </c>
      <c r="F229" s="10">
        <v>45260</v>
      </c>
      <c r="G229" s="10">
        <v>45320</v>
      </c>
      <c r="H229" s="10">
        <v>45352</v>
      </c>
    </row>
    <row r="230" spans="1:8" ht="15" hidden="1" customHeight="1" x14ac:dyDescent="0.35">
      <c r="A230" s="1" t="s">
        <v>54</v>
      </c>
      <c r="B230" s="2" t="s">
        <v>110</v>
      </c>
      <c r="C230" s="1" t="s">
        <v>120</v>
      </c>
      <c r="D230" s="1">
        <v>1</v>
      </c>
      <c r="E230" s="1" t="str">
        <f t="shared" si="3"/>
        <v>TKB_1123E_F1</v>
      </c>
      <c r="F230" s="10">
        <v>45260</v>
      </c>
      <c r="G230" s="10">
        <v>45320</v>
      </c>
      <c r="H230" s="10">
        <v>45352</v>
      </c>
    </row>
    <row r="231" spans="1:8" ht="15" hidden="1" customHeight="1" x14ac:dyDescent="0.35">
      <c r="A231" s="1" t="s">
        <v>55</v>
      </c>
      <c r="B231" s="2" t="s">
        <v>110</v>
      </c>
      <c r="C231" s="1" t="s">
        <v>120</v>
      </c>
      <c r="D231" s="1">
        <v>1</v>
      </c>
      <c r="E231" s="1" t="str">
        <f t="shared" si="3"/>
        <v>JB_1123E_F1</v>
      </c>
      <c r="F231" s="10">
        <v>45260</v>
      </c>
      <c r="G231" s="10">
        <v>45204</v>
      </c>
      <c r="H231" s="10">
        <v>45352</v>
      </c>
    </row>
    <row r="232" spans="1:8" ht="15" hidden="1" customHeight="1" x14ac:dyDescent="0.35">
      <c r="A232" s="1" t="s">
        <v>49</v>
      </c>
      <c r="B232" s="2" t="s">
        <v>110</v>
      </c>
      <c r="C232" s="1" t="s">
        <v>119</v>
      </c>
      <c r="D232" s="1">
        <v>2</v>
      </c>
      <c r="E232" s="1" t="str">
        <f t="shared" si="3"/>
        <v>SBT2_1123E_UF2</v>
      </c>
      <c r="F232" s="10">
        <v>45260</v>
      </c>
    </row>
    <row r="233" spans="1:8" ht="15" hidden="1" customHeight="1" x14ac:dyDescent="0.35">
      <c r="A233" s="1" t="s">
        <v>35</v>
      </c>
      <c r="B233" s="2" t="s">
        <v>110</v>
      </c>
      <c r="C233" s="1" t="s">
        <v>119</v>
      </c>
      <c r="D233" s="1">
        <v>2</v>
      </c>
      <c r="E233" s="1" t="str">
        <f t="shared" si="3"/>
        <v>MCS1_1123E_UF2</v>
      </c>
      <c r="F233" s="10">
        <v>45260</v>
      </c>
    </row>
    <row r="234" spans="1:8" ht="15" hidden="1" customHeight="1" x14ac:dyDescent="0.35">
      <c r="A234" s="1" t="s">
        <v>41</v>
      </c>
      <c r="B234" s="2" t="s">
        <v>110</v>
      </c>
      <c r="C234" s="1" t="s">
        <v>119</v>
      </c>
      <c r="D234" s="1">
        <v>2</v>
      </c>
      <c r="E234" s="1" t="str">
        <f t="shared" si="3"/>
        <v>TB1_1123E_UF2</v>
      </c>
      <c r="F234" s="10">
        <v>45260</v>
      </c>
    </row>
    <row r="235" spans="1:8" ht="15" hidden="1" customHeight="1" x14ac:dyDescent="0.35">
      <c r="A235" s="1" t="s">
        <v>42</v>
      </c>
      <c r="B235" s="2" t="s">
        <v>110</v>
      </c>
      <c r="C235" s="1" t="s">
        <v>119</v>
      </c>
      <c r="D235" s="1">
        <v>2</v>
      </c>
      <c r="E235" s="1" t="str">
        <f t="shared" si="3"/>
        <v>TB2_1123E_UF2</v>
      </c>
      <c r="F235" s="10">
        <v>45260</v>
      </c>
    </row>
    <row r="236" spans="1:8" ht="15" hidden="1" customHeight="1" x14ac:dyDescent="0.35">
      <c r="A236" s="1" t="s">
        <v>43</v>
      </c>
      <c r="B236" s="2" t="s">
        <v>110</v>
      </c>
      <c r="C236" s="1" t="s">
        <v>119</v>
      </c>
      <c r="D236" s="1">
        <v>2</v>
      </c>
      <c r="E236" s="1" t="str">
        <f t="shared" si="3"/>
        <v>GB2_1123E_UF2</v>
      </c>
      <c r="F236" s="10">
        <v>45260</v>
      </c>
    </row>
    <row r="237" spans="1:8" ht="15" hidden="1" customHeight="1" x14ac:dyDescent="0.35">
      <c r="A237" s="1" t="s">
        <v>44</v>
      </c>
      <c r="B237" s="2" t="s">
        <v>110</v>
      </c>
      <c r="C237" s="1" t="s">
        <v>119</v>
      </c>
      <c r="D237" s="1">
        <v>2</v>
      </c>
      <c r="E237" s="1" t="str">
        <f t="shared" si="3"/>
        <v>RB_1123E_UF2</v>
      </c>
      <c r="F237" s="10">
        <v>45260</v>
      </c>
    </row>
    <row r="238" spans="1:8" ht="15" hidden="1" customHeight="1" x14ac:dyDescent="0.35">
      <c r="A238" s="1" t="s">
        <v>52</v>
      </c>
      <c r="B238" s="2" t="s">
        <v>110</v>
      </c>
      <c r="C238" s="1" t="s">
        <v>119</v>
      </c>
      <c r="D238" s="1">
        <v>2</v>
      </c>
      <c r="E238" s="1" t="str">
        <f t="shared" si="3"/>
        <v>WB1_1123E_UF2</v>
      </c>
      <c r="F238" s="10">
        <v>45260</v>
      </c>
    </row>
    <row r="239" spans="1:8" ht="15" hidden="1" customHeight="1" x14ac:dyDescent="0.35">
      <c r="A239" s="1" t="s">
        <v>54</v>
      </c>
      <c r="B239" s="2" t="s">
        <v>110</v>
      </c>
      <c r="C239" s="1" t="s">
        <v>119</v>
      </c>
      <c r="D239" s="1">
        <v>2</v>
      </c>
      <c r="E239" s="1" t="str">
        <f t="shared" si="3"/>
        <v>TKB_1123E_UF2</v>
      </c>
      <c r="F239" s="10">
        <v>45260</v>
      </c>
    </row>
    <row r="240" spans="1:8" ht="15" hidden="1" customHeight="1" x14ac:dyDescent="0.35">
      <c r="A240" s="1" t="s">
        <v>55</v>
      </c>
      <c r="B240" s="2" t="s">
        <v>110</v>
      </c>
      <c r="C240" s="1" t="s">
        <v>119</v>
      </c>
      <c r="D240" s="1">
        <v>2</v>
      </c>
      <c r="E240" s="1" t="str">
        <f t="shared" si="3"/>
        <v>JB_1123E_UF2</v>
      </c>
      <c r="F240" s="10">
        <v>45260</v>
      </c>
    </row>
    <row r="241" spans="1:9" ht="15" hidden="1" customHeight="1" x14ac:dyDescent="0.35">
      <c r="A241" s="1" t="s">
        <v>49</v>
      </c>
      <c r="B241" s="2" t="s">
        <v>110</v>
      </c>
      <c r="C241" s="1" t="s">
        <v>120</v>
      </c>
      <c r="D241" s="1">
        <v>2</v>
      </c>
      <c r="E241" s="1" t="str">
        <f t="shared" si="3"/>
        <v>SBT2_1123E_F2</v>
      </c>
      <c r="F241" s="10">
        <v>45260</v>
      </c>
    </row>
    <row r="242" spans="1:9" ht="15" hidden="1" customHeight="1" x14ac:dyDescent="0.35">
      <c r="A242" s="1" t="s">
        <v>35</v>
      </c>
      <c r="B242" s="2" t="s">
        <v>110</v>
      </c>
      <c r="C242" s="1" t="s">
        <v>120</v>
      </c>
      <c r="D242" s="1">
        <v>2</v>
      </c>
      <c r="E242" s="1" t="str">
        <f t="shared" si="3"/>
        <v>MCS1_1123E_F2</v>
      </c>
      <c r="F242" s="10">
        <v>45260</v>
      </c>
    </row>
    <row r="243" spans="1:9" ht="15" hidden="1" customHeight="1" x14ac:dyDescent="0.35">
      <c r="A243" s="1" t="s">
        <v>41</v>
      </c>
      <c r="B243" s="2" t="s">
        <v>110</v>
      </c>
      <c r="C243" s="1" t="s">
        <v>120</v>
      </c>
      <c r="D243" s="1">
        <v>2</v>
      </c>
      <c r="E243" s="1" t="str">
        <f t="shared" si="3"/>
        <v>TB1_1123E_F2</v>
      </c>
      <c r="F243" s="10">
        <v>45260</v>
      </c>
    </row>
    <row r="244" spans="1:9" ht="15" hidden="1" customHeight="1" x14ac:dyDescent="0.35">
      <c r="A244" s="1" t="s">
        <v>42</v>
      </c>
      <c r="B244" s="2" t="s">
        <v>110</v>
      </c>
      <c r="C244" s="1" t="s">
        <v>120</v>
      </c>
      <c r="D244" s="1">
        <v>2</v>
      </c>
      <c r="E244" s="1" t="str">
        <f t="shared" si="3"/>
        <v>TB2_1123E_F2</v>
      </c>
      <c r="F244" s="10">
        <v>45260</v>
      </c>
    </row>
    <row r="245" spans="1:9" ht="15" hidden="1" customHeight="1" x14ac:dyDescent="0.35">
      <c r="A245" s="1" t="s">
        <v>43</v>
      </c>
      <c r="B245" s="2" t="s">
        <v>110</v>
      </c>
      <c r="C245" s="1" t="s">
        <v>120</v>
      </c>
      <c r="D245" s="1">
        <v>2</v>
      </c>
      <c r="E245" s="1" t="str">
        <f t="shared" si="3"/>
        <v>GB2_1123E_F2</v>
      </c>
      <c r="F245" s="10">
        <v>45260</v>
      </c>
    </row>
    <row r="246" spans="1:9" ht="15" hidden="1" customHeight="1" x14ac:dyDescent="0.35">
      <c r="A246" s="1" t="s">
        <v>44</v>
      </c>
      <c r="B246" s="2" t="s">
        <v>110</v>
      </c>
      <c r="C246" s="1" t="s">
        <v>120</v>
      </c>
      <c r="D246" s="1">
        <v>2</v>
      </c>
      <c r="E246" s="1" t="str">
        <f t="shared" si="3"/>
        <v>RB_1123E_F2</v>
      </c>
      <c r="F246" s="10">
        <v>45260</v>
      </c>
    </row>
    <row r="247" spans="1:9" ht="15" hidden="1" customHeight="1" x14ac:dyDescent="0.35">
      <c r="A247" s="1" t="s">
        <v>52</v>
      </c>
      <c r="B247" s="2" t="s">
        <v>110</v>
      </c>
      <c r="C247" s="1" t="s">
        <v>120</v>
      </c>
      <c r="D247" s="1">
        <v>2</v>
      </c>
      <c r="E247" s="1" t="str">
        <f t="shared" si="3"/>
        <v>WB1_1123E_F2</v>
      </c>
      <c r="F247" s="10">
        <v>45260</v>
      </c>
    </row>
    <row r="248" spans="1:9" ht="15" hidden="1" customHeight="1" x14ac:dyDescent="0.35">
      <c r="A248" s="1" t="s">
        <v>54</v>
      </c>
      <c r="B248" s="2" t="s">
        <v>110</v>
      </c>
      <c r="C248" s="1" t="s">
        <v>120</v>
      </c>
      <c r="D248" s="1">
        <v>2</v>
      </c>
      <c r="E248" s="1" t="str">
        <f t="shared" si="3"/>
        <v>TKB_1123E_F2</v>
      </c>
      <c r="F248" s="10">
        <v>45260</v>
      </c>
    </row>
    <row r="249" spans="1:9" ht="15" hidden="1" customHeight="1" x14ac:dyDescent="0.35">
      <c r="A249" s="1" t="s">
        <v>55</v>
      </c>
      <c r="B249" s="2" t="s">
        <v>110</v>
      </c>
      <c r="C249" s="1" t="s">
        <v>120</v>
      </c>
      <c r="D249" s="1">
        <v>2</v>
      </c>
      <c r="E249" s="1" t="str">
        <f t="shared" si="3"/>
        <v>JB_1123E_F2</v>
      </c>
      <c r="F249" s="10">
        <v>45260</v>
      </c>
    </row>
    <row r="250" spans="1:9" ht="15" customHeight="1" x14ac:dyDescent="0.35">
      <c r="A250" s="1" t="s">
        <v>49</v>
      </c>
      <c r="B250" s="2" t="s">
        <v>61</v>
      </c>
      <c r="C250" s="1" t="s">
        <v>120</v>
      </c>
      <c r="D250" s="1">
        <v>1</v>
      </c>
      <c r="E250" s="1" t="str">
        <f t="shared" si="3"/>
        <v>SBT2_1-24_F1</v>
      </c>
      <c r="F250" s="10">
        <v>45297</v>
      </c>
      <c r="G250" s="10">
        <v>45320</v>
      </c>
      <c r="H250" s="10">
        <v>45352</v>
      </c>
      <c r="I250" t="s">
        <v>17</v>
      </c>
    </row>
    <row r="251" spans="1:9" ht="15" customHeight="1" x14ac:dyDescent="0.35">
      <c r="A251" s="1" t="s">
        <v>43</v>
      </c>
      <c r="B251" s="2" t="s">
        <v>61</v>
      </c>
      <c r="C251" s="1" t="s">
        <v>120</v>
      </c>
      <c r="D251" s="1">
        <v>1</v>
      </c>
      <c r="E251" s="1" t="str">
        <f t="shared" si="3"/>
        <v>GB2_1-24_F1</v>
      </c>
      <c r="F251" s="10">
        <v>45297</v>
      </c>
      <c r="G251" s="10">
        <v>45320</v>
      </c>
      <c r="H251" s="10">
        <v>45352</v>
      </c>
      <c r="I251" t="s">
        <v>17</v>
      </c>
    </row>
    <row r="252" spans="1:9" ht="15" customHeight="1" x14ac:dyDescent="0.35">
      <c r="A252" s="1" t="s">
        <v>44</v>
      </c>
      <c r="B252" s="2" t="s">
        <v>61</v>
      </c>
      <c r="C252" s="1" t="s">
        <v>120</v>
      </c>
      <c r="D252" s="1">
        <v>1</v>
      </c>
      <c r="E252" s="1" t="str">
        <f t="shared" si="3"/>
        <v>RB_1-24_F1</v>
      </c>
      <c r="F252" s="10">
        <v>45297</v>
      </c>
      <c r="G252" s="10">
        <v>45320</v>
      </c>
      <c r="H252" s="10">
        <v>45352</v>
      </c>
      <c r="I252" t="s">
        <v>17</v>
      </c>
    </row>
    <row r="253" spans="1:9" ht="15" customHeight="1" x14ac:dyDescent="0.35">
      <c r="A253" s="1" t="s">
        <v>54</v>
      </c>
      <c r="B253" s="2" t="s">
        <v>61</v>
      </c>
      <c r="C253" s="1" t="s">
        <v>120</v>
      </c>
      <c r="D253" s="1">
        <v>1</v>
      </c>
      <c r="E253" s="1" t="str">
        <f t="shared" si="3"/>
        <v>TKB_1-24_F1</v>
      </c>
      <c r="F253" s="10">
        <v>45297</v>
      </c>
      <c r="G253" s="10">
        <v>45320</v>
      </c>
      <c r="H253" s="10">
        <v>45352</v>
      </c>
      <c r="I253" t="s">
        <v>17</v>
      </c>
    </row>
    <row r="254" spans="1:9" ht="15" customHeight="1" x14ac:dyDescent="0.35">
      <c r="A254" s="1" t="s">
        <v>55</v>
      </c>
      <c r="B254" s="2" t="s">
        <v>61</v>
      </c>
      <c r="C254" s="1" t="s">
        <v>120</v>
      </c>
      <c r="D254" s="1">
        <v>1</v>
      </c>
      <c r="E254" s="1" t="str">
        <f t="shared" si="3"/>
        <v>JB_1-24_F1</v>
      </c>
      <c r="F254" s="10">
        <v>45297</v>
      </c>
      <c r="G254" s="10">
        <v>45320</v>
      </c>
      <c r="H254" s="10">
        <v>45352</v>
      </c>
      <c r="I254" t="s">
        <v>17</v>
      </c>
    </row>
    <row r="255" spans="1:9" ht="15" customHeight="1" x14ac:dyDescent="0.35">
      <c r="A255" s="1" t="s">
        <v>56</v>
      </c>
      <c r="B255" s="2" t="s">
        <v>61</v>
      </c>
      <c r="C255" s="1" t="s">
        <v>120</v>
      </c>
      <c r="D255" s="1">
        <v>1</v>
      </c>
      <c r="E255" s="1" t="str">
        <f t="shared" si="3"/>
        <v>CC_1-24_F1</v>
      </c>
      <c r="F255" s="10">
        <v>45297</v>
      </c>
      <c r="G255" s="10">
        <v>45320</v>
      </c>
      <c r="H255" s="10">
        <v>45352</v>
      </c>
      <c r="I255" t="s">
        <v>17</v>
      </c>
    </row>
    <row r="256" spans="1:9" ht="15" customHeight="1" x14ac:dyDescent="0.35">
      <c r="A256" s="1" t="s">
        <v>35</v>
      </c>
      <c r="B256" s="2" t="s">
        <v>61</v>
      </c>
      <c r="C256" s="1" t="s">
        <v>120</v>
      </c>
      <c r="D256" s="1">
        <v>1</v>
      </c>
      <c r="E256" s="1" t="str">
        <f t="shared" si="3"/>
        <v>MCS1_1-24_F1</v>
      </c>
      <c r="F256" s="10">
        <v>45298</v>
      </c>
      <c r="G256" s="10">
        <v>45320</v>
      </c>
      <c r="H256" s="10">
        <v>45352</v>
      </c>
      <c r="I256" t="s">
        <v>17</v>
      </c>
    </row>
    <row r="257" spans="1:9" ht="15" customHeight="1" x14ac:dyDescent="0.35">
      <c r="A257" s="1" t="s">
        <v>36</v>
      </c>
      <c r="B257" s="2" t="s">
        <v>61</v>
      </c>
      <c r="C257" s="1" t="s">
        <v>120</v>
      </c>
      <c r="D257" s="1">
        <v>1</v>
      </c>
      <c r="E257" s="1" t="str">
        <f t="shared" si="3"/>
        <v>MCS2_1-24_F1</v>
      </c>
      <c r="F257" s="10">
        <v>45298</v>
      </c>
      <c r="G257" s="10">
        <v>45320</v>
      </c>
      <c r="H257" s="10">
        <v>45352</v>
      </c>
      <c r="I257" t="s">
        <v>17</v>
      </c>
    </row>
    <row r="258" spans="1:9" ht="15" customHeight="1" x14ac:dyDescent="0.35">
      <c r="A258" s="1" t="s">
        <v>37</v>
      </c>
      <c r="B258" s="2" t="s">
        <v>61</v>
      </c>
      <c r="C258" s="1" t="s">
        <v>120</v>
      </c>
      <c r="D258" s="1">
        <v>1</v>
      </c>
      <c r="E258" s="1" t="str">
        <f t="shared" ref="E258:E321" si="4">A258&amp;"_"&amp;B258&amp;"_"&amp;C258&amp;D258</f>
        <v>MCS3_1-24_F1</v>
      </c>
      <c r="F258" s="10">
        <v>45298</v>
      </c>
      <c r="G258" s="10">
        <v>45320</v>
      </c>
      <c r="H258" s="10">
        <v>45352</v>
      </c>
      <c r="I258" t="s">
        <v>17</v>
      </c>
    </row>
    <row r="259" spans="1:9" ht="15" customHeight="1" x14ac:dyDescent="0.35">
      <c r="A259" s="1" t="s">
        <v>38</v>
      </c>
      <c r="B259" s="2" t="s">
        <v>61</v>
      </c>
      <c r="C259" s="1" t="s">
        <v>120</v>
      </c>
      <c r="D259" s="1">
        <v>1</v>
      </c>
      <c r="E259" s="1" t="str">
        <f t="shared" si="4"/>
        <v>MCS4_1-24_F1</v>
      </c>
      <c r="F259" s="10">
        <v>45298</v>
      </c>
      <c r="G259" s="10">
        <v>45320</v>
      </c>
      <c r="H259" s="10">
        <v>45352</v>
      </c>
      <c r="I259" t="s">
        <v>17</v>
      </c>
    </row>
    <row r="260" spans="1:9" ht="15" customHeight="1" x14ac:dyDescent="0.35">
      <c r="A260" s="1" t="s">
        <v>39</v>
      </c>
      <c r="B260" s="2" t="s">
        <v>61</v>
      </c>
      <c r="C260" s="1" t="s">
        <v>120</v>
      </c>
      <c r="D260" s="1">
        <v>1</v>
      </c>
      <c r="E260" s="1" t="str">
        <f t="shared" si="4"/>
        <v>TBHM_1-24_F1</v>
      </c>
      <c r="F260" s="10">
        <v>45298</v>
      </c>
      <c r="G260" s="10">
        <v>45320</v>
      </c>
      <c r="H260" s="10">
        <v>45352</v>
      </c>
      <c r="I260" t="s">
        <v>17</v>
      </c>
    </row>
    <row r="261" spans="1:9" ht="15" customHeight="1" x14ac:dyDescent="0.35">
      <c r="A261" s="1" t="s">
        <v>51</v>
      </c>
      <c r="B261" s="2" t="s">
        <v>61</v>
      </c>
      <c r="C261" s="1" t="s">
        <v>120</v>
      </c>
      <c r="D261" s="1">
        <v>1</v>
      </c>
      <c r="E261" s="1" t="str">
        <f t="shared" si="4"/>
        <v>TBC_1-24_F1</v>
      </c>
      <c r="F261" s="10">
        <v>45298</v>
      </c>
      <c r="G261" s="10">
        <v>45320</v>
      </c>
      <c r="H261" s="10">
        <v>45352</v>
      </c>
      <c r="I261" t="s">
        <v>17</v>
      </c>
    </row>
    <row r="262" spans="1:9" ht="15" hidden="1" customHeight="1" x14ac:dyDescent="0.35">
      <c r="A262" s="1" t="s">
        <v>49</v>
      </c>
      <c r="B262" s="2" t="s">
        <v>61</v>
      </c>
      <c r="C262" s="1" t="s">
        <v>119</v>
      </c>
      <c r="D262" s="1">
        <v>2</v>
      </c>
      <c r="E262" s="1" t="str">
        <f t="shared" si="4"/>
        <v>SBT2_1-24_UF2</v>
      </c>
      <c r="F262" s="10">
        <v>45297</v>
      </c>
    </row>
    <row r="263" spans="1:9" ht="15" hidden="1" customHeight="1" x14ac:dyDescent="0.35">
      <c r="A263" s="1" t="s">
        <v>43</v>
      </c>
      <c r="B263" s="2" t="s">
        <v>61</v>
      </c>
      <c r="C263" s="1" t="s">
        <v>119</v>
      </c>
      <c r="D263" s="1">
        <v>2</v>
      </c>
      <c r="E263" s="1" t="str">
        <f t="shared" si="4"/>
        <v>GB2_1-24_UF2</v>
      </c>
      <c r="F263" s="10">
        <v>45297</v>
      </c>
    </row>
    <row r="264" spans="1:9" ht="15" hidden="1" customHeight="1" x14ac:dyDescent="0.35">
      <c r="A264" s="1" t="s">
        <v>44</v>
      </c>
      <c r="B264" s="2" t="s">
        <v>61</v>
      </c>
      <c r="C264" s="1" t="s">
        <v>119</v>
      </c>
      <c r="D264" s="1">
        <v>2</v>
      </c>
      <c r="E264" s="1" t="str">
        <f t="shared" si="4"/>
        <v>RB_1-24_UF2</v>
      </c>
      <c r="F264" s="10">
        <v>45297</v>
      </c>
    </row>
    <row r="265" spans="1:9" ht="15" hidden="1" customHeight="1" x14ac:dyDescent="0.35">
      <c r="A265" s="1" t="s">
        <v>54</v>
      </c>
      <c r="B265" s="2" t="s">
        <v>61</v>
      </c>
      <c r="C265" s="1" t="s">
        <v>119</v>
      </c>
      <c r="D265" s="1">
        <v>2</v>
      </c>
      <c r="E265" s="1" t="str">
        <f t="shared" si="4"/>
        <v>TKB_1-24_UF2</v>
      </c>
      <c r="F265" s="10">
        <v>45297</v>
      </c>
    </row>
    <row r="266" spans="1:9" ht="15" hidden="1" customHeight="1" x14ac:dyDescent="0.35">
      <c r="A266" s="1" t="s">
        <v>55</v>
      </c>
      <c r="B266" s="2" t="s">
        <v>61</v>
      </c>
      <c r="C266" s="1" t="s">
        <v>119</v>
      </c>
      <c r="D266" s="1">
        <v>2</v>
      </c>
      <c r="E266" s="1" t="str">
        <f t="shared" si="4"/>
        <v>JB_1-24_UF2</v>
      </c>
      <c r="F266" s="10">
        <v>45297</v>
      </c>
    </row>
    <row r="267" spans="1:9" ht="15" hidden="1" customHeight="1" x14ac:dyDescent="0.35">
      <c r="A267" s="1" t="s">
        <v>56</v>
      </c>
      <c r="B267" s="2" t="s">
        <v>61</v>
      </c>
      <c r="C267" s="1" t="s">
        <v>119</v>
      </c>
      <c r="D267" s="1">
        <v>2</v>
      </c>
      <c r="E267" s="1" t="str">
        <f t="shared" si="4"/>
        <v>CC_1-24_UF2</v>
      </c>
      <c r="F267" s="10">
        <v>45297</v>
      </c>
    </row>
    <row r="268" spans="1:9" ht="15" hidden="1" customHeight="1" x14ac:dyDescent="0.35">
      <c r="A268" s="1" t="s">
        <v>49</v>
      </c>
      <c r="B268" s="2" t="s">
        <v>61</v>
      </c>
      <c r="C268" s="1" t="s">
        <v>120</v>
      </c>
      <c r="D268" s="1">
        <v>2</v>
      </c>
      <c r="E268" s="1" t="str">
        <f t="shared" si="4"/>
        <v>SBT2_1-24_F2</v>
      </c>
      <c r="F268" s="10">
        <v>45297</v>
      </c>
    </row>
    <row r="269" spans="1:9" ht="15" hidden="1" customHeight="1" x14ac:dyDescent="0.35">
      <c r="A269" s="1" t="s">
        <v>43</v>
      </c>
      <c r="B269" s="2" t="s">
        <v>61</v>
      </c>
      <c r="C269" s="1" t="s">
        <v>120</v>
      </c>
      <c r="D269" s="1">
        <v>2</v>
      </c>
      <c r="E269" s="1" t="str">
        <f t="shared" si="4"/>
        <v>GB2_1-24_F2</v>
      </c>
      <c r="F269" s="10">
        <v>45297</v>
      </c>
    </row>
    <row r="270" spans="1:9" ht="15" hidden="1" customHeight="1" x14ac:dyDescent="0.35">
      <c r="A270" s="1" t="s">
        <v>44</v>
      </c>
      <c r="B270" s="2" t="s">
        <v>61</v>
      </c>
      <c r="C270" s="1" t="s">
        <v>120</v>
      </c>
      <c r="D270" s="1">
        <v>2</v>
      </c>
      <c r="E270" s="1" t="str">
        <f t="shared" si="4"/>
        <v>RB_1-24_F2</v>
      </c>
      <c r="F270" s="10">
        <v>45297</v>
      </c>
    </row>
    <row r="271" spans="1:9" ht="15" hidden="1" customHeight="1" x14ac:dyDescent="0.35">
      <c r="A271" s="1" t="s">
        <v>54</v>
      </c>
      <c r="B271" s="2" t="s">
        <v>61</v>
      </c>
      <c r="C271" s="1" t="s">
        <v>120</v>
      </c>
      <c r="D271" s="1">
        <v>2</v>
      </c>
      <c r="E271" s="1" t="str">
        <f t="shared" si="4"/>
        <v>TKB_1-24_F2</v>
      </c>
      <c r="F271" s="10">
        <v>45297</v>
      </c>
    </row>
    <row r="272" spans="1:9" ht="15" hidden="1" customHeight="1" x14ac:dyDescent="0.35">
      <c r="A272" s="1" t="s">
        <v>55</v>
      </c>
      <c r="B272" s="2" t="s">
        <v>61</v>
      </c>
      <c r="C272" s="1" t="s">
        <v>120</v>
      </c>
      <c r="D272" s="1">
        <v>2</v>
      </c>
      <c r="E272" s="1" t="str">
        <f t="shared" si="4"/>
        <v>JB_1-24_F2</v>
      </c>
      <c r="F272" s="10">
        <v>45297</v>
      </c>
    </row>
    <row r="273" spans="1:9" ht="15" hidden="1" customHeight="1" x14ac:dyDescent="0.35">
      <c r="A273" s="1" t="s">
        <v>56</v>
      </c>
      <c r="B273" s="2" t="s">
        <v>61</v>
      </c>
      <c r="C273" s="1" t="s">
        <v>120</v>
      </c>
      <c r="D273" s="1">
        <v>2</v>
      </c>
      <c r="E273" s="1" t="str">
        <f t="shared" si="4"/>
        <v>CC_1-24_F2</v>
      </c>
      <c r="F273" s="10">
        <v>45297</v>
      </c>
    </row>
    <row r="274" spans="1:9" ht="15" customHeight="1" x14ac:dyDescent="0.35">
      <c r="A274" s="1" t="s">
        <v>40</v>
      </c>
      <c r="B274" s="2" t="s">
        <v>61</v>
      </c>
      <c r="C274" s="1" t="s">
        <v>120</v>
      </c>
      <c r="D274" s="1">
        <v>1</v>
      </c>
      <c r="E274" s="1" t="str">
        <f t="shared" si="4"/>
        <v>TBCM_1-24_F1</v>
      </c>
      <c r="F274" s="10">
        <v>45298</v>
      </c>
      <c r="G274" s="10">
        <v>45320</v>
      </c>
      <c r="H274" s="10">
        <v>45352</v>
      </c>
      <c r="I274" t="s">
        <v>17</v>
      </c>
    </row>
    <row r="275" spans="1:9" ht="15" customHeight="1" x14ac:dyDescent="0.35">
      <c r="A275" s="1" t="s">
        <v>41</v>
      </c>
      <c r="B275" s="2" t="s">
        <v>61</v>
      </c>
      <c r="C275" s="1" t="s">
        <v>120</v>
      </c>
      <c r="D275" s="1">
        <v>1</v>
      </c>
      <c r="E275" s="1" t="str">
        <f t="shared" si="4"/>
        <v>TB1_1-24_F1</v>
      </c>
      <c r="F275" s="10">
        <v>45298</v>
      </c>
      <c r="G275" s="10">
        <v>45320</v>
      </c>
      <c r="H275" s="10">
        <v>45352</v>
      </c>
      <c r="I275" t="s">
        <v>17</v>
      </c>
    </row>
    <row r="276" spans="1:9" ht="15" customHeight="1" x14ac:dyDescent="0.35">
      <c r="A276" s="1" t="s">
        <v>42</v>
      </c>
      <c r="B276" s="2" t="s">
        <v>61</v>
      </c>
      <c r="C276" s="1" t="s">
        <v>120</v>
      </c>
      <c r="D276" s="1">
        <v>1</v>
      </c>
      <c r="E276" s="1" t="str">
        <f t="shared" si="4"/>
        <v>TB2_1-24_F1</v>
      </c>
      <c r="F276" s="10">
        <v>45298</v>
      </c>
      <c r="G276" s="10">
        <v>45320</v>
      </c>
      <c r="H276" s="10">
        <v>45352</v>
      </c>
      <c r="I276" t="s">
        <v>17</v>
      </c>
    </row>
    <row r="277" spans="1:9" ht="15" customHeight="1" x14ac:dyDescent="0.35">
      <c r="A277" s="1" t="s">
        <v>52</v>
      </c>
      <c r="B277" s="2" t="s">
        <v>61</v>
      </c>
      <c r="C277" s="1" t="s">
        <v>120</v>
      </c>
      <c r="D277" s="1">
        <v>1</v>
      </c>
      <c r="E277" s="1" t="str">
        <f t="shared" si="4"/>
        <v>WB1_1-24_F1</v>
      </c>
      <c r="F277" s="10">
        <v>45298</v>
      </c>
      <c r="G277" s="10">
        <v>45320</v>
      </c>
      <c r="H277" s="10">
        <v>45352</v>
      </c>
      <c r="I277" t="s">
        <v>17</v>
      </c>
    </row>
    <row r="278" spans="1:9" ht="15" customHeight="1" x14ac:dyDescent="0.35">
      <c r="A278" s="1" t="s">
        <v>53</v>
      </c>
      <c r="B278" s="2" t="s">
        <v>61</v>
      </c>
      <c r="C278" s="1" t="s">
        <v>120</v>
      </c>
      <c r="D278" s="1">
        <v>1</v>
      </c>
      <c r="E278" s="1" t="str">
        <f t="shared" si="4"/>
        <v>WB2_1-24_F1</v>
      </c>
      <c r="F278" s="10">
        <v>45298</v>
      </c>
      <c r="G278" s="10">
        <v>45320</v>
      </c>
      <c r="H278" s="10">
        <v>45352</v>
      </c>
      <c r="I278" t="s">
        <v>17</v>
      </c>
    </row>
    <row r="279" spans="1:9" ht="15" customHeight="1" x14ac:dyDescent="0.35">
      <c r="A279" s="1" t="s">
        <v>24</v>
      </c>
      <c r="B279" s="2" t="s">
        <v>61</v>
      </c>
      <c r="C279" s="1" t="s">
        <v>120</v>
      </c>
      <c r="D279" s="1">
        <v>1</v>
      </c>
      <c r="E279" s="1" t="str">
        <f t="shared" si="4"/>
        <v>ACS1_1-24_F1</v>
      </c>
      <c r="F279" s="10">
        <v>45302</v>
      </c>
      <c r="G279" s="10">
        <v>45320</v>
      </c>
      <c r="H279" s="10">
        <v>45352</v>
      </c>
      <c r="I279" t="s">
        <v>17</v>
      </c>
    </row>
    <row r="280" spans="1:9" ht="15" customHeight="1" x14ac:dyDescent="0.35">
      <c r="A280" s="1" t="s">
        <v>25</v>
      </c>
      <c r="B280" s="2" t="s">
        <v>61</v>
      </c>
      <c r="C280" s="1" t="s">
        <v>120</v>
      </c>
      <c r="D280" s="1">
        <v>1</v>
      </c>
      <c r="E280" s="1" t="str">
        <f t="shared" si="4"/>
        <v>ACS2_1-24_F1</v>
      </c>
      <c r="F280" s="10">
        <v>45302</v>
      </c>
      <c r="G280" s="10">
        <v>45320</v>
      </c>
      <c r="H280" s="10">
        <v>45352</v>
      </c>
      <c r="I280" t="s">
        <v>17</v>
      </c>
    </row>
    <row r="281" spans="1:9" ht="15" customHeight="1" x14ac:dyDescent="0.35">
      <c r="A281" s="1" t="s">
        <v>26</v>
      </c>
      <c r="B281" s="2" t="s">
        <v>61</v>
      </c>
      <c r="C281" s="1" t="s">
        <v>120</v>
      </c>
      <c r="D281" s="1">
        <v>1</v>
      </c>
      <c r="E281" s="1" t="str">
        <f t="shared" si="4"/>
        <v>ACS3_1-24_F1</v>
      </c>
      <c r="F281" s="10">
        <v>45302</v>
      </c>
      <c r="G281" s="10">
        <v>45320</v>
      </c>
      <c r="H281" s="10">
        <v>45352</v>
      </c>
      <c r="I281" t="s">
        <v>17</v>
      </c>
    </row>
    <row r="282" spans="1:9" ht="15" customHeight="1" x14ac:dyDescent="0.35">
      <c r="A282" s="1" t="s">
        <v>27</v>
      </c>
      <c r="B282" s="2" t="s">
        <v>61</v>
      </c>
      <c r="C282" s="1" t="s">
        <v>120</v>
      </c>
      <c r="D282" s="1">
        <v>1</v>
      </c>
      <c r="E282" s="1" t="str">
        <f t="shared" si="4"/>
        <v>ACS4_1-24_F1</v>
      </c>
      <c r="F282" s="10">
        <v>45302</v>
      </c>
      <c r="G282" s="10">
        <v>45320</v>
      </c>
      <c r="H282" s="10">
        <v>45352</v>
      </c>
      <c r="I282" t="s">
        <v>17</v>
      </c>
    </row>
    <row r="283" spans="1:9" ht="15" customHeight="1" x14ac:dyDescent="0.35">
      <c r="A283" s="1" t="s">
        <v>28</v>
      </c>
      <c r="B283" s="2" t="s">
        <v>61</v>
      </c>
      <c r="C283" s="1" t="s">
        <v>120</v>
      </c>
      <c r="D283" s="1">
        <v>1</v>
      </c>
      <c r="E283" s="1" t="str">
        <f t="shared" si="4"/>
        <v>ACS5_1-24_F1</v>
      </c>
      <c r="F283" s="10">
        <v>45302</v>
      </c>
      <c r="G283" s="10">
        <v>45320</v>
      </c>
      <c r="H283" s="10">
        <v>45352</v>
      </c>
      <c r="I283" t="s">
        <v>17</v>
      </c>
    </row>
    <row r="284" spans="1:9" ht="15" customHeight="1" x14ac:dyDescent="0.35">
      <c r="A284" s="1" t="s">
        <v>29</v>
      </c>
      <c r="B284" s="2" t="s">
        <v>61</v>
      </c>
      <c r="C284" s="1" t="s">
        <v>120</v>
      </c>
      <c r="D284" s="1">
        <v>1</v>
      </c>
      <c r="E284" s="1" t="str">
        <f t="shared" si="4"/>
        <v>GBHM_1-24_F1</v>
      </c>
      <c r="F284" s="10">
        <v>45302</v>
      </c>
      <c r="G284" s="10">
        <v>45320</v>
      </c>
      <c r="H284" s="10">
        <v>45352</v>
      </c>
      <c r="I284" t="s">
        <v>17</v>
      </c>
    </row>
    <row r="285" spans="1:9" ht="15" customHeight="1" x14ac:dyDescent="0.35">
      <c r="A285" s="1" t="s">
        <v>30</v>
      </c>
      <c r="B285" s="2" t="s">
        <v>61</v>
      </c>
      <c r="C285" s="1" t="s">
        <v>120</v>
      </c>
      <c r="D285" s="1">
        <v>1</v>
      </c>
      <c r="E285" s="1" t="str">
        <f t="shared" si="4"/>
        <v>DC1_1-24_F1</v>
      </c>
      <c r="F285" s="10">
        <v>45302</v>
      </c>
      <c r="G285" s="10">
        <v>45320</v>
      </c>
      <c r="H285" s="10">
        <v>45352</v>
      </c>
      <c r="I285" t="s">
        <v>17</v>
      </c>
    </row>
    <row r="286" spans="1:9" ht="15" customHeight="1" x14ac:dyDescent="0.35">
      <c r="A286" s="1" t="s">
        <v>31</v>
      </c>
      <c r="B286" s="2" t="s">
        <v>61</v>
      </c>
      <c r="C286" s="1" t="s">
        <v>120</v>
      </c>
      <c r="D286" s="1">
        <v>1</v>
      </c>
      <c r="E286" s="1" t="str">
        <f t="shared" si="4"/>
        <v>DCM1_1-24_F1</v>
      </c>
      <c r="F286" s="10">
        <v>45302</v>
      </c>
      <c r="G286" s="10">
        <v>45320</v>
      </c>
      <c r="H286" s="10">
        <v>45352</v>
      </c>
      <c r="I286" t="s">
        <v>17</v>
      </c>
    </row>
    <row r="287" spans="1:9" ht="15" customHeight="1" x14ac:dyDescent="0.35">
      <c r="A287" s="1" t="s">
        <v>32</v>
      </c>
      <c r="B287" s="2" t="s">
        <v>61</v>
      </c>
      <c r="C287" s="1" t="s">
        <v>120</v>
      </c>
      <c r="D287" s="1">
        <v>1</v>
      </c>
      <c r="E287" s="1" t="str">
        <f t="shared" si="4"/>
        <v>DC2_1-24_F1</v>
      </c>
      <c r="F287" s="10">
        <v>45302</v>
      </c>
      <c r="G287" s="10">
        <v>45320</v>
      </c>
      <c r="H287" s="10">
        <v>45352</v>
      </c>
      <c r="I287" t="s">
        <v>17</v>
      </c>
    </row>
    <row r="288" spans="1:9" ht="15" customHeight="1" x14ac:dyDescent="0.35">
      <c r="A288" s="1" t="s">
        <v>33</v>
      </c>
      <c r="B288" s="2" t="s">
        <v>61</v>
      </c>
      <c r="C288" s="1" t="s">
        <v>120</v>
      </c>
      <c r="D288" s="1">
        <v>1</v>
      </c>
      <c r="E288" s="1" t="str">
        <f t="shared" si="4"/>
        <v>DCM2_1-24_F1</v>
      </c>
      <c r="F288" s="10">
        <v>45302</v>
      </c>
      <c r="G288" s="10">
        <v>45320</v>
      </c>
      <c r="H288" s="10">
        <v>45352</v>
      </c>
      <c r="I288" t="s">
        <v>17</v>
      </c>
    </row>
    <row r="289" spans="1:9" ht="15" customHeight="1" x14ac:dyDescent="0.35">
      <c r="A289" s="1" t="s">
        <v>34</v>
      </c>
      <c r="B289" s="2" t="s">
        <v>61</v>
      </c>
      <c r="C289" s="1" t="s">
        <v>120</v>
      </c>
      <c r="D289" s="1">
        <v>1</v>
      </c>
      <c r="E289" s="1" t="str">
        <f t="shared" si="4"/>
        <v>GB1_1-24_F1</v>
      </c>
      <c r="F289" s="10">
        <v>45302</v>
      </c>
      <c r="G289" s="10">
        <v>45320</v>
      </c>
      <c r="H289" s="10">
        <v>45352</v>
      </c>
      <c r="I289" t="s">
        <v>17</v>
      </c>
    </row>
    <row r="290" spans="1:9" ht="15" customHeight="1" x14ac:dyDescent="0.35">
      <c r="A290" s="1" t="s">
        <v>45</v>
      </c>
      <c r="B290" s="2" t="s">
        <v>61</v>
      </c>
      <c r="C290" s="1" t="s">
        <v>120</v>
      </c>
      <c r="D290" s="1">
        <v>1</v>
      </c>
      <c r="E290" s="1" t="str">
        <f t="shared" si="4"/>
        <v>TSM1_1-24_F1</v>
      </c>
      <c r="F290" s="10">
        <v>45324</v>
      </c>
      <c r="G290" s="10"/>
      <c r="I290" t="s">
        <v>17</v>
      </c>
    </row>
    <row r="291" spans="1:9" ht="15" customHeight="1" x14ac:dyDescent="0.35">
      <c r="A291" s="1" t="s">
        <v>46</v>
      </c>
      <c r="B291" s="2" t="s">
        <v>61</v>
      </c>
      <c r="C291" s="1" t="s">
        <v>120</v>
      </c>
      <c r="D291" s="1">
        <v>1</v>
      </c>
      <c r="E291" s="1" t="str">
        <f t="shared" si="4"/>
        <v>TSM3_1-24_F1</v>
      </c>
      <c r="F291" s="10">
        <v>45324</v>
      </c>
      <c r="G291" s="10"/>
      <c r="I291" t="s">
        <v>17</v>
      </c>
    </row>
    <row r="292" spans="1:9" ht="15" customHeight="1" x14ac:dyDescent="0.35">
      <c r="A292" s="1" t="s">
        <v>47</v>
      </c>
      <c r="B292" s="2" t="s">
        <v>61</v>
      </c>
      <c r="C292" s="1" t="s">
        <v>120</v>
      </c>
      <c r="D292" s="1">
        <v>1</v>
      </c>
      <c r="E292" s="1" t="str">
        <f t="shared" si="4"/>
        <v>TSM4_1-24_F1</v>
      </c>
      <c r="F292" s="10">
        <v>45324</v>
      </c>
      <c r="G292" s="10"/>
      <c r="I292" s="30"/>
    </row>
    <row r="293" spans="1:9" ht="15" customHeight="1" x14ac:dyDescent="0.35">
      <c r="A293" s="1" t="s">
        <v>48</v>
      </c>
      <c r="B293" s="2" t="s">
        <v>61</v>
      </c>
      <c r="C293" s="1" t="s">
        <v>120</v>
      </c>
      <c r="D293" s="1">
        <v>1</v>
      </c>
      <c r="E293" s="1" t="str">
        <f t="shared" si="4"/>
        <v>SBT1_1-24_F1</v>
      </c>
      <c r="F293" s="10">
        <v>45324</v>
      </c>
      <c r="G293" s="10"/>
      <c r="I293" t="s">
        <v>17</v>
      </c>
    </row>
    <row r="294" spans="1:9" ht="15" customHeight="1" x14ac:dyDescent="0.35">
      <c r="A294" s="1" t="s">
        <v>14</v>
      </c>
      <c r="B294" s="2" t="s">
        <v>62</v>
      </c>
      <c r="C294" s="1" t="s">
        <v>120</v>
      </c>
      <c r="D294" s="1">
        <v>1</v>
      </c>
      <c r="E294" s="1" t="str">
        <f t="shared" si="4"/>
        <v>P37_3-24_F1</v>
      </c>
      <c r="F294" s="10">
        <v>45358</v>
      </c>
      <c r="I294" t="s">
        <v>17</v>
      </c>
    </row>
    <row r="295" spans="1:9" ht="15" customHeight="1" x14ac:dyDescent="0.35">
      <c r="A295" s="1" t="s">
        <v>19</v>
      </c>
      <c r="B295" s="2" t="s">
        <v>62</v>
      </c>
      <c r="C295" s="1" t="s">
        <v>120</v>
      </c>
      <c r="D295" s="1">
        <v>1</v>
      </c>
      <c r="E295" s="1" t="str">
        <f t="shared" si="4"/>
        <v>NCL_3-24_F1</v>
      </c>
      <c r="F295" s="10">
        <v>45358</v>
      </c>
      <c r="I295" t="s">
        <v>17</v>
      </c>
    </row>
    <row r="296" spans="1:9" ht="15" hidden="1" customHeight="1" x14ac:dyDescent="0.35">
      <c r="A296" s="1" t="s">
        <v>35</v>
      </c>
      <c r="B296" s="2" t="s">
        <v>61</v>
      </c>
      <c r="C296" s="1" t="s">
        <v>119</v>
      </c>
      <c r="D296" s="1">
        <v>2</v>
      </c>
      <c r="E296" s="1" t="str">
        <f t="shared" si="4"/>
        <v>MCS1_1-24_UF2</v>
      </c>
      <c r="F296" s="10">
        <v>45298</v>
      </c>
    </row>
    <row r="297" spans="1:9" ht="15" hidden="1" customHeight="1" x14ac:dyDescent="0.35">
      <c r="A297" s="1" t="s">
        <v>36</v>
      </c>
      <c r="B297" s="2" t="s">
        <v>61</v>
      </c>
      <c r="C297" s="1" t="s">
        <v>119</v>
      </c>
      <c r="D297" s="1">
        <v>2</v>
      </c>
      <c r="E297" s="1" t="str">
        <f t="shared" si="4"/>
        <v>MCS2_1-24_UF2</v>
      </c>
      <c r="F297" s="10">
        <v>45298</v>
      </c>
    </row>
    <row r="298" spans="1:9" ht="15" hidden="1" customHeight="1" x14ac:dyDescent="0.35">
      <c r="A298" s="1" t="s">
        <v>37</v>
      </c>
      <c r="B298" s="2" t="s">
        <v>61</v>
      </c>
      <c r="C298" s="1" t="s">
        <v>119</v>
      </c>
      <c r="D298" s="1">
        <v>2</v>
      </c>
      <c r="E298" s="1" t="str">
        <f t="shared" si="4"/>
        <v>MCS3_1-24_UF2</v>
      </c>
      <c r="F298" s="10">
        <v>45298</v>
      </c>
    </row>
    <row r="299" spans="1:9" ht="15" hidden="1" customHeight="1" x14ac:dyDescent="0.35">
      <c r="A299" s="1" t="s">
        <v>38</v>
      </c>
      <c r="B299" s="2" t="s">
        <v>61</v>
      </c>
      <c r="C299" s="1" t="s">
        <v>119</v>
      </c>
      <c r="D299" s="1">
        <v>2</v>
      </c>
      <c r="E299" s="1" t="str">
        <f t="shared" si="4"/>
        <v>MCS4_1-24_UF2</v>
      </c>
      <c r="F299" s="10">
        <v>45298</v>
      </c>
    </row>
    <row r="300" spans="1:9" ht="15" hidden="1" customHeight="1" x14ac:dyDescent="0.35">
      <c r="A300" s="1" t="s">
        <v>39</v>
      </c>
      <c r="B300" s="2" t="s">
        <v>61</v>
      </c>
      <c r="C300" s="1" t="s">
        <v>119</v>
      </c>
      <c r="D300" s="1">
        <v>2</v>
      </c>
      <c r="E300" s="1" t="str">
        <f t="shared" si="4"/>
        <v>TBHM_1-24_UF2</v>
      </c>
      <c r="F300" s="10">
        <v>45298</v>
      </c>
    </row>
    <row r="301" spans="1:9" ht="15" hidden="1" customHeight="1" x14ac:dyDescent="0.35">
      <c r="A301" s="1" t="s">
        <v>51</v>
      </c>
      <c r="B301" s="2" t="s">
        <v>61</v>
      </c>
      <c r="C301" s="1" t="s">
        <v>119</v>
      </c>
      <c r="D301" s="1">
        <v>2</v>
      </c>
      <c r="E301" s="1" t="str">
        <f t="shared" si="4"/>
        <v>TBC_1-24_UF2</v>
      </c>
      <c r="F301" s="10">
        <v>45298</v>
      </c>
    </row>
    <row r="302" spans="1:9" ht="15" hidden="1" customHeight="1" x14ac:dyDescent="0.35">
      <c r="A302" s="1" t="s">
        <v>40</v>
      </c>
      <c r="B302" s="2" t="s">
        <v>61</v>
      </c>
      <c r="C302" s="1" t="s">
        <v>119</v>
      </c>
      <c r="D302" s="1">
        <v>2</v>
      </c>
      <c r="E302" s="1" t="str">
        <f t="shared" si="4"/>
        <v>TBCM_1-24_UF2</v>
      </c>
      <c r="F302" s="10">
        <v>45298</v>
      </c>
    </row>
    <row r="303" spans="1:9" ht="15" hidden="1" customHeight="1" x14ac:dyDescent="0.35">
      <c r="A303" s="1" t="s">
        <v>41</v>
      </c>
      <c r="B303" s="2" t="s">
        <v>61</v>
      </c>
      <c r="C303" s="1" t="s">
        <v>119</v>
      </c>
      <c r="D303" s="1">
        <v>2</v>
      </c>
      <c r="E303" s="1" t="str">
        <f t="shared" si="4"/>
        <v>TB1_1-24_UF2</v>
      </c>
      <c r="F303" s="10">
        <v>45298</v>
      </c>
    </row>
    <row r="304" spans="1:9" ht="15" hidden="1" customHeight="1" x14ac:dyDescent="0.35">
      <c r="A304" s="1" t="s">
        <v>42</v>
      </c>
      <c r="B304" s="2" t="s">
        <v>61</v>
      </c>
      <c r="C304" s="1" t="s">
        <v>119</v>
      </c>
      <c r="D304" s="1">
        <v>2</v>
      </c>
      <c r="E304" s="1" t="str">
        <f t="shared" si="4"/>
        <v>TB2_1-24_UF2</v>
      </c>
      <c r="F304" s="10">
        <v>45298</v>
      </c>
    </row>
    <row r="305" spans="1:9" ht="15" hidden="1" customHeight="1" x14ac:dyDescent="0.35">
      <c r="A305" s="1" t="s">
        <v>52</v>
      </c>
      <c r="B305" s="2" t="s">
        <v>61</v>
      </c>
      <c r="C305" s="1" t="s">
        <v>119</v>
      </c>
      <c r="D305" s="1">
        <v>2</v>
      </c>
      <c r="E305" s="1" t="str">
        <f t="shared" si="4"/>
        <v>WB1_1-24_UF2</v>
      </c>
      <c r="F305" s="10">
        <v>45298</v>
      </c>
    </row>
    <row r="306" spans="1:9" ht="15" hidden="1" customHeight="1" x14ac:dyDescent="0.35">
      <c r="A306" s="1" t="s">
        <v>53</v>
      </c>
      <c r="B306" s="2" t="s">
        <v>61</v>
      </c>
      <c r="C306" s="1" t="s">
        <v>119</v>
      </c>
      <c r="D306" s="1">
        <v>2</v>
      </c>
      <c r="E306" s="1" t="str">
        <f t="shared" si="4"/>
        <v>WB2_1-24_UF2</v>
      </c>
      <c r="F306" s="10">
        <v>45298</v>
      </c>
    </row>
    <row r="307" spans="1:9" ht="15" hidden="1" customHeight="1" x14ac:dyDescent="0.35">
      <c r="A307" s="1" t="s">
        <v>35</v>
      </c>
      <c r="B307" s="2" t="s">
        <v>61</v>
      </c>
      <c r="C307" s="1" t="s">
        <v>120</v>
      </c>
      <c r="D307" s="1">
        <v>2</v>
      </c>
      <c r="E307" s="1" t="str">
        <f t="shared" si="4"/>
        <v>MCS1_1-24_F2</v>
      </c>
      <c r="F307" s="10">
        <v>45298</v>
      </c>
    </row>
    <row r="308" spans="1:9" ht="15" hidden="1" customHeight="1" x14ac:dyDescent="0.35">
      <c r="A308" s="1" t="s">
        <v>36</v>
      </c>
      <c r="B308" s="2" t="s">
        <v>61</v>
      </c>
      <c r="C308" s="1" t="s">
        <v>120</v>
      </c>
      <c r="D308" s="1">
        <v>2</v>
      </c>
      <c r="E308" s="1" t="str">
        <f t="shared" si="4"/>
        <v>MCS2_1-24_F2</v>
      </c>
      <c r="F308" s="10">
        <v>45298</v>
      </c>
    </row>
    <row r="309" spans="1:9" ht="15" hidden="1" customHeight="1" x14ac:dyDescent="0.35">
      <c r="A309" s="1" t="s">
        <v>37</v>
      </c>
      <c r="B309" s="2" t="s">
        <v>61</v>
      </c>
      <c r="C309" s="1" t="s">
        <v>120</v>
      </c>
      <c r="D309" s="1">
        <v>2</v>
      </c>
      <c r="E309" s="1" t="str">
        <f t="shared" si="4"/>
        <v>MCS3_1-24_F2</v>
      </c>
      <c r="F309" s="10">
        <v>45298</v>
      </c>
    </row>
    <row r="310" spans="1:9" ht="15" hidden="1" customHeight="1" x14ac:dyDescent="0.35">
      <c r="A310" s="1" t="s">
        <v>38</v>
      </c>
      <c r="B310" s="2" t="s">
        <v>61</v>
      </c>
      <c r="C310" s="1" t="s">
        <v>120</v>
      </c>
      <c r="D310" s="1">
        <v>2</v>
      </c>
      <c r="E310" s="1" t="str">
        <f t="shared" si="4"/>
        <v>MCS4_1-24_F2</v>
      </c>
      <c r="F310" s="10">
        <v>45298</v>
      </c>
    </row>
    <row r="311" spans="1:9" ht="15" hidden="1" customHeight="1" x14ac:dyDescent="0.35">
      <c r="A311" s="1" t="s">
        <v>39</v>
      </c>
      <c r="B311" s="2" t="s">
        <v>61</v>
      </c>
      <c r="C311" s="1" t="s">
        <v>120</v>
      </c>
      <c r="D311" s="1">
        <v>2</v>
      </c>
      <c r="E311" s="1" t="str">
        <f t="shared" si="4"/>
        <v>TBHM_1-24_F2</v>
      </c>
      <c r="F311" s="10">
        <v>45298</v>
      </c>
    </row>
    <row r="312" spans="1:9" ht="15" hidden="1" customHeight="1" x14ac:dyDescent="0.35">
      <c r="A312" s="1" t="s">
        <v>51</v>
      </c>
      <c r="B312" s="2" t="s">
        <v>61</v>
      </c>
      <c r="C312" s="1" t="s">
        <v>120</v>
      </c>
      <c r="D312" s="1">
        <v>2</v>
      </c>
      <c r="E312" s="1" t="str">
        <f t="shared" si="4"/>
        <v>TBC_1-24_F2</v>
      </c>
      <c r="F312" s="10">
        <v>45298</v>
      </c>
    </row>
    <row r="313" spans="1:9" ht="15" hidden="1" customHeight="1" x14ac:dyDescent="0.35">
      <c r="A313" s="1" t="s">
        <v>40</v>
      </c>
      <c r="B313" s="2" t="s">
        <v>61</v>
      </c>
      <c r="C313" s="1" t="s">
        <v>120</v>
      </c>
      <c r="D313" s="1">
        <v>2</v>
      </c>
      <c r="E313" s="1" t="str">
        <f t="shared" si="4"/>
        <v>TBCM_1-24_F2</v>
      </c>
      <c r="F313" s="10">
        <v>45298</v>
      </c>
    </row>
    <row r="314" spans="1:9" ht="15" hidden="1" customHeight="1" x14ac:dyDescent="0.35">
      <c r="A314" s="1" t="s">
        <v>41</v>
      </c>
      <c r="B314" s="2" t="s">
        <v>61</v>
      </c>
      <c r="C314" s="1" t="s">
        <v>120</v>
      </c>
      <c r="D314" s="1">
        <v>2</v>
      </c>
      <c r="E314" s="1" t="str">
        <f t="shared" si="4"/>
        <v>TB1_1-24_F2</v>
      </c>
      <c r="F314" s="10">
        <v>45298</v>
      </c>
    </row>
    <row r="315" spans="1:9" ht="15" hidden="1" customHeight="1" x14ac:dyDescent="0.35">
      <c r="A315" s="1" t="s">
        <v>42</v>
      </c>
      <c r="B315" s="2" t="s">
        <v>61</v>
      </c>
      <c r="C315" s="1" t="s">
        <v>120</v>
      </c>
      <c r="D315" s="1">
        <v>2</v>
      </c>
      <c r="E315" s="1" t="str">
        <f t="shared" si="4"/>
        <v>TB2_1-24_F2</v>
      </c>
      <c r="F315" s="10">
        <v>45298</v>
      </c>
    </row>
    <row r="316" spans="1:9" ht="15" hidden="1" customHeight="1" x14ac:dyDescent="0.35">
      <c r="A316" s="1" t="s">
        <v>52</v>
      </c>
      <c r="B316" s="2" t="s">
        <v>61</v>
      </c>
      <c r="C316" s="1" t="s">
        <v>120</v>
      </c>
      <c r="D316" s="1">
        <v>2</v>
      </c>
      <c r="E316" s="1" t="str">
        <f t="shared" si="4"/>
        <v>WB1_1-24_F2</v>
      </c>
      <c r="F316" s="10">
        <v>45298</v>
      </c>
    </row>
    <row r="317" spans="1:9" ht="15" hidden="1" customHeight="1" x14ac:dyDescent="0.35">
      <c r="A317" s="1" t="s">
        <v>53</v>
      </c>
      <c r="B317" s="2" t="s">
        <v>61</v>
      </c>
      <c r="C317" s="1" t="s">
        <v>120</v>
      </c>
      <c r="D317" s="1">
        <v>2</v>
      </c>
      <c r="E317" s="1" t="str">
        <f t="shared" si="4"/>
        <v>WB2_1-24_F2</v>
      </c>
      <c r="F317" s="10">
        <v>45298</v>
      </c>
    </row>
    <row r="318" spans="1:9" ht="15" customHeight="1" x14ac:dyDescent="0.35">
      <c r="A318" s="1" t="s">
        <v>20</v>
      </c>
      <c r="B318" s="2" t="s">
        <v>62</v>
      </c>
      <c r="C318" s="1" t="s">
        <v>120</v>
      </c>
      <c r="D318" s="1">
        <v>1</v>
      </c>
      <c r="E318" s="1" t="str">
        <f t="shared" si="4"/>
        <v>CP_3-24_F1</v>
      </c>
      <c r="F318" s="10">
        <v>45358</v>
      </c>
      <c r="I318" t="s">
        <v>17</v>
      </c>
    </row>
    <row r="319" spans="1:9" ht="15" customHeight="1" x14ac:dyDescent="0.35">
      <c r="A319" s="1" t="s">
        <v>21</v>
      </c>
      <c r="B319" s="2" t="s">
        <v>62</v>
      </c>
      <c r="C319" s="1" t="s">
        <v>120</v>
      </c>
      <c r="D319" s="1">
        <v>1</v>
      </c>
      <c r="E319" s="1" t="str">
        <f t="shared" si="4"/>
        <v>EP146_3-24_F1</v>
      </c>
      <c r="F319" s="10">
        <v>45358</v>
      </c>
      <c r="I319" t="s">
        <v>17</v>
      </c>
    </row>
    <row r="320" spans="1:9" ht="15" customHeight="1" x14ac:dyDescent="0.35">
      <c r="A320" s="1" t="s">
        <v>22</v>
      </c>
      <c r="B320" s="2" t="s">
        <v>62</v>
      </c>
      <c r="C320" s="1" t="s">
        <v>120</v>
      </c>
      <c r="D320" s="1">
        <v>1</v>
      </c>
      <c r="E320" s="1" t="str">
        <f t="shared" si="4"/>
        <v>OL_3-24_F1</v>
      </c>
      <c r="F320" s="10">
        <v>45358</v>
      </c>
      <c r="I320" t="s">
        <v>17</v>
      </c>
    </row>
    <row r="321" spans="1:10" ht="15" customHeight="1" x14ac:dyDescent="0.35">
      <c r="A321" s="1" t="s">
        <v>58</v>
      </c>
      <c r="B321" s="2" t="s">
        <v>62</v>
      </c>
      <c r="C321" s="1" t="s">
        <v>120</v>
      </c>
      <c r="D321" s="1">
        <v>1</v>
      </c>
      <c r="E321" s="1" t="str">
        <f t="shared" si="4"/>
        <v>TSH_3-24_F1</v>
      </c>
      <c r="F321" s="10">
        <v>45358</v>
      </c>
      <c r="I321" t="s">
        <v>17</v>
      </c>
    </row>
    <row r="322" spans="1:10" ht="15" customHeight="1" x14ac:dyDescent="0.35">
      <c r="A322" s="1" t="s">
        <v>23</v>
      </c>
      <c r="B322" s="2" t="s">
        <v>62</v>
      </c>
      <c r="C322" s="1" t="s">
        <v>120</v>
      </c>
      <c r="D322" s="1">
        <v>1</v>
      </c>
      <c r="E322" s="1" t="str">
        <f t="shared" ref="E322:E385" si="5">A322&amp;"_"&amp;B322&amp;"_"&amp;C322&amp;D322</f>
        <v>R127_3-24_F1</v>
      </c>
      <c r="F322" s="10">
        <v>45358</v>
      </c>
      <c r="I322" t="s">
        <v>17</v>
      </c>
    </row>
    <row r="323" spans="1:10" ht="15" customHeight="1" x14ac:dyDescent="0.35">
      <c r="A323" s="1" t="s">
        <v>35</v>
      </c>
      <c r="B323" s="2" t="s">
        <v>63</v>
      </c>
      <c r="C323" s="1" t="s">
        <v>120</v>
      </c>
      <c r="D323" s="1">
        <v>1</v>
      </c>
      <c r="E323" s="1" t="str">
        <f t="shared" si="5"/>
        <v>MCS1_4-24_F1</v>
      </c>
      <c r="F323" s="10">
        <v>45390</v>
      </c>
      <c r="I323" t="s">
        <v>17</v>
      </c>
    </row>
    <row r="324" spans="1:10" ht="15" customHeight="1" x14ac:dyDescent="0.35">
      <c r="A324" s="1" t="s">
        <v>36</v>
      </c>
      <c r="B324" s="2" t="s">
        <v>63</v>
      </c>
      <c r="C324" s="1" t="s">
        <v>120</v>
      </c>
      <c r="D324" s="1">
        <v>1</v>
      </c>
      <c r="E324" s="1" t="str">
        <f t="shared" si="5"/>
        <v>MCS2_4-24_F1</v>
      </c>
      <c r="F324" s="10">
        <v>45390</v>
      </c>
      <c r="I324" t="s">
        <v>17</v>
      </c>
    </row>
    <row r="325" spans="1:10" ht="15" customHeight="1" x14ac:dyDescent="0.35">
      <c r="A325" s="1" t="s">
        <v>37</v>
      </c>
      <c r="B325" s="2" t="s">
        <v>63</v>
      </c>
      <c r="C325" s="1" t="s">
        <v>120</v>
      </c>
      <c r="D325" s="1">
        <v>1</v>
      </c>
      <c r="E325" s="1" t="str">
        <f t="shared" si="5"/>
        <v>MCS3_4-24_F1</v>
      </c>
      <c r="F325" s="10">
        <v>45390</v>
      </c>
      <c r="I325" t="s">
        <v>17</v>
      </c>
    </row>
    <row r="326" spans="1:10" ht="15" customHeight="1" x14ac:dyDescent="0.35">
      <c r="A326" s="1" t="s">
        <v>38</v>
      </c>
      <c r="B326" s="2" t="s">
        <v>63</v>
      </c>
      <c r="C326" s="1" t="s">
        <v>120</v>
      </c>
      <c r="D326" s="1">
        <v>1</v>
      </c>
      <c r="E326" s="1" t="str">
        <f t="shared" si="5"/>
        <v>MCS4_4-24_F1</v>
      </c>
      <c r="F326" s="10">
        <v>45390</v>
      </c>
      <c r="I326" t="s">
        <v>17</v>
      </c>
    </row>
    <row r="327" spans="1:10" ht="15" customHeight="1" x14ac:dyDescent="0.35">
      <c r="A327" s="1" t="s">
        <v>39</v>
      </c>
      <c r="B327" s="2" t="s">
        <v>63</v>
      </c>
      <c r="C327" s="1" t="s">
        <v>120</v>
      </c>
      <c r="D327" s="1">
        <v>1</v>
      </c>
      <c r="E327" s="1" t="str">
        <f t="shared" si="5"/>
        <v>TBHM_4-24_F1</v>
      </c>
      <c r="F327" s="10">
        <v>45390</v>
      </c>
      <c r="I327" t="s">
        <v>17</v>
      </c>
    </row>
    <row r="328" spans="1:10" ht="15" customHeight="1" x14ac:dyDescent="0.35">
      <c r="A328" s="1" t="s">
        <v>51</v>
      </c>
      <c r="B328" s="2" t="s">
        <v>63</v>
      </c>
      <c r="C328" s="1" t="s">
        <v>120</v>
      </c>
      <c r="D328" s="1">
        <v>1</v>
      </c>
      <c r="E328" s="1" t="str">
        <f t="shared" si="5"/>
        <v>TBC_4-24_F1</v>
      </c>
      <c r="F328" s="10">
        <v>45390</v>
      </c>
      <c r="I328" t="s">
        <v>17</v>
      </c>
    </row>
    <row r="329" spans="1:10" ht="15" customHeight="1" x14ac:dyDescent="0.35">
      <c r="A329" s="1" t="s">
        <v>40</v>
      </c>
      <c r="B329" s="2" t="s">
        <v>63</v>
      </c>
      <c r="C329" s="1" t="s">
        <v>120</v>
      </c>
      <c r="D329" s="1">
        <v>1</v>
      </c>
      <c r="E329" s="1" t="str">
        <f t="shared" si="5"/>
        <v>TBCM_4-24_F1</v>
      </c>
      <c r="F329" s="10">
        <v>45390</v>
      </c>
      <c r="I329" t="s">
        <v>17</v>
      </c>
    </row>
    <row r="330" spans="1:10" ht="15" customHeight="1" x14ac:dyDescent="0.35">
      <c r="A330" s="1" t="s">
        <v>41</v>
      </c>
      <c r="B330" s="2" t="s">
        <v>63</v>
      </c>
      <c r="C330" s="1" t="s">
        <v>120</v>
      </c>
      <c r="D330" s="1">
        <v>1</v>
      </c>
      <c r="E330" s="1" t="str">
        <f t="shared" si="5"/>
        <v>TB1_4-24_F1</v>
      </c>
      <c r="F330" s="10">
        <v>45390</v>
      </c>
      <c r="I330" t="s">
        <v>17</v>
      </c>
    </row>
    <row r="331" spans="1:10" ht="15" customHeight="1" x14ac:dyDescent="0.35">
      <c r="A331" s="1" t="s">
        <v>42</v>
      </c>
      <c r="B331" s="2" t="s">
        <v>63</v>
      </c>
      <c r="C331" s="1" t="s">
        <v>120</v>
      </c>
      <c r="D331" s="1">
        <v>1</v>
      </c>
      <c r="E331" s="1" t="str">
        <f t="shared" si="5"/>
        <v>TB2_4-24_F1</v>
      </c>
      <c r="F331" s="10">
        <v>45390</v>
      </c>
      <c r="I331" t="s">
        <v>17</v>
      </c>
    </row>
    <row r="332" spans="1:10" ht="15" customHeight="1" x14ac:dyDescent="0.35">
      <c r="A332" s="1" t="s">
        <v>45</v>
      </c>
      <c r="B332" s="2" t="s">
        <v>63</v>
      </c>
      <c r="C332" s="1" t="s">
        <v>120</v>
      </c>
      <c r="D332" s="1">
        <v>1</v>
      </c>
      <c r="E332" s="1" t="str">
        <f t="shared" si="5"/>
        <v>TSM1_4-24_F1</v>
      </c>
      <c r="F332" s="10">
        <v>45391</v>
      </c>
      <c r="I332" t="s">
        <v>17</v>
      </c>
    </row>
    <row r="333" spans="1:10" ht="15" customHeight="1" x14ac:dyDescent="0.35">
      <c r="A333" s="1" t="s">
        <v>46</v>
      </c>
      <c r="B333" s="2" t="s">
        <v>63</v>
      </c>
      <c r="C333" s="1" t="s">
        <v>120</v>
      </c>
      <c r="D333" s="1">
        <v>1</v>
      </c>
      <c r="E333" s="1" t="str">
        <f t="shared" si="5"/>
        <v>TSM3_4-24_F1</v>
      </c>
      <c r="F333" s="10">
        <v>45391</v>
      </c>
      <c r="I333" s="30"/>
    </row>
    <row r="334" spans="1:10" ht="15" customHeight="1" x14ac:dyDescent="0.35">
      <c r="A334" s="1" t="s">
        <v>47</v>
      </c>
      <c r="B334" s="2" t="s">
        <v>63</v>
      </c>
      <c r="C334" s="1" t="s">
        <v>120</v>
      </c>
      <c r="D334" s="1">
        <v>1</v>
      </c>
      <c r="E334" s="1" t="str">
        <f t="shared" si="5"/>
        <v>TSM4_4-24_F1</v>
      </c>
      <c r="F334" s="10">
        <v>45391</v>
      </c>
      <c r="I334" t="s">
        <v>17</v>
      </c>
    </row>
    <row r="335" spans="1:10" ht="15" customHeight="1" x14ac:dyDescent="0.35">
      <c r="A335" s="1" t="s">
        <v>48</v>
      </c>
      <c r="B335" s="2" t="s">
        <v>63</v>
      </c>
      <c r="C335" s="1" t="s">
        <v>120</v>
      </c>
      <c r="D335" s="1">
        <v>1</v>
      </c>
      <c r="E335" s="1" t="str">
        <f t="shared" si="5"/>
        <v>SBT1_4-24_F1</v>
      </c>
      <c r="F335" s="10">
        <v>45391</v>
      </c>
      <c r="I335" t="s">
        <v>17</v>
      </c>
    </row>
    <row r="336" spans="1:10" ht="15" customHeight="1" x14ac:dyDescent="0.35">
      <c r="A336" s="1" t="s">
        <v>24</v>
      </c>
      <c r="B336" s="2" t="s">
        <v>63</v>
      </c>
      <c r="C336" s="1" t="s">
        <v>120</v>
      </c>
      <c r="D336" s="1">
        <v>1</v>
      </c>
      <c r="E336" s="1" t="str">
        <f t="shared" si="5"/>
        <v>ACS1_4-24_F1</v>
      </c>
      <c r="F336" s="10">
        <v>45392</v>
      </c>
      <c r="I336" t="s">
        <v>17</v>
      </c>
      <c r="J336" t="s">
        <v>121</v>
      </c>
    </row>
    <row r="337" spans="1:9" ht="15" customHeight="1" x14ac:dyDescent="0.35">
      <c r="A337" s="1" t="s">
        <v>25</v>
      </c>
      <c r="B337" s="2" t="s">
        <v>63</v>
      </c>
      <c r="C337" s="1" t="s">
        <v>120</v>
      </c>
      <c r="D337" s="1">
        <v>1</v>
      </c>
      <c r="E337" s="1" t="str">
        <f t="shared" si="5"/>
        <v>ACS2_4-24_F1</v>
      </c>
      <c r="F337" s="10">
        <v>45392</v>
      </c>
      <c r="I337" t="s">
        <v>17</v>
      </c>
    </row>
    <row r="338" spans="1:9" ht="15" customHeight="1" x14ac:dyDescent="0.35">
      <c r="A338" s="1" t="s">
        <v>26</v>
      </c>
      <c r="B338" s="2" t="s">
        <v>63</v>
      </c>
      <c r="C338" s="1" t="s">
        <v>120</v>
      </c>
      <c r="D338" s="1">
        <v>1</v>
      </c>
      <c r="E338" s="1" t="str">
        <f t="shared" si="5"/>
        <v>ACS3_4-24_F1</v>
      </c>
      <c r="F338" s="10">
        <v>45392</v>
      </c>
      <c r="I338" t="s">
        <v>17</v>
      </c>
    </row>
    <row r="339" spans="1:9" ht="15" customHeight="1" x14ac:dyDescent="0.35">
      <c r="A339" s="1" t="s">
        <v>27</v>
      </c>
      <c r="B339" s="2" t="s">
        <v>63</v>
      </c>
      <c r="C339" s="1" t="s">
        <v>120</v>
      </c>
      <c r="D339" s="1">
        <v>1</v>
      </c>
      <c r="E339" s="1" t="str">
        <f t="shared" si="5"/>
        <v>ACS4_4-24_F1</v>
      </c>
      <c r="F339" s="10">
        <v>45392</v>
      </c>
      <c r="I339" t="s">
        <v>17</v>
      </c>
    </row>
    <row r="340" spans="1:9" ht="15" hidden="1" customHeight="1" x14ac:dyDescent="0.35">
      <c r="A340" s="1" t="s">
        <v>24</v>
      </c>
      <c r="B340" s="2" t="s">
        <v>61</v>
      </c>
      <c r="C340" s="1" t="s">
        <v>119</v>
      </c>
      <c r="D340" s="1">
        <v>2</v>
      </c>
      <c r="E340" s="1" t="str">
        <f t="shared" si="5"/>
        <v>ACS1_1-24_UF2</v>
      </c>
      <c r="F340" s="10">
        <v>45302</v>
      </c>
    </row>
    <row r="341" spans="1:9" ht="15" hidden="1" customHeight="1" x14ac:dyDescent="0.35">
      <c r="A341" s="1" t="s">
        <v>25</v>
      </c>
      <c r="B341" s="2" t="s">
        <v>61</v>
      </c>
      <c r="C341" s="1" t="s">
        <v>119</v>
      </c>
      <c r="D341" s="1">
        <v>2</v>
      </c>
      <c r="E341" s="1" t="str">
        <f t="shared" si="5"/>
        <v>ACS2_1-24_UF2</v>
      </c>
      <c r="F341" s="10">
        <v>45302</v>
      </c>
    </row>
    <row r="342" spans="1:9" ht="15" hidden="1" customHeight="1" x14ac:dyDescent="0.35">
      <c r="A342" s="1" t="s">
        <v>26</v>
      </c>
      <c r="B342" s="2" t="s">
        <v>61</v>
      </c>
      <c r="C342" s="1" t="s">
        <v>119</v>
      </c>
      <c r="D342" s="1">
        <v>2</v>
      </c>
      <c r="E342" s="1" t="str">
        <f t="shared" si="5"/>
        <v>ACS3_1-24_UF2</v>
      </c>
      <c r="F342" s="10">
        <v>45302</v>
      </c>
    </row>
    <row r="343" spans="1:9" ht="15" hidden="1" customHeight="1" x14ac:dyDescent="0.35">
      <c r="A343" s="1" t="s">
        <v>27</v>
      </c>
      <c r="B343" s="2" t="s">
        <v>61</v>
      </c>
      <c r="C343" s="1" t="s">
        <v>119</v>
      </c>
      <c r="D343" s="1">
        <v>2</v>
      </c>
      <c r="E343" s="1" t="str">
        <f t="shared" si="5"/>
        <v>ACS4_1-24_UF2</v>
      </c>
      <c r="F343" s="10">
        <v>45302</v>
      </c>
    </row>
    <row r="344" spans="1:9" ht="15" hidden="1" customHeight="1" x14ac:dyDescent="0.35">
      <c r="A344" s="1" t="s">
        <v>28</v>
      </c>
      <c r="B344" s="2" t="s">
        <v>61</v>
      </c>
      <c r="C344" s="1" t="s">
        <v>119</v>
      </c>
      <c r="D344" s="1">
        <v>2</v>
      </c>
      <c r="E344" s="1" t="str">
        <f t="shared" si="5"/>
        <v>ACS5_1-24_UF2</v>
      </c>
      <c r="F344" s="10">
        <v>45302</v>
      </c>
    </row>
    <row r="345" spans="1:9" ht="15" hidden="1" customHeight="1" x14ac:dyDescent="0.35">
      <c r="A345" s="1" t="s">
        <v>29</v>
      </c>
      <c r="B345" s="2" t="s">
        <v>61</v>
      </c>
      <c r="C345" s="1" t="s">
        <v>119</v>
      </c>
      <c r="D345" s="1">
        <v>2</v>
      </c>
      <c r="E345" s="1" t="str">
        <f t="shared" si="5"/>
        <v>GBHM_1-24_UF2</v>
      </c>
      <c r="F345" s="10">
        <v>45302</v>
      </c>
    </row>
    <row r="346" spans="1:9" ht="15" hidden="1" customHeight="1" x14ac:dyDescent="0.35">
      <c r="A346" s="1" t="s">
        <v>30</v>
      </c>
      <c r="B346" s="2" t="s">
        <v>61</v>
      </c>
      <c r="C346" s="1" t="s">
        <v>119</v>
      </c>
      <c r="D346" s="1">
        <v>2</v>
      </c>
      <c r="E346" s="1" t="str">
        <f t="shared" si="5"/>
        <v>DC1_1-24_UF2</v>
      </c>
      <c r="F346" s="10">
        <v>45302</v>
      </c>
    </row>
    <row r="347" spans="1:9" ht="15" hidden="1" customHeight="1" x14ac:dyDescent="0.35">
      <c r="A347" s="1" t="s">
        <v>31</v>
      </c>
      <c r="B347" s="2" t="s">
        <v>61</v>
      </c>
      <c r="C347" s="1" t="s">
        <v>119</v>
      </c>
      <c r="D347" s="1">
        <v>2</v>
      </c>
      <c r="E347" s="1" t="str">
        <f t="shared" si="5"/>
        <v>DCM1_1-24_UF2</v>
      </c>
      <c r="F347" s="10">
        <v>45302</v>
      </c>
    </row>
    <row r="348" spans="1:9" ht="15" hidden="1" customHeight="1" x14ac:dyDescent="0.35">
      <c r="A348" s="1" t="s">
        <v>32</v>
      </c>
      <c r="B348" s="2" t="s">
        <v>61</v>
      </c>
      <c r="C348" s="1" t="s">
        <v>119</v>
      </c>
      <c r="D348" s="1">
        <v>2</v>
      </c>
      <c r="E348" s="1" t="str">
        <f t="shared" si="5"/>
        <v>DC2_1-24_UF2</v>
      </c>
      <c r="F348" s="10">
        <v>45302</v>
      </c>
    </row>
    <row r="349" spans="1:9" ht="15" hidden="1" customHeight="1" x14ac:dyDescent="0.35">
      <c r="A349" s="1" t="s">
        <v>33</v>
      </c>
      <c r="B349" s="2" t="s">
        <v>61</v>
      </c>
      <c r="C349" s="1" t="s">
        <v>119</v>
      </c>
      <c r="D349" s="1">
        <v>2</v>
      </c>
      <c r="E349" s="1" t="str">
        <f t="shared" si="5"/>
        <v>DCM2_1-24_UF2</v>
      </c>
      <c r="F349" s="10">
        <v>45302</v>
      </c>
    </row>
    <row r="350" spans="1:9" ht="15" hidden="1" customHeight="1" x14ac:dyDescent="0.35">
      <c r="A350" s="1" t="s">
        <v>34</v>
      </c>
      <c r="B350" s="2" t="s">
        <v>61</v>
      </c>
      <c r="C350" s="1" t="s">
        <v>119</v>
      </c>
      <c r="D350" s="1">
        <v>2</v>
      </c>
      <c r="E350" s="1" t="str">
        <f t="shared" si="5"/>
        <v>GB1_1-24_UF2</v>
      </c>
      <c r="F350" s="10">
        <v>45302</v>
      </c>
    </row>
    <row r="351" spans="1:9" ht="15" hidden="1" customHeight="1" x14ac:dyDescent="0.35">
      <c r="A351" s="1" t="s">
        <v>24</v>
      </c>
      <c r="B351" s="2" t="s">
        <v>61</v>
      </c>
      <c r="C351" s="1" t="s">
        <v>120</v>
      </c>
      <c r="D351" s="1">
        <v>2</v>
      </c>
      <c r="E351" s="1" t="str">
        <f t="shared" si="5"/>
        <v>ACS1_1-24_F2</v>
      </c>
      <c r="F351" s="10">
        <v>45302</v>
      </c>
    </row>
    <row r="352" spans="1:9" ht="15" hidden="1" customHeight="1" x14ac:dyDescent="0.35">
      <c r="A352" s="1" t="s">
        <v>25</v>
      </c>
      <c r="B352" s="2" t="s">
        <v>61</v>
      </c>
      <c r="C352" s="1" t="s">
        <v>120</v>
      </c>
      <c r="D352" s="1">
        <v>2</v>
      </c>
      <c r="E352" s="1" t="str">
        <f t="shared" si="5"/>
        <v>ACS2_1-24_F2</v>
      </c>
      <c r="F352" s="10">
        <v>45302</v>
      </c>
    </row>
    <row r="353" spans="1:9" ht="15" hidden="1" customHeight="1" x14ac:dyDescent="0.35">
      <c r="A353" s="1" t="s">
        <v>26</v>
      </c>
      <c r="B353" s="2" t="s">
        <v>61</v>
      </c>
      <c r="C353" s="1" t="s">
        <v>120</v>
      </c>
      <c r="D353" s="1">
        <v>2</v>
      </c>
      <c r="E353" s="1" t="str">
        <f t="shared" si="5"/>
        <v>ACS3_1-24_F2</v>
      </c>
      <c r="F353" s="10">
        <v>45302</v>
      </c>
    </row>
    <row r="354" spans="1:9" ht="15" hidden="1" customHeight="1" x14ac:dyDescent="0.35">
      <c r="A354" s="1" t="s">
        <v>27</v>
      </c>
      <c r="B354" s="2" t="s">
        <v>61</v>
      </c>
      <c r="C354" s="1" t="s">
        <v>120</v>
      </c>
      <c r="D354" s="1">
        <v>2</v>
      </c>
      <c r="E354" s="1" t="str">
        <f t="shared" si="5"/>
        <v>ACS4_1-24_F2</v>
      </c>
      <c r="F354" s="10">
        <v>45302</v>
      </c>
    </row>
    <row r="355" spans="1:9" ht="15" hidden="1" customHeight="1" x14ac:dyDescent="0.35">
      <c r="A355" s="1" t="s">
        <v>28</v>
      </c>
      <c r="B355" s="2" t="s">
        <v>61</v>
      </c>
      <c r="C355" s="1" t="s">
        <v>120</v>
      </c>
      <c r="D355" s="1">
        <v>2</v>
      </c>
      <c r="E355" s="1" t="str">
        <f t="shared" si="5"/>
        <v>ACS5_1-24_F2</v>
      </c>
      <c r="F355" s="10">
        <v>45302</v>
      </c>
    </row>
    <row r="356" spans="1:9" ht="15" hidden="1" customHeight="1" x14ac:dyDescent="0.35">
      <c r="A356" s="1" t="s">
        <v>29</v>
      </c>
      <c r="B356" s="2" t="s">
        <v>61</v>
      </c>
      <c r="C356" s="1" t="s">
        <v>120</v>
      </c>
      <c r="D356" s="1">
        <v>2</v>
      </c>
      <c r="E356" s="1" t="str">
        <f t="shared" si="5"/>
        <v>GBHM_1-24_F2</v>
      </c>
      <c r="F356" s="10">
        <v>45302</v>
      </c>
    </row>
    <row r="357" spans="1:9" ht="15" hidden="1" customHeight="1" x14ac:dyDescent="0.35">
      <c r="A357" s="1" t="s">
        <v>30</v>
      </c>
      <c r="B357" s="2" t="s">
        <v>61</v>
      </c>
      <c r="C357" s="1" t="s">
        <v>120</v>
      </c>
      <c r="D357" s="1">
        <v>2</v>
      </c>
      <c r="E357" s="1" t="str">
        <f t="shared" si="5"/>
        <v>DC1_1-24_F2</v>
      </c>
      <c r="F357" s="10">
        <v>45302</v>
      </c>
    </row>
    <row r="358" spans="1:9" ht="15" hidden="1" customHeight="1" x14ac:dyDescent="0.35">
      <c r="A358" s="1" t="s">
        <v>31</v>
      </c>
      <c r="B358" s="2" t="s">
        <v>61</v>
      </c>
      <c r="C358" s="1" t="s">
        <v>120</v>
      </c>
      <c r="D358" s="1">
        <v>2</v>
      </c>
      <c r="E358" s="1" t="str">
        <f t="shared" si="5"/>
        <v>DCM1_1-24_F2</v>
      </c>
      <c r="F358" s="10">
        <v>45302</v>
      </c>
    </row>
    <row r="359" spans="1:9" ht="15" hidden="1" customHeight="1" x14ac:dyDescent="0.35">
      <c r="A359" s="1" t="s">
        <v>32</v>
      </c>
      <c r="B359" s="2" t="s">
        <v>61</v>
      </c>
      <c r="C359" s="1" t="s">
        <v>120</v>
      </c>
      <c r="D359" s="1">
        <v>2</v>
      </c>
      <c r="E359" s="1" t="str">
        <f t="shared" si="5"/>
        <v>DC2_1-24_F2</v>
      </c>
      <c r="F359" s="10">
        <v>45302</v>
      </c>
    </row>
    <row r="360" spans="1:9" ht="15" hidden="1" customHeight="1" x14ac:dyDescent="0.35">
      <c r="A360" s="1" t="s">
        <v>33</v>
      </c>
      <c r="B360" s="2" t="s">
        <v>61</v>
      </c>
      <c r="C360" s="1" t="s">
        <v>120</v>
      </c>
      <c r="D360" s="1">
        <v>2</v>
      </c>
      <c r="E360" s="1" t="str">
        <f t="shared" si="5"/>
        <v>DCM2_1-24_F2</v>
      </c>
      <c r="F360" s="10">
        <v>45302</v>
      </c>
    </row>
    <row r="361" spans="1:9" ht="15" hidden="1" customHeight="1" x14ac:dyDescent="0.35">
      <c r="A361" s="1" t="s">
        <v>34</v>
      </c>
      <c r="B361" s="2" t="s">
        <v>61</v>
      </c>
      <c r="C361" s="1" t="s">
        <v>120</v>
      </c>
      <c r="D361" s="1">
        <v>2</v>
      </c>
      <c r="E361" s="1" t="str">
        <f t="shared" si="5"/>
        <v>GB1_1-24_F2</v>
      </c>
      <c r="F361" s="10">
        <v>45302</v>
      </c>
    </row>
    <row r="362" spans="1:9" ht="15" customHeight="1" x14ac:dyDescent="0.35">
      <c r="A362" s="1" t="s">
        <v>28</v>
      </c>
      <c r="B362" s="2" t="s">
        <v>63</v>
      </c>
      <c r="C362" s="1" t="s">
        <v>120</v>
      </c>
      <c r="D362" s="1">
        <v>1</v>
      </c>
      <c r="E362" s="1" t="str">
        <f t="shared" si="5"/>
        <v>ACS5_4-24_F1</v>
      </c>
      <c r="F362" s="10">
        <v>45392</v>
      </c>
      <c r="I362" t="s">
        <v>17</v>
      </c>
    </row>
    <row r="363" spans="1:9" ht="15" customHeight="1" x14ac:dyDescent="0.35">
      <c r="A363" s="1" t="s">
        <v>29</v>
      </c>
      <c r="B363" s="2" t="s">
        <v>63</v>
      </c>
      <c r="C363" s="1" t="s">
        <v>120</v>
      </c>
      <c r="D363" s="1">
        <v>1</v>
      </c>
      <c r="E363" s="1" t="str">
        <f t="shared" si="5"/>
        <v>GBHM_4-24_F1</v>
      </c>
      <c r="F363" s="10">
        <v>45392</v>
      </c>
      <c r="I363" s="30"/>
    </row>
    <row r="364" spans="1:9" ht="15" customHeight="1" x14ac:dyDescent="0.35">
      <c r="A364" s="1" t="s">
        <v>30</v>
      </c>
      <c r="B364" s="2" t="s">
        <v>63</v>
      </c>
      <c r="C364" s="1" t="s">
        <v>120</v>
      </c>
      <c r="D364" s="1">
        <v>1</v>
      </c>
      <c r="E364" s="1" t="str">
        <f t="shared" si="5"/>
        <v>DC1_4-24_F1</v>
      </c>
      <c r="F364" s="10">
        <v>45392</v>
      </c>
      <c r="I364" t="s">
        <v>17</v>
      </c>
    </row>
    <row r="365" spans="1:9" ht="15" customHeight="1" x14ac:dyDescent="0.35">
      <c r="A365" s="1" t="s">
        <v>31</v>
      </c>
      <c r="B365" s="2" t="s">
        <v>63</v>
      </c>
      <c r="C365" s="1" t="s">
        <v>120</v>
      </c>
      <c r="D365" s="1">
        <v>1</v>
      </c>
      <c r="E365" s="1" t="str">
        <f t="shared" si="5"/>
        <v>DCM1_4-24_F1</v>
      </c>
      <c r="F365" s="10">
        <v>45392</v>
      </c>
      <c r="I365" t="s">
        <v>17</v>
      </c>
    </row>
    <row r="366" spans="1:9" ht="15" customHeight="1" x14ac:dyDescent="0.35">
      <c r="A366" s="1" t="s">
        <v>32</v>
      </c>
      <c r="B366" s="2" t="s">
        <v>63</v>
      </c>
      <c r="C366" s="1" t="s">
        <v>120</v>
      </c>
      <c r="D366" s="1">
        <v>1</v>
      </c>
      <c r="E366" s="1" t="str">
        <f t="shared" si="5"/>
        <v>DC2_4-24_F1</v>
      </c>
      <c r="F366" s="10">
        <v>45392</v>
      </c>
      <c r="I366" t="s">
        <v>17</v>
      </c>
    </row>
    <row r="367" spans="1:9" ht="15" customHeight="1" x14ac:dyDescent="0.35">
      <c r="A367" s="1" t="s">
        <v>33</v>
      </c>
      <c r="B367" s="2" t="s">
        <v>63</v>
      </c>
      <c r="C367" s="1" t="s">
        <v>120</v>
      </c>
      <c r="D367" s="1">
        <v>1</v>
      </c>
      <c r="E367" s="1" t="str">
        <f t="shared" si="5"/>
        <v>DCM2_4-24_F1</v>
      </c>
      <c r="F367" s="10">
        <v>45392</v>
      </c>
      <c r="I367" s="30"/>
    </row>
    <row r="368" spans="1:9" ht="15" customHeight="1" x14ac:dyDescent="0.35">
      <c r="A368" s="1" t="s">
        <v>34</v>
      </c>
      <c r="B368" s="2" t="s">
        <v>63</v>
      </c>
      <c r="C368" s="1" t="s">
        <v>120</v>
      </c>
      <c r="D368" s="1">
        <v>1</v>
      </c>
      <c r="E368" s="1" t="str">
        <f t="shared" si="5"/>
        <v>GB1_4-24_F1</v>
      </c>
      <c r="F368" s="10">
        <v>45392</v>
      </c>
      <c r="I368" t="s">
        <v>17</v>
      </c>
    </row>
    <row r="369" spans="1:9" ht="15" customHeight="1" x14ac:dyDescent="0.35">
      <c r="A369" s="1" t="s">
        <v>49</v>
      </c>
      <c r="B369" s="2" t="s">
        <v>63</v>
      </c>
      <c r="C369" s="1" t="s">
        <v>120</v>
      </c>
      <c r="D369" s="1">
        <v>1</v>
      </c>
      <c r="E369" s="1" t="str">
        <f t="shared" si="5"/>
        <v>SBT2_4-24_F1</v>
      </c>
      <c r="F369" s="10">
        <v>45393</v>
      </c>
      <c r="I369" t="s">
        <v>17</v>
      </c>
    </row>
    <row r="370" spans="1:9" ht="15" hidden="1" customHeight="1" x14ac:dyDescent="0.35">
      <c r="A370" s="1" t="s">
        <v>45</v>
      </c>
      <c r="B370" s="2" t="s">
        <v>61</v>
      </c>
      <c r="C370" s="1" t="s">
        <v>119</v>
      </c>
      <c r="D370" s="1">
        <v>2</v>
      </c>
      <c r="E370" s="1" t="str">
        <f t="shared" si="5"/>
        <v>TSM1_1-24_UF2</v>
      </c>
      <c r="F370" s="10">
        <v>45324</v>
      </c>
    </row>
    <row r="371" spans="1:9" ht="15" hidden="1" customHeight="1" x14ac:dyDescent="0.35">
      <c r="A371" s="1" t="s">
        <v>46</v>
      </c>
      <c r="B371" s="2" t="s">
        <v>61</v>
      </c>
      <c r="C371" s="1" t="s">
        <v>119</v>
      </c>
      <c r="D371" s="1">
        <v>2</v>
      </c>
      <c r="E371" s="1" t="str">
        <f t="shared" si="5"/>
        <v>TSM3_1-24_UF2</v>
      </c>
      <c r="F371" s="10">
        <v>45324</v>
      </c>
    </row>
    <row r="372" spans="1:9" ht="15" hidden="1" customHeight="1" x14ac:dyDescent="0.35">
      <c r="A372" s="1" t="s">
        <v>47</v>
      </c>
      <c r="B372" s="2" t="s">
        <v>61</v>
      </c>
      <c r="C372" s="1" t="s">
        <v>119</v>
      </c>
      <c r="D372" s="1">
        <v>2</v>
      </c>
      <c r="E372" s="1" t="str">
        <f t="shared" si="5"/>
        <v>TSM4_1-24_UF2</v>
      </c>
      <c r="F372" s="10">
        <v>45324</v>
      </c>
    </row>
    <row r="373" spans="1:9" ht="15" hidden="1" customHeight="1" x14ac:dyDescent="0.35">
      <c r="A373" s="1" t="s">
        <v>48</v>
      </c>
      <c r="B373" s="2" t="s">
        <v>61</v>
      </c>
      <c r="C373" s="1" t="s">
        <v>119</v>
      </c>
      <c r="D373" s="1">
        <v>2</v>
      </c>
      <c r="E373" s="1" t="str">
        <f t="shared" si="5"/>
        <v>SBT1_1-24_UF2</v>
      </c>
      <c r="F373" s="10">
        <v>45324</v>
      </c>
    </row>
    <row r="374" spans="1:9" ht="15" hidden="1" customHeight="1" x14ac:dyDescent="0.35">
      <c r="A374" s="1" t="s">
        <v>45</v>
      </c>
      <c r="B374" s="2" t="s">
        <v>61</v>
      </c>
      <c r="C374" s="1" t="s">
        <v>120</v>
      </c>
      <c r="D374" s="1">
        <v>2</v>
      </c>
      <c r="E374" s="1" t="str">
        <f t="shared" si="5"/>
        <v>TSM1_1-24_F2</v>
      </c>
      <c r="F374" s="10">
        <v>45324</v>
      </c>
    </row>
    <row r="375" spans="1:9" ht="15" hidden="1" customHeight="1" x14ac:dyDescent="0.35">
      <c r="A375" s="1" t="s">
        <v>46</v>
      </c>
      <c r="B375" s="2" t="s">
        <v>61</v>
      </c>
      <c r="C375" s="1" t="s">
        <v>120</v>
      </c>
      <c r="D375" s="1">
        <v>2</v>
      </c>
      <c r="E375" s="1" t="str">
        <f t="shared" si="5"/>
        <v>TSM3_1-24_F2</v>
      </c>
      <c r="F375" s="10">
        <v>45324</v>
      </c>
    </row>
    <row r="376" spans="1:9" ht="15" hidden="1" customHeight="1" x14ac:dyDescent="0.35">
      <c r="A376" s="1" t="s">
        <v>47</v>
      </c>
      <c r="B376" s="2" t="s">
        <v>61</v>
      </c>
      <c r="C376" s="1" t="s">
        <v>120</v>
      </c>
      <c r="D376" s="1">
        <v>2</v>
      </c>
      <c r="E376" s="1" t="str">
        <f t="shared" si="5"/>
        <v>TSM4_1-24_F2</v>
      </c>
      <c r="F376" s="10">
        <v>45324</v>
      </c>
    </row>
    <row r="377" spans="1:9" ht="15" hidden="1" customHeight="1" x14ac:dyDescent="0.35">
      <c r="A377" s="1" t="s">
        <v>48</v>
      </c>
      <c r="B377" s="2" t="s">
        <v>61</v>
      </c>
      <c r="C377" s="1" t="s">
        <v>120</v>
      </c>
      <c r="D377" s="1">
        <v>2</v>
      </c>
      <c r="E377" s="1" t="str">
        <f t="shared" si="5"/>
        <v>SBT1_1-24_F2</v>
      </c>
      <c r="F377" s="10">
        <v>45324</v>
      </c>
    </row>
    <row r="378" spans="1:9" ht="15" customHeight="1" x14ac:dyDescent="0.35">
      <c r="A378" s="1" t="s">
        <v>43</v>
      </c>
      <c r="B378" s="2" t="s">
        <v>63</v>
      </c>
      <c r="C378" s="1" t="s">
        <v>120</v>
      </c>
      <c r="D378" s="1">
        <v>1</v>
      </c>
      <c r="E378" s="1" t="str">
        <f t="shared" si="5"/>
        <v>GB2_4-24_F1</v>
      </c>
      <c r="F378" s="10">
        <v>45393</v>
      </c>
      <c r="I378" t="s">
        <v>17</v>
      </c>
    </row>
    <row r="379" spans="1:9" ht="15" customHeight="1" x14ac:dyDescent="0.35">
      <c r="A379" s="1" t="s">
        <v>44</v>
      </c>
      <c r="B379" s="2" t="s">
        <v>63</v>
      </c>
      <c r="C379" s="1" t="s">
        <v>120</v>
      </c>
      <c r="D379" s="1">
        <v>1</v>
      </c>
      <c r="E379" s="1" t="str">
        <f t="shared" si="5"/>
        <v>RB_4-24_F1</v>
      </c>
      <c r="F379" s="10">
        <v>45393</v>
      </c>
      <c r="I379" t="s">
        <v>17</v>
      </c>
    </row>
    <row r="380" spans="1:9" ht="15" customHeight="1" x14ac:dyDescent="0.35">
      <c r="A380" s="1" t="s">
        <v>52</v>
      </c>
      <c r="B380" s="2" t="s">
        <v>63</v>
      </c>
      <c r="C380" s="1" t="s">
        <v>120</v>
      </c>
      <c r="D380" s="1">
        <v>1</v>
      </c>
      <c r="E380" s="1" t="str">
        <f t="shared" si="5"/>
        <v>WB1_4-24_F1</v>
      </c>
      <c r="F380" s="10">
        <v>45393</v>
      </c>
      <c r="I380" t="s">
        <v>17</v>
      </c>
    </row>
    <row r="381" spans="1:9" ht="15" customHeight="1" x14ac:dyDescent="0.35">
      <c r="A381" s="1" t="s">
        <v>53</v>
      </c>
      <c r="B381" s="2" t="s">
        <v>63</v>
      </c>
      <c r="C381" s="1" t="s">
        <v>120</v>
      </c>
      <c r="D381" s="1">
        <v>1</v>
      </c>
      <c r="E381" s="1" t="str">
        <f t="shared" si="5"/>
        <v>WB2_4-24_F1</v>
      </c>
      <c r="F381" s="10">
        <v>45393</v>
      </c>
      <c r="I381" t="s">
        <v>17</v>
      </c>
    </row>
    <row r="382" spans="1:9" ht="15" customHeight="1" x14ac:dyDescent="0.35">
      <c r="A382" s="1" t="s">
        <v>54</v>
      </c>
      <c r="B382" s="2" t="s">
        <v>63</v>
      </c>
      <c r="C382" s="1" t="s">
        <v>120</v>
      </c>
      <c r="D382" s="1">
        <v>1</v>
      </c>
      <c r="E382" s="1" t="str">
        <f t="shared" si="5"/>
        <v>TKB_4-24_F1</v>
      </c>
      <c r="F382" s="10">
        <v>45393</v>
      </c>
      <c r="I382" t="s">
        <v>17</v>
      </c>
    </row>
    <row r="383" spans="1:9" ht="15" customHeight="1" x14ac:dyDescent="0.35">
      <c r="A383" s="1" t="s">
        <v>55</v>
      </c>
      <c r="B383" s="2" t="s">
        <v>63</v>
      </c>
      <c r="C383" s="1" t="s">
        <v>120</v>
      </c>
      <c r="D383" s="1">
        <v>1</v>
      </c>
      <c r="E383" s="1" t="str">
        <f t="shared" si="5"/>
        <v>JB_4-24_F1</v>
      </c>
      <c r="F383" s="10">
        <v>45393</v>
      </c>
      <c r="I383" t="s">
        <v>17</v>
      </c>
    </row>
    <row r="384" spans="1:9" ht="15" customHeight="1" x14ac:dyDescent="0.35">
      <c r="A384" s="1" t="s">
        <v>56</v>
      </c>
      <c r="B384" s="2" t="s">
        <v>63</v>
      </c>
      <c r="C384" s="1" t="s">
        <v>120</v>
      </c>
      <c r="D384" s="1">
        <v>1</v>
      </c>
      <c r="E384" s="1" t="str">
        <f t="shared" si="5"/>
        <v>CC_4-24_F1</v>
      </c>
      <c r="F384" s="10">
        <v>45393</v>
      </c>
      <c r="I384" t="s">
        <v>17</v>
      </c>
    </row>
    <row r="385" spans="1:9" ht="15" customHeight="1" x14ac:dyDescent="0.35">
      <c r="A385" s="1" t="s">
        <v>14</v>
      </c>
      <c r="B385" s="2" t="s">
        <v>59</v>
      </c>
      <c r="C385" s="1" t="s">
        <v>120</v>
      </c>
      <c r="D385" s="1">
        <v>1</v>
      </c>
      <c r="E385" s="1" t="str">
        <f t="shared" si="5"/>
        <v>P37_7-24_F1</v>
      </c>
      <c r="F385" s="10">
        <v>45476</v>
      </c>
      <c r="I385" t="s">
        <v>17</v>
      </c>
    </row>
    <row r="386" spans="1:9" ht="15" customHeight="1" x14ac:dyDescent="0.35">
      <c r="A386" s="1" t="s">
        <v>19</v>
      </c>
      <c r="B386" s="2" t="s">
        <v>59</v>
      </c>
      <c r="C386" s="1" t="s">
        <v>120</v>
      </c>
      <c r="D386" s="1">
        <v>1</v>
      </c>
      <c r="E386" s="1" t="str">
        <f t="shared" ref="E386:E449" si="6">A386&amp;"_"&amp;B386&amp;"_"&amp;C386&amp;D386</f>
        <v>NCL_7-24_F1</v>
      </c>
      <c r="F386" s="10">
        <v>45476</v>
      </c>
      <c r="I386" t="s">
        <v>17</v>
      </c>
    </row>
    <row r="387" spans="1:9" ht="15" customHeight="1" x14ac:dyDescent="0.35">
      <c r="A387" s="1" t="s">
        <v>20</v>
      </c>
      <c r="B387" s="2" t="s">
        <v>59</v>
      </c>
      <c r="C387" s="1" t="s">
        <v>120</v>
      </c>
      <c r="D387" s="1">
        <v>1</v>
      </c>
      <c r="E387" s="1" t="str">
        <f t="shared" si="6"/>
        <v>CP_7-24_F1</v>
      </c>
      <c r="F387" s="10">
        <v>45476</v>
      </c>
      <c r="I387" t="s">
        <v>17</v>
      </c>
    </row>
    <row r="388" spans="1:9" ht="15" customHeight="1" x14ac:dyDescent="0.35">
      <c r="A388" s="1" t="s">
        <v>21</v>
      </c>
      <c r="B388" s="2" t="s">
        <v>59</v>
      </c>
      <c r="C388" s="1" t="s">
        <v>120</v>
      </c>
      <c r="D388" s="1">
        <v>1</v>
      </c>
      <c r="E388" s="1" t="str">
        <f t="shared" si="6"/>
        <v>EP146_7-24_F1</v>
      </c>
      <c r="F388" s="10">
        <v>45476</v>
      </c>
      <c r="I388" t="s">
        <v>17</v>
      </c>
    </row>
    <row r="389" spans="1:9" ht="15" customHeight="1" x14ac:dyDescent="0.35">
      <c r="A389" s="1" t="s">
        <v>22</v>
      </c>
      <c r="B389" s="2" t="s">
        <v>59</v>
      </c>
      <c r="C389" s="1" t="s">
        <v>120</v>
      </c>
      <c r="D389" s="1">
        <v>1</v>
      </c>
      <c r="E389" s="1" t="str">
        <f t="shared" si="6"/>
        <v>OL_7-24_F1</v>
      </c>
      <c r="F389" s="10">
        <v>45476</v>
      </c>
      <c r="I389" t="s">
        <v>17</v>
      </c>
    </row>
    <row r="390" spans="1:9" ht="15" customHeight="1" x14ac:dyDescent="0.35">
      <c r="A390" s="1" t="s">
        <v>58</v>
      </c>
      <c r="B390" s="2" t="s">
        <v>59</v>
      </c>
      <c r="C390" s="1" t="s">
        <v>120</v>
      </c>
      <c r="D390" s="1">
        <v>1</v>
      </c>
      <c r="E390" s="1" t="str">
        <f t="shared" si="6"/>
        <v>TSH_7-24_F1</v>
      </c>
      <c r="F390" s="10">
        <v>45476</v>
      </c>
      <c r="I390" t="s">
        <v>17</v>
      </c>
    </row>
    <row r="391" spans="1:9" ht="15" customHeight="1" x14ac:dyDescent="0.35">
      <c r="A391" s="1" t="s">
        <v>23</v>
      </c>
      <c r="B391" s="2" t="s">
        <v>59</v>
      </c>
      <c r="C391" s="1" t="s">
        <v>120</v>
      </c>
      <c r="D391" s="1">
        <v>1</v>
      </c>
      <c r="E391" s="1" t="str">
        <f t="shared" si="6"/>
        <v>R127_7-24_F1</v>
      </c>
      <c r="F391" s="10">
        <v>45476</v>
      </c>
      <c r="I391" t="s">
        <v>17</v>
      </c>
    </row>
    <row r="392" spans="1:9" ht="15" hidden="1" customHeight="1" x14ac:dyDescent="0.35">
      <c r="A392" s="1" t="s">
        <v>14</v>
      </c>
      <c r="B392" s="2" t="s">
        <v>62</v>
      </c>
      <c r="C392" s="1" t="s">
        <v>120</v>
      </c>
      <c r="D392" s="1">
        <v>2</v>
      </c>
      <c r="E392" s="1" t="str">
        <f t="shared" si="6"/>
        <v>P37_3-24_F2</v>
      </c>
      <c r="F392" s="10">
        <v>45358</v>
      </c>
    </row>
    <row r="393" spans="1:9" ht="15" hidden="1" customHeight="1" x14ac:dyDescent="0.35">
      <c r="A393" s="1" t="s">
        <v>19</v>
      </c>
      <c r="B393" s="2" t="s">
        <v>62</v>
      </c>
      <c r="C393" s="1" t="s">
        <v>120</v>
      </c>
      <c r="D393" s="1">
        <v>2</v>
      </c>
      <c r="E393" s="1" t="str">
        <f t="shared" si="6"/>
        <v>NCL_3-24_F2</v>
      </c>
      <c r="F393" s="10">
        <v>45358</v>
      </c>
    </row>
    <row r="394" spans="1:9" ht="15" hidden="1" customHeight="1" x14ac:dyDescent="0.35">
      <c r="A394" s="1" t="s">
        <v>20</v>
      </c>
      <c r="B394" s="2" t="s">
        <v>62</v>
      </c>
      <c r="C394" s="1" t="s">
        <v>120</v>
      </c>
      <c r="D394" s="1">
        <v>2</v>
      </c>
      <c r="E394" s="1" t="str">
        <f t="shared" si="6"/>
        <v>CP_3-24_F2</v>
      </c>
      <c r="F394" s="10">
        <v>45358</v>
      </c>
    </row>
    <row r="395" spans="1:9" ht="15" hidden="1" customHeight="1" x14ac:dyDescent="0.35">
      <c r="A395" s="1" t="s">
        <v>21</v>
      </c>
      <c r="B395" s="2" t="s">
        <v>62</v>
      </c>
      <c r="C395" s="1" t="s">
        <v>120</v>
      </c>
      <c r="D395" s="1">
        <v>2</v>
      </c>
      <c r="E395" s="1" t="str">
        <f t="shared" si="6"/>
        <v>EP146_3-24_F2</v>
      </c>
      <c r="F395" s="10">
        <v>45358</v>
      </c>
    </row>
    <row r="396" spans="1:9" ht="15" hidden="1" customHeight="1" x14ac:dyDescent="0.35">
      <c r="A396" s="1" t="s">
        <v>22</v>
      </c>
      <c r="B396" s="2" t="s">
        <v>62</v>
      </c>
      <c r="C396" s="1" t="s">
        <v>120</v>
      </c>
      <c r="D396" s="1">
        <v>2</v>
      </c>
      <c r="E396" s="1" t="str">
        <f t="shared" si="6"/>
        <v>OL_3-24_F2</v>
      </c>
      <c r="F396" s="10">
        <v>45358</v>
      </c>
    </row>
    <row r="397" spans="1:9" ht="15" hidden="1" customHeight="1" x14ac:dyDescent="0.35">
      <c r="A397" s="1" t="s">
        <v>58</v>
      </c>
      <c r="B397" s="2" t="s">
        <v>62</v>
      </c>
      <c r="C397" s="1" t="s">
        <v>120</v>
      </c>
      <c r="D397" s="1">
        <v>2</v>
      </c>
      <c r="E397" s="1" t="str">
        <f t="shared" si="6"/>
        <v>TSH_3-24_F2</v>
      </c>
      <c r="F397" s="10">
        <v>45358</v>
      </c>
    </row>
    <row r="398" spans="1:9" ht="15" hidden="1" customHeight="1" x14ac:dyDescent="0.35">
      <c r="A398" s="1" t="s">
        <v>23</v>
      </c>
      <c r="B398" s="2" t="s">
        <v>62</v>
      </c>
      <c r="C398" s="1" t="s">
        <v>120</v>
      </c>
      <c r="D398" s="1">
        <v>2</v>
      </c>
      <c r="E398" s="1" t="str">
        <f t="shared" si="6"/>
        <v>R127_3-24_F2</v>
      </c>
      <c r="F398" s="10">
        <v>45358</v>
      </c>
    </row>
    <row r="399" spans="1:9" ht="15" hidden="1" customHeight="1" x14ac:dyDescent="0.35">
      <c r="A399" s="1" t="s">
        <v>14</v>
      </c>
      <c r="B399" s="2" t="s">
        <v>62</v>
      </c>
      <c r="C399" s="1" t="s">
        <v>119</v>
      </c>
      <c r="D399" s="1">
        <v>2</v>
      </c>
      <c r="E399" s="1" t="str">
        <f t="shared" si="6"/>
        <v>P37_3-24_UF2</v>
      </c>
      <c r="F399" s="10">
        <v>45358</v>
      </c>
    </row>
    <row r="400" spans="1:9" ht="15" hidden="1" customHeight="1" x14ac:dyDescent="0.35">
      <c r="A400" s="1" t="s">
        <v>19</v>
      </c>
      <c r="B400" s="2" t="s">
        <v>62</v>
      </c>
      <c r="C400" s="1" t="s">
        <v>119</v>
      </c>
      <c r="D400" s="1">
        <v>2</v>
      </c>
      <c r="E400" s="1" t="str">
        <f t="shared" si="6"/>
        <v>NCL_3-24_UF2</v>
      </c>
      <c r="F400" s="10">
        <v>45358</v>
      </c>
    </row>
    <row r="401" spans="1:9" ht="15" hidden="1" customHeight="1" x14ac:dyDescent="0.35">
      <c r="A401" s="1" t="s">
        <v>20</v>
      </c>
      <c r="B401" s="2" t="s">
        <v>62</v>
      </c>
      <c r="C401" s="1" t="s">
        <v>119</v>
      </c>
      <c r="D401" s="1">
        <v>2</v>
      </c>
      <c r="E401" s="1" t="str">
        <f t="shared" si="6"/>
        <v>CP_3-24_UF2</v>
      </c>
      <c r="F401" s="10">
        <v>45358</v>
      </c>
    </row>
    <row r="402" spans="1:9" ht="15" hidden="1" customHeight="1" x14ac:dyDescent="0.35">
      <c r="A402" s="1" t="s">
        <v>21</v>
      </c>
      <c r="B402" s="2" t="s">
        <v>62</v>
      </c>
      <c r="C402" s="1" t="s">
        <v>119</v>
      </c>
      <c r="D402" s="1">
        <v>2</v>
      </c>
      <c r="E402" s="1" t="str">
        <f t="shared" si="6"/>
        <v>EP146_3-24_UF2</v>
      </c>
      <c r="F402" s="10">
        <v>45358</v>
      </c>
    </row>
    <row r="403" spans="1:9" ht="15" hidden="1" customHeight="1" x14ac:dyDescent="0.35">
      <c r="A403" s="1" t="s">
        <v>22</v>
      </c>
      <c r="B403" s="2" t="s">
        <v>62</v>
      </c>
      <c r="C403" s="1" t="s">
        <v>119</v>
      </c>
      <c r="D403" s="1">
        <v>2</v>
      </c>
      <c r="E403" s="1" t="str">
        <f t="shared" si="6"/>
        <v>OL_3-24_UF2</v>
      </c>
      <c r="F403" s="10">
        <v>45358</v>
      </c>
    </row>
    <row r="404" spans="1:9" ht="15" hidden="1" customHeight="1" x14ac:dyDescent="0.35">
      <c r="A404" s="1" t="s">
        <v>58</v>
      </c>
      <c r="B404" s="2" t="s">
        <v>62</v>
      </c>
      <c r="C404" s="1" t="s">
        <v>119</v>
      </c>
      <c r="D404" s="1">
        <v>2</v>
      </c>
      <c r="E404" s="1" t="str">
        <f t="shared" si="6"/>
        <v>TSH_3-24_UF2</v>
      </c>
      <c r="F404" s="10">
        <v>45358</v>
      </c>
    </row>
    <row r="405" spans="1:9" ht="15" hidden="1" customHeight="1" x14ac:dyDescent="0.35">
      <c r="A405" s="1" t="s">
        <v>23</v>
      </c>
      <c r="B405" s="2" t="s">
        <v>62</v>
      </c>
      <c r="C405" s="1" t="s">
        <v>119</v>
      </c>
      <c r="D405" s="1">
        <v>2</v>
      </c>
      <c r="E405" s="1" t="str">
        <f t="shared" si="6"/>
        <v>R127_3-24_UF2</v>
      </c>
      <c r="F405" s="10">
        <v>45358</v>
      </c>
    </row>
    <row r="406" spans="1:9" ht="15" customHeight="1" x14ac:dyDescent="0.35">
      <c r="A406" s="1" t="s">
        <v>30</v>
      </c>
      <c r="B406" s="2" t="s">
        <v>64</v>
      </c>
      <c r="C406" s="1" t="s">
        <v>120</v>
      </c>
      <c r="D406" s="1">
        <v>1</v>
      </c>
      <c r="E406" s="1" t="str">
        <f t="shared" si="6"/>
        <v>DC1_8-24_F1</v>
      </c>
      <c r="F406" s="10">
        <v>45505</v>
      </c>
      <c r="I406" t="s">
        <v>17</v>
      </c>
    </row>
    <row r="407" spans="1:9" ht="15" customHeight="1" x14ac:dyDescent="0.35">
      <c r="A407" s="1" t="s">
        <v>34</v>
      </c>
      <c r="B407" s="2" t="s">
        <v>64</v>
      </c>
      <c r="C407" s="1" t="s">
        <v>120</v>
      </c>
      <c r="D407" s="1">
        <v>1</v>
      </c>
      <c r="E407" s="1" t="str">
        <f t="shared" si="6"/>
        <v>GB1_8-24_F1</v>
      </c>
      <c r="F407" s="10">
        <v>45505</v>
      </c>
      <c r="I407" t="s">
        <v>17</v>
      </c>
    </row>
    <row r="408" spans="1:9" ht="15" customHeight="1" x14ac:dyDescent="0.35">
      <c r="A408" s="1" t="s">
        <v>38</v>
      </c>
      <c r="B408" s="2" t="s">
        <v>64</v>
      </c>
      <c r="C408" s="1" t="s">
        <v>120</v>
      </c>
      <c r="D408" s="1">
        <v>1</v>
      </c>
      <c r="E408" s="1" t="str">
        <f t="shared" si="6"/>
        <v>MCS4_8-24_F1</v>
      </c>
      <c r="F408" s="10">
        <v>45505</v>
      </c>
      <c r="I408" t="s">
        <v>17</v>
      </c>
    </row>
    <row r="409" spans="1:9" ht="15" customHeight="1" x14ac:dyDescent="0.35">
      <c r="A409" s="1" t="s">
        <v>39</v>
      </c>
      <c r="B409" s="2" t="s">
        <v>64</v>
      </c>
      <c r="C409" s="1" t="s">
        <v>120</v>
      </c>
      <c r="D409" s="1">
        <v>1</v>
      </c>
      <c r="E409" s="1" t="str">
        <f t="shared" si="6"/>
        <v>TBHM_8-24_F1</v>
      </c>
      <c r="F409" s="10">
        <v>45505</v>
      </c>
      <c r="I409" t="s">
        <v>17</v>
      </c>
    </row>
    <row r="410" spans="1:9" ht="15" customHeight="1" x14ac:dyDescent="0.35">
      <c r="A410" s="1" t="s">
        <v>42</v>
      </c>
      <c r="B410" s="2" t="s">
        <v>64</v>
      </c>
      <c r="C410" s="1" t="s">
        <v>120</v>
      </c>
      <c r="D410" s="1">
        <v>1</v>
      </c>
      <c r="E410" s="1" t="str">
        <f t="shared" si="6"/>
        <v>TB2_8-24_F1</v>
      </c>
      <c r="F410" s="10">
        <v>45505</v>
      </c>
      <c r="I410" t="s">
        <v>17</v>
      </c>
    </row>
    <row r="411" spans="1:9" ht="15" customHeight="1" x14ac:dyDescent="0.35">
      <c r="A411" s="1" t="s">
        <v>43</v>
      </c>
      <c r="B411" s="2" t="s">
        <v>64</v>
      </c>
      <c r="C411" s="1" t="s">
        <v>120</v>
      </c>
      <c r="D411" s="1">
        <v>1</v>
      </c>
      <c r="E411" s="1" t="str">
        <f t="shared" si="6"/>
        <v>GB2_8-24_F1</v>
      </c>
      <c r="F411" s="10">
        <v>45505</v>
      </c>
      <c r="I411" t="s">
        <v>17</v>
      </c>
    </row>
    <row r="412" spans="1:9" ht="15" customHeight="1" x14ac:dyDescent="0.35">
      <c r="A412" s="1" t="s">
        <v>49</v>
      </c>
      <c r="B412" s="2" t="s">
        <v>64</v>
      </c>
      <c r="C412" s="1" t="s">
        <v>120</v>
      </c>
      <c r="D412" s="1">
        <v>1</v>
      </c>
      <c r="E412" s="1" t="str">
        <f t="shared" si="6"/>
        <v>SBT2_8-24_F1</v>
      </c>
      <c r="F412" s="10">
        <v>45505</v>
      </c>
      <c r="I412" t="s">
        <v>17</v>
      </c>
    </row>
    <row r="413" spans="1:9" ht="15" customHeight="1" x14ac:dyDescent="0.35">
      <c r="A413" s="1" t="s">
        <v>51</v>
      </c>
      <c r="B413" s="2" t="s">
        <v>64</v>
      </c>
      <c r="C413" s="1" t="s">
        <v>120</v>
      </c>
      <c r="D413" s="1">
        <v>1</v>
      </c>
      <c r="E413" s="1" t="str">
        <f t="shared" si="6"/>
        <v>TBC_8-24_F1</v>
      </c>
      <c r="F413" s="10">
        <v>45505</v>
      </c>
      <c r="I413" t="s">
        <v>17</v>
      </c>
    </row>
    <row r="414" spans="1:9" ht="15" customHeight="1" x14ac:dyDescent="0.35">
      <c r="A414" s="1" t="s">
        <v>33</v>
      </c>
      <c r="B414" s="2" t="s">
        <v>64</v>
      </c>
      <c r="C414" s="1" t="s">
        <v>120</v>
      </c>
      <c r="D414" s="1">
        <v>1</v>
      </c>
      <c r="E414" s="1" t="str">
        <f t="shared" si="6"/>
        <v>DCM2_8-24_F1</v>
      </c>
      <c r="F414" s="10">
        <v>45505</v>
      </c>
      <c r="I414" t="s">
        <v>17</v>
      </c>
    </row>
    <row r="415" spans="1:9" ht="15" customHeight="1" x14ac:dyDescent="0.35">
      <c r="A415" s="1" t="s">
        <v>24</v>
      </c>
      <c r="B415" s="2" t="s">
        <v>64</v>
      </c>
      <c r="C415" s="1" t="s">
        <v>120</v>
      </c>
      <c r="D415" s="1">
        <v>1</v>
      </c>
      <c r="E415" s="1" t="str">
        <f t="shared" si="6"/>
        <v>ACS1_8-24_F1</v>
      </c>
      <c r="F415" s="10">
        <v>45505</v>
      </c>
      <c r="I415" t="s">
        <v>17</v>
      </c>
    </row>
    <row r="416" spans="1:9" ht="15" customHeight="1" x14ac:dyDescent="0.35">
      <c r="A416" s="1" t="s">
        <v>44</v>
      </c>
      <c r="B416" s="2" t="s">
        <v>64</v>
      </c>
      <c r="C416" s="1" t="s">
        <v>120</v>
      </c>
      <c r="D416" s="1">
        <v>1</v>
      </c>
      <c r="E416" s="1" t="str">
        <f t="shared" si="6"/>
        <v>RB_8-24_F1</v>
      </c>
      <c r="F416" s="10">
        <v>45505</v>
      </c>
      <c r="I416" t="s">
        <v>17</v>
      </c>
    </row>
    <row r="417" spans="1:9" ht="15" customHeight="1" x14ac:dyDescent="0.35">
      <c r="A417" s="1" t="s">
        <v>27</v>
      </c>
      <c r="B417" s="2" t="s">
        <v>64</v>
      </c>
      <c r="C417" s="1" t="s">
        <v>120</v>
      </c>
      <c r="D417" s="1">
        <v>1</v>
      </c>
      <c r="E417" s="1" t="str">
        <f t="shared" si="6"/>
        <v>ACS4_8-24_F1</v>
      </c>
      <c r="F417" s="10">
        <v>45505</v>
      </c>
      <c r="I417" t="s">
        <v>17</v>
      </c>
    </row>
    <row r="418" spans="1:9" ht="15" customHeight="1" x14ac:dyDescent="0.35">
      <c r="A418" s="1" t="s">
        <v>28</v>
      </c>
      <c r="B418" s="2" t="s">
        <v>64</v>
      </c>
      <c r="C418" s="1" t="s">
        <v>120</v>
      </c>
      <c r="D418" s="1">
        <v>1</v>
      </c>
      <c r="E418" s="1" t="str">
        <f t="shared" si="6"/>
        <v>ACS5_8-24_F1</v>
      </c>
      <c r="F418" s="10">
        <v>45505</v>
      </c>
      <c r="I418" t="s">
        <v>17</v>
      </c>
    </row>
    <row r="419" spans="1:9" ht="15" customHeight="1" x14ac:dyDescent="0.35">
      <c r="A419" s="1" t="s">
        <v>56</v>
      </c>
      <c r="B419" s="2" t="s">
        <v>64</v>
      </c>
      <c r="C419" s="1" t="s">
        <v>120</v>
      </c>
      <c r="D419" s="1">
        <v>1</v>
      </c>
      <c r="E419" s="1" t="str">
        <f t="shared" si="6"/>
        <v>CC_8-24_F1</v>
      </c>
      <c r="F419" s="10">
        <v>45505</v>
      </c>
      <c r="I419" t="s">
        <v>17</v>
      </c>
    </row>
    <row r="420" spans="1:9" ht="15" customHeight="1" x14ac:dyDescent="0.35">
      <c r="A420" s="1" t="s">
        <v>31</v>
      </c>
      <c r="B420" s="2" t="s">
        <v>64</v>
      </c>
      <c r="C420" s="1" t="s">
        <v>120</v>
      </c>
      <c r="D420" s="1">
        <v>1</v>
      </c>
      <c r="E420" s="1" t="str">
        <f t="shared" si="6"/>
        <v>DCM1_8-24_F1</v>
      </c>
      <c r="F420" s="10">
        <v>45505</v>
      </c>
      <c r="I420" t="s">
        <v>17</v>
      </c>
    </row>
    <row r="421" spans="1:9" ht="15" customHeight="1" x14ac:dyDescent="0.35">
      <c r="A421" s="1" t="s">
        <v>25</v>
      </c>
      <c r="B421" s="2" t="s">
        <v>64</v>
      </c>
      <c r="C421" s="1" t="s">
        <v>120</v>
      </c>
      <c r="D421" s="1">
        <v>1</v>
      </c>
      <c r="E421" s="1" t="str">
        <f t="shared" si="6"/>
        <v>ACS2_8-24_F1</v>
      </c>
      <c r="F421" s="10">
        <v>45505</v>
      </c>
      <c r="I421" t="s">
        <v>17</v>
      </c>
    </row>
    <row r="422" spans="1:9" ht="15" customHeight="1" x14ac:dyDescent="0.35">
      <c r="A422" s="1" t="s">
        <v>48</v>
      </c>
      <c r="B422" s="2" t="s">
        <v>64</v>
      </c>
      <c r="C422" s="1" t="s">
        <v>120</v>
      </c>
      <c r="D422" s="1">
        <v>1</v>
      </c>
      <c r="E422" s="1" t="str">
        <f t="shared" si="6"/>
        <v>SBT1_8-24_F1</v>
      </c>
      <c r="F422" s="10">
        <v>45505</v>
      </c>
      <c r="I422" t="s">
        <v>17</v>
      </c>
    </row>
    <row r="423" spans="1:9" ht="15" customHeight="1" x14ac:dyDescent="0.35">
      <c r="A423" s="1" t="s">
        <v>54</v>
      </c>
      <c r="B423" s="2" t="s">
        <v>64</v>
      </c>
      <c r="C423" s="1" t="s">
        <v>120</v>
      </c>
      <c r="D423" s="1">
        <v>1</v>
      </c>
      <c r="E423" s="1" t="str">
        <f t="shared" si="6"/>
        <v>TKB_8-24_F1</v>
      </c>
      <c r="F423" s="10">
        <v>45505</v>
      </c>
      <c r="I423" t="s">
        <v>17</v>
      </c>
    </row>
    <row r="424" spans="1:9" ht="15" hidden="1" customHeight="1" x14ac:dyDescent="0.35">
      <c r="A424" s="1" t="s">
        <v>35</v>
      </c>
      <c r="B424" s="2" t="s">
        <v>63</v>
      </c>
      <c r="C424" s="1" t="s">
        <v>120</v>
      </c>
      <c r="D424" s="1">
        <v>2</v>
      </c>
      <c r="E424" s="1" t="str">
        <f t="shared" si="6"/>
        <v>MCS1_4-24_F2</v>
      </c>
      <c r="F424" s="10">
        <v>45390</v>
      </c>
    </row>
    <row r="425" spans="1:9" ht="15" hidden="1" customHeight="1" x14ac:dyDescent="0.35">
      <c r="A425" s="1" t="s">
        <v>36</v>
      </c>
      <c r="B425" s="2" t="s">
        <v>63</v>
      </c>
      <c r="C425" s="1" t="s">
        <v>120</v>
      </c>
      <c r="D425" s="1">
        <v>2</v>
      </c>
      <c r="E425" s="1" t="str">
        <f t="shared" si="6"/>
        <v>MCS2_4-24_F2</v>
      </c>
      <c r="F425" s="10">
        <v>45390</v>
      </c>
    </row>
    <row r="426" spans="1:9" ht="15" hidden="1" customHeight="1" x14ac:dyDescent="0.35">
      <c r="A426" s="1" t="s">
        <v>37</v>
      </c>
      <c r="B426" s="2" t="s">
        <v>63</v>
      </c>
      <c r="C426" s="1" t="s">
        <v>120</v>
      </c>
      <c r="D426" s="1">
        <v>2</v>
      </c>
      <c r="E426" s="1" t="str">
        <f t="shared" si="6"/>
        <v>MCS3_4-24_F2</v>
      </c>
      <c r="F426" s="10">
        <v>45390</v>
      </c>
    </row>
    <row r="427" spans="1:9" ht="15" hidden="1" customHeight="1" x14ac:dyDescent="0.35">
      <c r="A427" s="1" t="s">
        <v>38</v>
      </c>
      <c r="B427" s="2" t="s">
        <v>63</v>
      </c>
      <c r="C427" s="1" t="s">
        <v>120</v>
      </c>
      <c r="D427" s="1">
        <v>2</v>
      </c>
      <c r="E427" s="1" t="str">
        <f t="shared" si="6"/>
        <v>MCS4_4-24_F2</v>
      </c>
      <c r="F427" s="10">
        <v>45390</v>
      </c>
    </row>
    <row r="428" spans="1:9" ht="15" hidden="1" customHeight="1" x14ac:dyDescent="0.35">
      <c r="A428" s="1" t="s">
        <v>39</v>
      </c>
      <c r="B428" s="2" t="s">
        <v>63</v>
      </c>
      <c r="C428" s="1" t="s">
        <v>120</v>
      </c>
      <c r="D428" s="1">
        <v>2</v>
      </c>
      <c r="E428" s="1" t="str">
        <f t="shared" si="6"/>
        <v>TBHM_4-24_F2</v>
      </c>
      <c r="F428" s="10">
        <v>45390</v>
      </c>
    </row>
    <row r="429" spans="1:9" ht="15" hidden="1" customHeight="1" x14ac:dyDescent="0.35">
      <c r="A429" s="1" t="s">
        <v>51</v>
      </c>
      <c r="B429" s="2" t="s">
        <v>63</v>
      </c>
      <c r="C429" s="1" t="s">
        <v>120</v>
      </c>
      <c r="D429" s="1">
        <v>2</v>
      </c>
      <c r="E429" s="1" t="str">
        <f t="shared" si="6"/>
        <v>TBC_4-24_F2</v>
      </c>
      <c r="F429" s="10">
        <v>45390</v>
      </c>
    </row>
    <row r="430" spans="1:9" ht="15" hidden="1" customHeight="1" x14ac:dyDescent="0.35">
      <c r="A430" s="1" t="s">
        <v>40</v>
      </c>
      <c r="B430" s="2" t="s">
        <v>63</v>
      </c>
      <c r="C430" s="1" t="s">
        <v>120</v>
      </c>
      <c r="D430" s="1">
        <v>2</v>
      </c>
      <c r="E430" s="1" t="str">
        <f t="shared" si="6"/>
        <v>TBCM_4-24_F2</v>
      </c>
      <c r="F430" s="10">
        <v>45390</v>
      </c>
    </row>
    <row r="431" spans="1:9" ht="15" hidden="1" customHeight="1" x14ac:dyDescent="0.35">
      <c r="A431" s="1" t="s">
        <v>41</v>
      </c>
      <c r="B431" s="2" t="s">
        <v>63</v>
      </c>
      <c r="C431" s="1" t="s">
        <v>120</v>
      </c>
      <c r="D431" s="1">
        <v>2</v>
      </c>
      <c r="E431" s="1" t="str">
        <f t="shared" si="6"/>
        <v>TB1_4-24_F2</v>
      </c>
      <c r="F431" s="10">
        <v>45390</v>
      </c>
    </row>
    <row r="432" spans="1:9" ht="15" hidden="1" customHeight="1" x14ac:dyDescent="0.35">
      <c r="A432" s="1" t="s">
        <v>42</v>
      </c>
      <c r="B432" s="2" t="s">
        <v>63</v>
      </c>
      <c r="C432" s="1" t="s">
        <v>120</v>
      </c>
      <c r="D432" s="1">
        <v>2</v>
      </c>
      <c r="E432" s="1" t="str">
        <f t="shared" si="6"/>
        <v>TB2_4-24_F2</v>
      </c>
      <c r="F432" s="10">
        <v>45390</v>
      </c>
    </row>
    <row r="433" spans="1:10" ht="15" hidden="1" customHeight="1" x14ac:dyDescent="0.35">
      <c r="A433" s="1" t="s">
        <v>35</v>
      </c>
      <c r="B433" s="2" t="s">
        <v>63</v>
      </c>
      <c r="C433" s="1" t="s">
        <v>119</v>
      </c>
      <c r="D433" s="1">
        <v>2</v>
      </c>
      <c r="E433" s="1" t="str">
        <f t="shared" si="6"/>
        <v>MCS1_4-24_UF2</v>
      </c>
      <c r="F433" s="10">
        <v>45390</v>
      </c>
    </row>
    <row r="434" spans="1:10" ht="15" hidden="1" customHeight="1" x14ac:dyDescent="0.35">
      <c r="A434" s="1" t="s">
        <v>36</v>
      </c>
      <c r="B434" s="2" t="s">
        <v>63</v>
      </c>
      <c r="C434" s="1" t="s">
        <v>119</v>
      </c>
      <c r="D434" s="1">
        <v>2</v>
      </c>
      <c r="E434" s="1" t="str">
        <f t="shared" si="6"/>
        <v>MCS2_4-24_UF2</v>
      </c>
      <c r="F434" s="10">
        <v>45390</v>
      </c>
    </row>
    <row r="435" spans="1:10" ht="15" hidden="1" customHeight="1" x14ac:dyDescent="0.35">
      <c r="A435" s="1" t="s">
        <v>37</v>
      </c>
      <c r="B435" s="2" t="s">
        <v>63</v>
      </c>
      <c r="C435" s="1" t="s">
        <v>119</v>
      </c>
      <c r="D435" s="1">
        <v>2</v>
      </c>
      <c r="E435" s="1" t="str">
        <f t="shared" si="6"/>
        <v>MCS3_4-24_UF2</v>
      </c>
      <c r="F435" s="10">
        <v>45390</v>
      </c>
    </row>
    <row r="436" spans="1:10" ht="15" hidden="1" customHeight="1" x14ac:dyDescent="0.35">
      <c r="A436" s="1" t="s">
        <v>38</v>
      </c>
      <c r="B436" s="2" t="s">
        <v>63</v>
      </c>
      <c r="C436" s="1" t="s">
        <v>119</v>
      </c>
      <c r="D436" s="1">
        <v>2</v>
      </c>
      <c r="E436" s="1" t="str">
        <f t="shared" si="6"/>
        <v>MCS4_4-24_UF2</v>
      </c>
      <c r="F436" s="10">
        <v>45390</v>
      </c>
    </row>
    <row r="437" spans="1:10" ht="15" hidden="1" customHeight="1" x14ac:dyDescent="0.35">
      <c r="A437" s="1" t="s">
        <v>39</v>
      </c>
      <c r="B437" s="2" t="s">
        <v>63</v>
      </c>
      <c r="C437" s="1" t="s">
        <v>119</v>
      </c>
      <c r="D437" s="1">
        <v>2</v>
      </c>
      <c r="E437" s="1" t="str">
        <f t="shared" si="6"/>
        <v>TBHM_4-24_UF2</v>
      </c>
      <c r="F437" s="10">
        <v>45390</v>
      </c>
    </row>
    <row r="438" spans="1:10" ht="15" hidden="1" customHeight="1" x14ac:dyDescent="0.35">
      <c r="A438" s="1" t="s">
        <v>51</v>
      </c>
      <c r="B438" s="2" t="s">
        <v>63</v>
      </c>
      <c r="C438" s="1" t="s">
        <v>119</v>
      </c>
      <c r="D438" s="1">
        <v>2</v>
      </c>
      <c r="E438" s="1" t="str">
        <f t="shared" si="6"/>
        <v>TBC_4-24_UF2</v>
      </c>
      <c r="F438" s="10">
        <v>45390</v>
      </c>
    </row>
    <row r="439" spans="1:10" ht="15" hidden="1" customHeight="1" x14ac:dyDescent="0.35">
      <c r="A439" s="1" t="s">
        <v>40</v>
      </c>
      <c r="B439" s="2" t="s">
        <v>63</v>
      </c>
      <c r="C439" s="1" t="s">
        <v>119</v>
      </c>
      <c r="D439" s="1">
        <v>2</v>
      </c>
      <c r="E439" s="1" t="str">
        <f t="shared" si="6"/>
        <v>TBCM_4-24_UF2</v>
      </c>
      <c r="F439" s="10">
        <v>45390</v>
      </c>
    </row>
    <row r="440" spans="1:10" ht="15" hidden="1" customHeight="1" x14ac:dyDescent="0.35">
      <c r="A440" s="1" t="s">
        <v>41</v>
      </c>
      <c r="B440" s="2" t="s">
        <v>63</v>
      </c>
      <c r="C440" s="1" t="s">
        <v>119</v>
      </c>
      <c r="D440" s="1">
        <v>2</v>
      </c>
      <c r="E440" s="1" t="str">
        <f t="shared" si="6"/>
        <v>TB1_4-24_UF2</v>
      </c>
      <c r="F440" s="10">
        <v>45390</v>
      </c>
    </row>
    <row r="441" spans="1:10" ht="15" hidden="1" customHeight="1" x14ac:dyDescent="0.35">
      <c r="A441" s="1" t="s">
        <v>42</v>
      </c>
      <c r="B441" s="2" t="s">
        <v>63</v>
      </c>
      <c r="C441" s="1" t="s">
        <v>119</v>
      </c>
      <c r="D441" s="1">
        <v>2</v>
      </c>
      <c r="E441" s="1" t="str">
        <f t="shared" si="6"/>
        <v>TB2_4-24_UF2</v>
      </c>
      <c r="F441" s="10">
        <v>45390</v>
      </c>
    </row>
    <row r="442" spans="1:10" ht="15" customHeight="1" x14ac:dyDescent="0.35">
      <c r="A442" s="1" t="s">
        <v>45</v>
      </c>
      <c r="B442" s="2" t="s">
        <v>64</v>
      </c>
      <c r="C442" s="1" t="s">
        <v>120</v>
      </c>
      <c r="D442" s="1">
        <v>1</v>
      </c>
      <c r="E442" s="1" t="str">
        <f t="shared" si="6"/>
        <v>TSM1_8-24_F1</v>
      </c>
      <c r="F442" s="10">
        <v>45505</v>
      </c>
      <c r="I442" t="s">
        <v>17</v>
      </c>
    </row>
    <row r="443" spans="1:10" ht="15" customHeight="1" x14ac:dyDescent="0.35">
      <c r="A443" s="1" t="s">
        <v>47</v>
      </c>
      <c r="B443" s="2" t="s">
        <v>64</v>
      </c>
      <c r="C443" s="1" t="s">
        <v>120</v>
      </c>
      <c r="D443" s="1">
        <v>1</v>
      </c>
      <c r="E443" s="1" t="str">
        <f t="shared" si="6"/>
        <v>TSM4_8-24_F1</v>
      </c>
      <c r="F443" s="10">
        <v>45505</v>
      </c>
      <c r="I443" t="s">
        <v>17</v>
      </c>
    </row>
    <row r="444" spans="1:10" ht="15" customHeight="1" x14ac:dyDescent="0.35">
      <c r="A444" s="1" t="s">
        <v>32</v>
      </c>
      <c r="B444" s="2" t="s">
        <v>64</v>
      </c>
      <c r="C444" s="1" t="s">
        <v>120</v>
      </c>
      <c r="D444" s="1">
        <v>1</v>
      </c>
      <c r="E444" s="1" t="str">
        <f t="shared" si="6"/>
        <v>DC2_8-24_F1</v>
      </c>
      <c r="F444" s="10">
        <v>45505</v>
      </c>
      <c r="I444" t="s">
        <v>17</v>
      </c>
    </row>
    <row r="445" spans="1:10" ht="15" customHeight="1" x14ac:dyDescent="0.35">
      <c r="A445" s="1" t="s">
        <v>53</v>
      </c>
      <c r="B445" s="2" t="s">
        <v>64</v>
      </c>
      <c r="C445" s="1" t="s">
        <v>120</v>
      </c>
      <c r="D445" s="1">
        <v>1</v>
      </c>
      <c r="E445" s="1" t="str">
        <f t="shared" si="6"/>
        <v>WB2_8-24_F1</v>
      </c>
      <c r="F445" s="10">
        <v>45505</v>
      </c>
      <c r="I445" t="s">
        <v>17</v>
      </c>
    </row>
    <row r="446" spans="1:10" ht="15" customHeight="1" x14ac:dyDescent="0.35">
      <c r="A446" s="1" t="s">
        <v>40</v>
      </c>
      <c r="B446" s="2" t="s">
        <v>64</v>
      </c>
      <c r="C446" s="1" t="s">
        <v>120</v>
      </c>
      <c r="D446" s="1">
        <v>1</v>
      </c>
      <c r="E446" s="1" t="str">
        <f t="shared" si="6"/>
        <v>TBCM_8-24_F1</v>
      </c>
      <c r="F446" s="10">
        <v>45505</v>
      </c>
      <c r="I446" t="s">
        <v>17</v>
      </c>
      <c r="J446" t="s">
        <v>121</v>
      </c>
    </row>
    <row r="447" spans="1:10" ht="15" customHeight="1" x14ac:dyDescent="0.35">
      <c r="A447" s="1" t="s">
        <v>26</v>
      </c>
      <c r="B447" s="2" t="s">
        <v>64</v>
      </c>
      <c r="C447" s="1" t="s">
        <v>120</v>
      </c>
      <c r="D447" s="1">
        <v>1</v>
      </c>
      <c r="E447" s="1" t="str">
        <f t="shared" si="6"/>
        <v>ACS3_8-24_F1</v>
      </c>
      <c r="F447" s="10">
        <v>45505</v>
      </c>
      <c r="I447" t="s">
        <v>17</v>
      </c>
    </row>
    <row r="448" spans="1:10" ht="15" customHeight="1" x14ac:dyDescent="0.35">
      <c r="A448" s="1" t="s">
        <v>46</v>
      </c>
      <c r="B448" s="2" t="s">
        <v>64</v>
      </c>
      <c r="C448" s="1" t="s">
        <v>120</v>
      </c>
      <c r="D448" s="1">
        <v>1</v>
      </c>
      <c r="E448" s="1" t="str">
        <f t="shared" si="6"/>
        <v>TSM3_8-24_F1</v>
      </c>
      <c r="F448" s="10">
        <v>45505</v>
      </c>
      <c r="I448" t="s">
        <v>17</v>
      </c>
      <c r="J448" t="s">
        <v>121</v>
      </c>
    </row>
    <row r="449" spans="1:9" ht="15" customHeight="1" x14ac:dyDescent="0.35">
      <c r="A449" s="1" t="s">
        <v>37</v>
      </c>
      <c r="B449" s="2" t="s">
        <v>64</v>
      </c>
      <c r="C449" s="1" t="s">
        <v>120</v>
      </c>
      <c r="D449" s="1">
        <v>1</v>
      </c>
      <c r="E449" s="1" t="str">
        <f t="shared" si="6"/>
        <v>MCS3_8-24_F1</v>
      </c>
      <c r="F449" s="10">
        <v>45505</v>
      </c>
      <c r="I449" t="s">
        <v>17</v>
      </c>
    </row>
    <row r="450" spans="1:9" ht="15" hidden="1" customHeight="1" x14ac:dyDescent="0.35">
      <c r="A450" s="1" t="s">
        <v>45</v>
      </c>
      <c r="B450" s="2" t="s">
        <v>63</v>
      </c>
      <c r="C450" s="1" t="s">
        <v>120</v>
      </c>
      <c r="D450" s="1">
        <v>2</v>
      </c>
      <c r="E450" s="1" t="str">
        <f t="shared" ref="E450:E513" si="7">A450&amp;"_"&amp;B450&amp;"_"&amp;C450&amp;D450</f>
        <v>TSM1_4-24_F2</v>
      </c>
      <c r="F450" s="10">
        <v>45391</v>
      </c>
    </row>
    <row r="451" spans="1:9" ht="15" hidden="1" customHeight="1" x14ac:dyDescent="0.35">
      <c r="A451" s="1" t="s">
        <v>46</v>
      </c>
      <c r="B451" s="2" t="s">
        <v>63</v>
      </c>
      <c r="C451" s="1" t="s">
        <v>120</v>
      </c>
      <c r="D451" s="1">
        <v>2</v>
      </c>
      <c r="E451" s="1" t="str">
        <f t="shared" si="7"/>
        <v>TSM3_4-24_F2</v>
      </c>
      <c r="F451" s="10">
        <v>45391</v>
      </c>
    </row>
    <row r="452" spans="1:9" ht="15" hidden="1" customHeight="1" x14ac:dyDescent="0.35">
      <c r="A452" s="1" t="s">
        <v>47</v>
      </c>
      <c r="B452" s="2" t="s">
        <v>63</v>
      </c>
      <c r="C452" s="1" t="s">
        <v>120</v>
      </c>
      <c r="D452" s="1">
        <v>2</v>
      </c>
      <c r="E452" s="1" t="str">
        <f t="shared" si="7"/>
        <v>TSM4_4-24_F2</v>
      </c>
      <c r="F452" s="10">
        <v>45391</v>
      </c>
    </row>
    <row r="453" spans="1:9" ht="15" hidden="1" customHeight="1" x14ac:dyDescent="0.35">
      <c r="A453" s="1" t="s">
        <v>48</v>
      </c>
      <c r="B453" s="2" t="s">
        <v>63</v>
      </c>
      <c r="C453" s="1" t="s">
        <v>120</v>
      </c>
      <c r="D453" s="1">
        <v>2</v>
      </c>
      <c r="E453" s="1" t="str">
        <f t="shared" si="7"/>
        <v>SBT1_4-24_F2</v>
      </c>
      <c r="F453" s="10">
        <v>45391</v>
      </c>
    </row>
    <row r="454" spans="1:9" ht="15" hidden="1" customHeight="1" x14ac:dyDescent="0.35">
      <c r="A454" s="1" t="s">
        <v>45</v>
      </c>
      <c r="B454" s="2" t="s">
        <v>63</v>
      </c>
      <c r="C454" s="1" t="s">
        <v>119</v>
      </c>
      <c r="D454" s="1">
        <v>2</v>
      </c>
      <c r="E454" s="1" t="str">
        <f t="shared" si="7"/>
        <v>TSM1_4-24_UF2</v>
      </c>
      <c r="F454" s="10">
        <v>45391</v>
      </c>
    </row>
    <row r="455" spans="1:9" ht="15" hidden="1" customHeight="1" x14ac:dyDescent="0.35">
      <c r="A455" s="1" t="s">
        <v>46</v>
      </c>
      <c r="B455" s="2" t="s">
        <v>63</v>
      </c>
      <c r="C455" s="1" t="s">
        <v>119</v>
      </c>
      <c r="D455" s="1">
        <v>2</v>
      </c>
      <c r="E455" s="1" t="str">
        <f t="shared" si="7"/>
        <v>TSM3_4-24_UF2</v>
      </c>
      <c r="F455" s="10">
        <v>45391</v>
      </c>
    </row>
    <row r="456" spans="1:9" ht="15" hidden="1" customHeight="1" x14ac:dyDescent="0.35">
      <c r="A456" s="1" t="s">
        <v>47</v>
      </c>
      <c r="B456" s="2" t="s">
        <v>63</v>
      </c>
      <c r="C456" s="1" t="s">
        <v>119</v>
      </c>
      <c r="D456" s="1">
        <v>2</v>
      </c>
      <c r="E456" s="1" t="str">
        <f t="shared" si="7"/>
        <v>TSM4_4-24_UF2</v>
      </c>
      <c r="F456" s="10">
        <v>45391</v>
      </c>
    </row>
    <row r="457" spans="1:9" ht="15" hidden="1" customHeight="1" x14ac:dyDescent="0.35">
      <c r="A457" s="1" t="s">
        <v>48</v>
      </c>
      <c r="B457" s="2" t="s">
        <v>63</v>
      </c>
      <c r="C457" s="1" t="s">
        <v>119</v>
      </c>
      <c r="D457" s="1">
        <v>2</v>
      </c>
      <c r="E457" s="1" t="str">
        <f t="shared" si="7"/>
        <v>SBT1_4-24_UF2</v>
      </c>
      <c r="F457" s="10">
        <v>45391</v>
      </c>
    </row>
    <row r="458" spans="1:9" ht="15" customHeight="1" x14ac:dyDescent="0.35">
      <c r="A458" s="1" t="s">
        <v>52</v>
      </c>
      <c r="B458" s="2" t="s">
        <v>64</v>
      </c>
      <c r="C458" s="1" t="s">
        <v>120</v>
      </c>
      <c r="D458" s="1">
        <v>1</v>
      </c>
      <c r="E458" s="1" t="str">
        <f t="shared" si="7"/>
        <v>WB1_8-24_F1</v>
      </c>
      <c r="F458" s="10">
        <v>45505</v>
      </c>
      <c r="I458" t="s">
        <v>17</v>
      </c>
    </row>
    <row r="459" spans="1:9" ht="15" customHeight="1" x14ac:dyDescent="0.35">
      <c r="A459" s="1" t="s">
        <v>35</v>
      </c>
      <c r="B459" s="2" t="s">
        <v>64</v>
      </c>
      <c r="C459" s="1" t="s">
        <v>120</v>
      </c>
      <c r="D459" s="1">
        <v>1</v>
      </c>
      <c r="E459" s="1" t="str">
        <f t="shared" si="7"/>
        <v>MCS1_8-24_F1</v>
      </c>
      <c r="F459" s="10">
        <v>45505</v>
      </c>
      <c r="I459" t="s">
        <v>17</v>
      </c>
    </row>
    <row r="460" spans="1:9" ht="15" customHeight="1" x14ac:dyDescent="0.35">
      <c r="A460" s="1" t="s">
        <v>41</v>
      </c>
      <c r="B460" s="2" t="s">
        <v>64</v>
      </c>
      <c r="C460" s="1" t="s">
        <v>120</v>
      </c>
      <c r="D460" s="1">
        <v>1</v>
      </c>
      <c r="E460" s="1" t="str">
        <f t="shared" si="7"/>
        <v>TB1_8-24_F1</v>
      </c>
      <c r="F460" s="10">
        <v>45505</v>
      </c>
      <c r="I460" t="s">
        <v>17</v>
      </c>
    </row>
    <row r="461" spans="1:9" ht="15" customHeight="1" x14ac:dyDescent="0.35">
      <c r="A461" s="1" t="s">
        <v>55</v>
      </c>
      <c r="B461" s="2" t="s">
        <v>64</v>
      </c>
      <c r="C461" s="1" t="s">
        <v>120</v>
      </c>
      <c r="D461" s="1">
        <v>1</v>
      </c>
      <c r="E461" s="1" t="str">
        <f t="shared" si="7"/>
        <v>JB_8-24_F1</v>
      </c>
      <c r="F461" s="10">
        <v>45505</v>
      </c>
      <c r="I461" t="s">
        <v>17</v>
      </c>
    </row>
    <row r="462" spans="1:9" ht="15" customHeight="1" x14ac:dyDescent="0.35">
      <c r="A462" s="1" t="s">
        <v>36</v>
      </c>
      <c r="B462" s="2" t="s">
        <v>64</v>
      </c>
      <c r="C462" s="1" t="s">
        <v>120</v>
      </c>
      <c r="D462" s="1">
        <v>1</v>
      </c>
      <c r="E462" s="1" t="str">
        <f t="shared" si="7"/>
        <v>MCS2_8-24_F1</v>
      </c>
      <c r="F462" s="10">
        <v>45505</v>
      </c>
      <c r="I462" t="s">
        <v>17</v>
      </c>
    </row>
    <row r="463" spans="1:9" ht="15" customHeight="1" x14ac:dyDescent="0.35">
      <c r="A463" s="89" t="s">
        <v>24</v>
      </c>
      <c r="B463" s="90" t="s">
        <v>111</v>
      </c>
      <c r="C463" s="1" t="s">
        <v>120</v>
      </c>
      <c r="D463" s="1">
        <v>1</v>
      </c>
      <c r="E463" s="1" t="str">
        <f t="shared" si="7"/>
        <v>ACS1_11-24_F1</v>
      </c>
      <c r="F463" s="91">
        <v>45606</v>
      </c>
      <c r="I463" t="s">
        <v>17</v>
      </c>
    </row>
    <row r="464" spans="1:9" ht="15" customHeight="1" x14ac:dyDescent="0.35">
      <c r="A464" s="89" t="s">
        <v>46</v>
      </c>
      <c r="B464" s="90" t="s">
        <v>111</v>
      </c>
      <c r="C464" s="1" t="s">
        <v>120</v>
      </c>
      <c r="D464" s="1">
        <v>1</v>
      </c>
      <c r="E464" s="1" t="str">
        <f t="shared" si="7"/>
        <v>TSM3_11-24_F1</v>
      </c>
      <c r="F464" s="91">
        <v>45606</v>
      </c>
      <c r="I464" t="s">
        <v>17</v>
      </c>
    </row>
    <row r="465" spans="1:9" ht="15" customHeight="1" x14ac:dyDescent="0.35">
      <c r="A465" s="89" t="s">
        <v>47</v>
      </c>
      <c r="B465" s="90" t="s">
        <v>111</v>
      </c>
      <c r="C465" s="1" t="s">
        <v>120</v>
      </c>
      <c r="D465" s="1">
        <v>1</v>
      </c>
      <c r="E465" s="1" t="str">
        <f t="shared" si="7"/>
        <v>TSM4_11-24_F1</v>
      </c>
      <c r="F465" s="91">
        <v>45606</v>
      </c>
      <c r="I465" t="s">
        <v>17</v>
      </c>
    </row>
    <row r="466" spans="1:9" ht="15" customHeight="1" x14ac:dyDescent="0.35">
      <c r="A466" s="89" t="s">
        <v>48</v>
      </c>
      <c r="B466" s="90" t="s">
        <v>111</v>
      </c>
      <c r="C466" s="1" t="s">
        <v>120</v>
      </c>
      <c r="D466" s="1">
        <v>1</v>
      </c>
      <c r="E466" s="1" t="str">
        <f t="shared" si="7"/>
        <v>SBT1_11-24_F1</v>
      </c>
      <c r="F466" s="91">
        <v>45606</v>
      </c>
      <c r="I466" t="s">
        <v>17</v>
      </c>
    </row>
    <row r="467" spans="1:9" ht="15" customHeight="1" x14ac:dyDescent="0.35">
      <c r="A467" s="89" t="s">
        <v>34</v>
      </c>
      <c r="B467" s="90" t="s">
        <v>111</v>
      </c>
      <c r="C467" s="1" t="s">
        <v>120</v>
      </c>
      <c r="D467" s="1">
        <v>1</v>
      </c>
      <c r="E467" s="1" t="str">
        <f t="shared" si="7"/>
        <v>GB1_11-24_F1</v>
      </c>
      <c r="F467" s="91">
        <v>45612</v>
      </c>
      <c r="I467" t="s">
        <v>17</v>
      </c>
    </row>
    <row r="468" spans="1:9" ht="15" customHeight="1" x14ac:dyDescent="0.35">
      <c r="A468" s="89" t="s">
        <v>42</v>
      </c>
      <c r="B468" s="90" t="s">
        <v>111</v>
      </c>
      <c r="C468" s="1" t="s">
        <v>120</v>
      </c>
      <c r="D468" s="1">
        <v>1</v>
      </c>
      <c r="E468" s="1" t="str">
        <f t="shared" si="7"/>
        <v>TB2_11-24_F1</v>
      </c>
      <c r="F468" s="91">
        <v>45612</v>
      </c>
      <c r="I468" t="s">
        <v>17</v>
      </c>
    </row>
    <row r="469" spans="1:9" ht="15" customHeight="1" x14ac:dyDescent="0.35">
      <c r="A469" s="89" t="s">
        <v>49</v>
      </c>
      <c r="B469" s="90" t="s">
        <v>111</v>
      </c>
      <c r="C469" s="1" t="s">
        <v>120</v>
      </c>
      <c r="D469" s="1">
        <v>1</v>
      </c>
      <c r="E469" s="1" t="str">
        <f t="shared" si="7"/>
        <v>SBT2_11-24_F1</v>
      </c>
      <c r="F469" s="91">
        <v>45612</v>
      </c>
      <c r="I469" t="s">
        <v>17</v>
      </c>
    </row>
    <row r="470" spans="1:9" ht="15" customHeight="1" x14ac:dyDescent="0.35">
      <c r="A470" s="89" t="s">
        <v>55</v>
      </c>
      <c r="B470" s="90" t="s">
        <v>111</v>
      </c>
      <c r="C470" s="1" t="s">
        <v>120</v>
      </c>
      <c r="D470" s="1">
        <v>1</v>
      </c>
      <c r="E470" s="1" t="str">
        <f t="shared" si="7"/>
        <v>JB_11-24_F1</v>
      </c>
      <c r="F470" s="91">
        <v>45612</v>
      </c>
      <c r="I470" t="s">
        <v>17</v>
      </c>
    </row>
    <row r="471" spans="1:9" ht="15" customHeight="1" x14ac:dyDescent="0.35">
      <c r="A471" s="89" t="s">
        <v>44</v>
      </c>
      <c r="B471" s="90" t="s">
        <v>111</v>
      </c>
      <c r="C471" s="1" t="s">
        <v>120</v>
      </c>
      <c r="D471" s="1">
        <v>1</v>
      </c>
      <c r="E471" s="1" t="str">
        <f t="shared" si="7"/>
        <v>RB_11-24_F1</v>
      </c>
      <c r="F471" s="91">
        <v>45612</v>
      </c>
      <c r="I471" t="s">
        <v>17</v>
      </c>
    </row>
    <row r="472" spans="1:9" ht="15" customHeight="1" x14ac:dyDescent="0.35">
      <c r="A472" s="89" t="s">
        <v>41</v>
      </c>
      <c r="B472" s="90" t="s">
        <v>111</v>
      </c>
      <c r="C472" s="1" t="s">
        <v>120</v>
      </c>
      <c r="D472" s="1">
        <v>1</v>
      </c>
      <c r="E472" s="1" t="str">
        <f t="shared" si="7"/>
        <v>TB1_11-24_F1</v>
      </c>
      <c r="F472" s="91">
        <v>45612</v>
      </c>
      <c r="I472" t="s">
        <v>17</v>
      </c>
    </row>
    <row r="473" spans="1:9" ht="15" customHeight="1" x14ac:dyDescent="0.35">
      <c r="A473" s="89" t="s">
        <v>30</v>
      </c>
      <c r="B473" s="90" t="s">
        <v>111</v>
      </c>
      <c r="C473" s="1" t="s">
        <v>120</v>
      </c>
      <c r="D473" s="1">
        <v>1</v>
      </c>
      <c r="E473" s="1" t="str">
        <f t="shared" si="7"/>
        <v>DC1_11-24_F1</v>
      </c>
      <c r="F473" s="91">
        <v>45612</v>
      </c>
      <c r="I473" t="s">
        <v>17</v>
      </c>
    </row>
    <row r="474" spans="1:9" ht="15" customHeight="1" x14ac:dyDescent="0.35">
      <c r="A474" s="89" t="s">
        <v>35</v>
      </c>
      <c r="B474" s="90" t="s">
        <v>111</v>
      </c>
      <c r="C474" s="1" t="s">
        <v>120</v>
      </c>
      <c r="D474" s="1">
        <v>1</v>
      </c>
      <c r="E474" s="1" t="str">
        <f t="shared" si="7"/>
        <v>MCS1_11-24_F1</v>
      </c>
      <c r="F474" s="91">
        <v>45612</v>
      </c>
      <c r="I474" t="s">
        <v>17</v>
      </c>
    </row>
    <row r="475" spans="1:9" ht="15" customHeight="1" x14ac:dyDescent="0.35">
      <c r="A475" s="89" t="s">
        <v>54</v>
      </c>
      <c r="B475" s="90" t="s">
        <v>111</v>
      </c>
      <c r="C475" s="1" t="s">
        <v>120</v>
      </c>
      <c r="D475" s="1">
        <v>1</v>
      </c>
      <c r="E475" s="1" t="str">
        <f t="shared" si="7"/>
        <v>TKB_11-24_F1</v>
      </c>
      <c r="F475" s="91">
        <v>45612</v>
      </c>
      <c r="I475" t="s">
        <v>17</v>
      </c>
    </row>
    <row r="476" spans="1:9" ht="15" customHeight="1" x14ac:dyDescent="0.35">
      <c r="A476" s="1" t="s">
        <v>49</v>
      </c>
      <c r="B476" s="2" t="s">
        <v>61</v>
      </c>
      <c r="C476" s="1" t="s">
        <v>119</v>
      </c>
      <c r="D476" s="1">
        <v>1</v>
      </c>
      <c r="E476" s="1" t="str">
        <f t="shared" si="7"/>
        <v>SBT2_1-24_UF1</v>
      </c>
      <c r="F476" s="10">
        <v>45297</v>
      </c>
      <c r="G476" s="10">
        <v>45320</v>
      </c>
      <c r="H476" s="10">
        <v>45352</v>
      </c>
      <c r="I476" t="s">
        <v>17</v>
      </c>
    </row>
    <row r="477" spans="1:9" ht="15" customHeight="1" x14ac:dyDescent="0.35">
      <c r="A477" s="1" t="s">
        <v>43</v>
      </c>
      <c r="B477" s="2" t="s">
        <v>61</v>
      </c>
      <c r="C477" s="1" t="s">
        <v>119</v>
      </c>
      <c r="D477" s="1">
        <v>1</v>
      </c>
      <c r="E477" s="1" t="str">
        <f t="shared" si="7"/>
        <v>GB2_1-24_UF1</v>
      </c>
      <c r="F477" s="10">
        <v>45297</v>
      </c>
      <c r="G477" s="10">
        <v>45320</v>
      </c>
      <c r="H477" s="10">
        <v>45352</v>
      </c>
      <c r="I477" t="s">
        <v>17</v>
      </c>
    </row>
    <row r="478" spans="1:9" ht="15" customHeight="1" x14ac:dyDescent="0.35">
      <c r="A478" s="1" t="s">
        <v>44</v>
      </c>
      <c r="B478" s="2" t="s">
        <v>61</v>
      </c>
      <c r="C478" s="1" t="s">
        <v>119</v>
      </c>
      <c r="D478" s="1">
        <v>1</v>
      </c>
      <c r="E478" s="1" t="str">
        <f t="shared" si="7"/>
        <v>RB_1-24_UF1</v>
      </c>
      <c r="F478" s="10">
        <v>45297</v>
      </c>
      <c r="G478" s="10">
        <v>45320</v>
      </c>
      <c r="H478" s="10">
        <v>45352</v>
      </c>
      <c r="I478" t="s">
        <v>17</v>
      </c>
    </row>
    <row r="479" spans="1:9" ht="15" customHeight="1" x14ac:dyDescent="0.35">
      <c r="A479" s="1" t="s">
        <v>54</v>
      </c>
      <c r="B479" s="2" t="s">
        <v>61</v>
      </c>
      <c r="C479" s="1" t="s">
        <v>119</v>
      </c>
      <c r="D479" s="1">
        <v>1</v>
      </c>
      <c r="E479" s="1" t="str">
        <f t="shared" si="7"/>
        <v>TKB_1-24_UF1</v>
      </c>
      <c r="F479" s="10">
        <v>45297</v>
      </c>
      <c r="G479" s="10">
        <v>45320</v>
      </c>
      <c r="H479" s="10">
        <v>45352</v>
      </c>
      <c r="I479" t="s">
        <v>17</v>
      </c>
    </row>
    <row r="480" spans="1:9" ht="15" hidden="1" customHeight="1" x14ac:dyDescent="0.35">
      <c r="A480" s="1" t="s">
        <v>24</v>
      </c>
      <c r="B480" s="2" t="s">
        <v>63</v>
      </c>
      <c r="C480" s="1" t="s">
        <v>120</v>
      </c>
      <c r="D480" s="1">
        <v>2</v>
      </c>
      <c r="E480" s="1" t="str">
        <f t="shared" si="7"/>
        <v>ACS1_4-24_F2</v>
      </c>
      <c r="F480" s="10">
        <v>45392</v>
      </c>
    </row>
    <row r="481" spans="1:6" ht="15" hidden="1" customHeight="1" x14ac:dyDescent="0.35">
      <c r="A481" s="1" t="s">
        <v>25</v>
      </c>
      <c r="B481" s="2" t="s">
        <v>63</v>
      </c>
      <c r="C481" s="1" t="s">
        <v>120</v>
      </c>
      <c r="D481" s="1">
        <v>2</v>
      </c>
      <c r="E481" s="1" t="str">
        <f t="shared" si="7"/>
        <v>ACS2_4-24_F2</v>
      </c>
      <c r="F481" s="10">
        <v>45392</v>
      </c>
    </row>
    <row r="482" spans="1:6" ht="15" hidden="1" customHeight="1" x14ac:dyDescent="0.35">
      <c r="A482" s="1" t="s">
        <v>26</v>
      </c>
      <c r="B482" s="2" t="s">
        <v>63</v>
      </c>
      <c r="C482" s="1" t="s">
        <v>120</v>
      </c>
      <c r="D482" s="1">
        <v>2</v>
      </c>
      <c r="E482" s="1" t="str">
        <f t="shared" si="7"/>
        <v>ACS3_4-24_F2</v>
      </c>
      <c r="F482" s="10">
        <v>45392</v>
      </c>
    </row>
    <row r="483" spans="1:6" ht="15" hidden="1" customHeight="1" x14ac:dyDescent="0.35">
      <c r="A483" s="1" t="s">
        <v>27</v>
      </c>
      <c r="B483" s="2" t="s">
        <v>63</v>
      </c>
      <c r="C483" s="1" t="s">
        <v>120</v>
      </c>
      <c r="D483" s="1">
        <v>2</v>
      </c>
      <c r="E483" s="1" t="str">
        <f t="shared" si="7"/>
        <v>ACS4_4-24_F2</v>
      </c>
      <c r="F483" s="10">
        <v>45392</v>
      </c>
    </row>
    <row r="484" spans="1:6" ht="15" hidden="1" customHeight="1" x14ac:dyDescent="0.35">
      <c r="A484" s="1" t="s">
        <v>28</v>
      </c>
      <c r="B484" s="2" t="s">
        <v>63</v>
      </c>
      <c r="C484" s="1" t="s">
        <v>120</v>
      </c>
      <c r="D484" s="1">
        <v>2</v>
      </c>
      <c r="E484" s="1" t="str">
        <f t="shared" si="7"/>
        <v>ACS5_4-24_F2</v>
      </c>
      <c r="F484" s="10">
        <v>45392</v>
      </c>
    </row>
    <row r="485" spans="1:6" ht="15" hidden="1" customHeight="1" x14ac:dyDescent="0.35">
      <c r="A485" s="1" t="s">
        <v>29</v>
      </c>
      <c r="B485" s="2" t="s">
        <v>63</v>
      </c>
      <c r="C485" s="1" t="s">
        <v>120</v>
      </c>
      <c r="D485" s="1">
        <v>2</v>
      </c>
      <c r="E485" s="1" t="str">
        <f t="shared" si="7"/>
        <v>GBHM_4-24_F2</v>
      </c>
      <c r="F485" s="10">
        <v>45392</v>
      </c>
    </row>
    <row r="486" spans="1:6" ht="15" hidden="1" customHeight="1" x14ac:dyDescent="0.35">
      <c r="A486" s="1" t="s">
        <v>30</v>
      </c>
      <c r="B486" s="2" t="s">
        <v>63</v>
      </c>
      <c r="C486" s="1" t="s">
        <v>120</v>
      </c>
      <c r="D486" s="1">
        <v>2</v>
      </c>
      <c r="E486" s="1" t="str">
        <f t="shared" si="7"/>
        <v>DC1_4-24_F2</v>
      </c>
      <c r="F486" s="10">
        <v>45392</v>
      </c>
    </row>
    <row r="487" spans="1:6" ht="15" hidden="1" customHeight="1" x14ac:dyDescent="0.35">
      <c r="A487" s="1" t="s">
        <v>31</v>
      </c>
      <c r="B487" s="2" t="s">
        <v>63</v>
      </c>
      <c r="C487" s="1" t="s">
        <v>120</v>
      </c>
      <c r="D487" s="1">
        <v>2</v>
      </c>
      <c r="E487" s="1" t="str">
        <f t="shared" si="7"/>
        <v>DCM1_4-24_F2</v>
      </c>
      <c r="F487" s="10">
        <v>45392</v>
      </c>
    </row>
    <row r="488" spans="1:6" ht="15" hidden="1" customHeight="1" x14ac:dyDescent="0.35">
      <c r="A488" s="1" t="s">
        <v>32</v>
      </c>
      <c r="B488" s="2" t="s">
        <v>63</v>
      </c>
      <c r="C488" s="1" t="s">
        <v>120</v>
      </c>
      <c r="D488" s="1">
        <v>2</v>
      </c>
      <c r="E488" s="1" t="str">
        <f t="shared" si="7"/>
        <v>DC2_4-24_F2</v>
      </c>
      <c r="F488" s="10">
        <v>45392</v>
      </c>
    </row>
    <row r="489" spans="1:6" ht="15" hidden="1" customHeight="1" x14ac:dyDescent="0.35">
      <c r="A489" s="1" t="s">
        <v>33</v>
      </c>
      <c r="B489" s="2" t="s">
        <v>63</v>
      </c>
      <c r="C489" s="1" t="s">
        <v>120</v>
      </c>
      <c r="D489" s="1">
        <v>2</v>
      </c>
      <c r="E489" s="1" t="str">
        <f t="shared" si="7"/>
        <v>DCM2_4-24_F2</v>
      </c>
      <c r="F489" s="10">
        <v>45392</v>
      </c>
    </row>
    <row r="490" spans="1:6" ht="15" hidden="1" customHeight="1" x14ac:dyDescent="0.35">
      <c r="A490" s="1" t="s">
        <v>34</v>
      </c>
      <c r="B490" s="2" t="s">
        <v>63</v>
      </c>
      <c r="C490" s="1" t="s">
        <v>120</v>
      </c>
      <c r="D490" s="1">
        <v>2</v>
      </c>
      <c r="E490" s="1" t="str">
        <f t="shared" si="7"/>
        <v>GB1_4-24_F2</v>
      </c>
      <c r="F490" s="10">
        <v>45392</v>
      </c>
    </row>
    <row r="491" spans="1:6" ht="15" hidden="1" customHeight="1" x14ac:dyDescent="0.35">
      <c r="A491" s="1" t="s">
        <v>24</v>
      </c>
      <c r="B491" s="2" t="s">
        <v>63</v>
      </c>
      <c r="C491" s="1" t="s">
        <v>119</v>
      </c>
      <c r="D491" s="1">
        <v>2</v>
      </c>
      <c r="E491" s="1" t="str">
        <f t="shared" si="7"/>
        <v>ACS1_4-24_UF2</v>
      </c>
      <c r="F491" s="10">
        <v>45392</v>
      </c>
    </row>
    <row r="492" spans="1:6" ht="15" hidden="1" customHeight="1" x14ac:dyDescent="0.35">
      <c r="A492" s="1" t="s">
        <v>25</v>
      </c>
      <c r="B492" s="2" t="s">
        <v>63</v>
      </c>
      <c r="C492" s="1" t="s">
        <v>119</v>
      </c>
      <c r="D492" s="1">
        <v>2</v>
      </c>
      <c r="E492" s="1" t="str">
        <f t="shared" si="7"/>
        <v>ACS2_4-24_UF2</v>
      </c>
      <c r="F492" s="10">
        <v>45392</v>
      </c>
    </row>
    <row r="493" spans="1:6" ht="15" hidden="1" customHeight="1" x14ac:dyDescent="0.35">
      <c r="A493" s="1" t="s">
        <v>26</v>
      </c>
      <c r="B493" s="2" t="s">
        <v>63</v>
      </c>
      <c r="C493" s="1" t="s">
        <v>119</v>
      </c>
      <c r="D493" s="1">
        <v>2</v>
      </c>
      <c r="E493" s="1" t="str">
        <f t="shared" si="7"/>
        <v>ACS3_4-24_UF2</v>
      </c>
      <c r="F493" s="10">
        <v>45392</v>
      </c>
    </row>
    <row r="494" spans="1:6" ht="15" hidden="1" customHeight="1" x14ac:dyDescent="0.35">
      <c r="A494" s="1" t="s">
        <v>27</v>
      </c>
      <c r="B494" s="2" t="s">
        <v>63</v>
      </c>
      <c r="C494" s="1" t="s">
        <v>119</v>
      </c>
      <c r="D494" s="1">
        <v>2</v>
      </c>
      <c r="E494" s="1" t="str">
        <f t="shared" si="7"/>
        <v>ACS4_4-24_UF2</v>
      </c>
      <c r="F494" s="10">
        <v>45392</v>
      </c>
    </row>
    <row r="495" spans="1:6" ht="15" hidden="1" customHeight="1" x14ac:dyDescent="0.35">
      <c r="A495" s="1" t="s">
        <v>28</v>
      </c>
      <c r="B495" s="2" t="s">
        <v>63</v>
      </c>
      <c r="C495" s="1" t="s">
        <v>119</v>
      </c>
      <c r="D495" s="1">
        <v>2</v>
      </c>
      <c r="E495" s="1" t="str">
        <f t="shared" si="7"/>
        <v>ACS5_4-24_UF2</v>
      </c>
      <c r="F495" s="10">
        <v>45392</v>
      </c>
    </row>
    <row r="496" spans="1:6" ht="15" hidden="1" customHeight="1" x14ac:dyDescent="0.35">
      <c r="A496" s="1" t="s">
        <v>29</v>
      </c>
      <c r="B496" s="2" t="s">
        <v>63</v>
      </c>
      <c r="C496" s="1" t="s">
        <v>119</v>
      </c>
      <c r="D496" s="1">
        <v>2</v>
      </c>
      <c r="E496" s="1" t="str">
        <f t="shared" si="7"/>
        <v>GBHM_4-24_UF2</v>
      </c>
      <c r="F496" s="10">
        <v>45392</v>
      </c>
    </row>
    <row r="497" spans="1:9" ht="15" hidden="1" customHeight="1" x14ac:dyDescent="0.35">
      <c r="A497" s="1" t="s">
        <v>30</v>
      </c>
      <c r="B497" s="2" t="s">
        <v>63</v>
      </c>
      <c r="C497" s="1" t="s">
        <v>119</v>
      </c>
      <c r="D497" s="1">
        <v>2</v>
      </c>
      <c r="E497" s="1" t="str">
        <f t="shared" si="7"/>
        <v>DC1_4-24_UF2</v>
      </c>
      <c r="F497" s="10">
        <v>45392</v>
      </c>
    </row>
    <row r="498" spans="1:9" ht="15" hidden="1" customHeight="1" x14ac:dyDescent="0.35">
      <c r="A498" s="1" t="s">
        <v>31</v>
      </c>
      <c r="B498" s="2" t="s">
        <v>63</v>
      </c>
      <c r="C498" s="1" t="s">
        <v>119</v>
      </c>
      <c r="D498" s="1">
        <v>2</v>
      </c>
      <c r="E498" s="1" t="str">
        <f t="shared" si="7"/>
        <v>DCM1_4-24_UF2</v>
      </c>
      <c r="F498" s="10">
        <v>45392</v>
      </c>
    </row>
    <row r="499" spans="1:9" ht="15" hidden="1" customHeight="1" x14ac:dyDescent="0.35">
      <c r="A499" s="1" t="s">
        <v>32</v>
      </c>
      <c r="B499" s="2" t="s">
        <v>63</v>
      </c>
      <c r="C499" s="1" t="s">
        <v>119</v>
      </c>
      <c r="D499" s="1">
        <v>2</v>
      </c>
      <c r="E499" s="1" t="str">
        <f t="shared" si="7"/>
        <v>DC2_4-24_UF2</v>
      </c>
      <c r="F499" s="10">
        <v>45392</v>
      </c>
    </row>
    <row r="500" spans="1:9" ht="15" hidden="1" customHeight="1" x14ac:dyDescent="0.35">
      <c r="A500" s="1" t="s">
        <v>33</v>
      </c>
      <c r="B500" s="2" t="s">
        <v>63</v>
      </c>
      <c r="C500" s="1" t="s">
        <v>119</v>
      </c>
      <c r="D500" s="1">
        <v>2</v>
      </c>
      <c r="E500" s="1" t="str">
        <f t="shared" si="7"/>
        <v>DCM2_4-24_UF2</v>
      </c>
      <c r="F500" s="10">
        <v>45392</v>
      </c>
    </row>
    <row r="501" spans="1:9" ht="15" hidden="1" customHeight="1" x14ac:dyDescent="0.35">
      <c r="A501" s="1" t="s">
        <v>34</v>
      </c>
      <c r="B501" s="2" t="s">
        <v>63</v>
      </c>
      <c r="C501" s="1" t="s">
        <v>119</v>
      </c>
      <c r="D501" s="1">
        <v>2</v>
      </c>
      <c r="E501" s="1" t="str">
        <f t="shared" si="7"/>
        <v>GB1_4-24_UF2</v>
      </c>
      <c r="F501" s="10">
        <v>45392</v>
      </c>
    </row>
    <row r="502" spans="1:9" ht="15" customHeight="1" x14ac:dyDescent="0.35">
      <c r="A502" s="1" t="s">
        <v>55</v>
      </c>
      <c r="B502" s="2" t="s">
        <v>61</v>
      </c>
      <c r="C502" s="1" t="s">
        <v>119</v>
      </c>
      <c r="D502" s="1">
        <v>1</v>
      </c>
      <c r="E502" s="1" t="str">
        <f t="shared" si="7"/>
        <v>JB_1-24_UF1</v>
      </c>
      <c r="F502" s="10">
        <v>45297</v>
      </c>
      <c r="G502" s="10">
        <v>45320</v>
      </c>
      <c r="H502" s="10">
        <v>45352</v>
      </c>
      <c r="I502" t="s">
        <v>17</v>
      </c>
    </row>
    <row r="503" spans="1:9" ht="15" customHeight="1" x14ac:dyDescent="0.35">
      <c r="A503" s="1" t="s">
        <v>56</v>
      </c>
      <c r="B503" s="2" t="s">
        <v>61</v>
      </c>
      <c r="C503" s="1" t="s">
        <v>119</v>
      </c>
      <c r="D503" s="1">
        <v>1</v>
      </c>
      <c r="E503" s="1" t="str">
        <f t="shared" si="7"/>
        <v>CC_1-24_UF1</v>
      </c>
      <c r="F503" s="10">
        <v>45297</v>
      </c>
      <c r="G503" s="10">
        <v>45320</v>
      </c>
      <c r="H503" s="10">
        <v>45352</v>
      </c>
      <c r="I503" t="s">
        <v>17</v>
      </c>
    </row>
    <row r="504" spans="1:9" ht="15" customHeight="1" x14ac:dyDescent="0.35">
      <c r="A504" s="1" t="s">
        <v>35</v>
      </c>
      <c r="B504" s="2" t="s">
        <v>61</v>
      </c>
      <c r="C504" s="1" t="s">
        <v>119</v>
      </c>
      <c r="D504" s="1">
        <v>1</v>
      </c>
      <c r="E504" s="1" t="str">
        <f t="shared" si="7"/>
        <v>MCS1_1-24_UF1</v>
      </c>
      <c r="F504" s="10">
        <v>45298</v>
      </c>
      <c r="G504" s="10">
        <v>45320</v>
      </c>
      <c r="H504" s="10">
        <v>45352</v>
      </c>
      <c r="I504" t="s">
        <v>17</v>
      </c>
    </row>
    <row r="505" spans="1:9" ht="15" customHeight="1" x14ac:dyDescent="0.35">
      <c r="A505" s="1" t="s">
        <v>36</v>
      </c>
      <c r="B505" s="2" t="s">
        <v>61</v>
      </c>
      <c r="C505" s="1" t="s">
        <v>119</v>
      </c>
      <c r="D505" s="1">
        <v>1</v>
      </c>
      <c r="E505" s="1" t="str">
        <f t="shared" si="7"/>
        <v>MCS2_1-24_UF1</v>
      </c>
      <c r="F505" s="10">
        <v>45298</v>
      </c>
      <c r="G505" s="10">
        <v>45320</v>
      </c>
      <c r="H505" s="10">
        <v>45352</v>
      </c>
      <c r="I505" t="s">
        <v>17</v>
      </c>
    </row>
    <row r="506" spans="1:9" ht="15" customHeight="1" x14ac:dyDescent="0.35">
      <c r="A506" s="1" t="s">
        <v>37</v>
      </c>
      <c r="B506" s="2" t="s">
        <v>61</v>
      </c>
      <c r="C506" s="1" t="s">
        <v>119</v>
      </c>
      <c r="D506" s="1">
        <v>1</v>
      </c>
      <c r="E506" s="1" t="str">
        <f t="shared" si="7"/>
        <v>MCS3_1-24_UF1</v>
      </c>
      <c r="F506" s="10">
        <v>45298</v>
      </c>
      <c r="G506" s="10">
        <v>45320</v>
      </c>
      <c r="H506" s="10">
        <v>45352</v>
      </c>
      <c r="I506" t="s">
        <v>17</v>
      </c>
    </row>
    <row r="507" spans="1:9" ht="15" customHeight="1" x14ac:dyDescent="0.35">
      <c r="A507" s="1" t="s">
        <v>38</v>
      </c>
      <c r="B507" s="2" t="s">
        <v>61</v>
      </c>
      <c r="C507" s="1" t="s">
        <v>119</v>
      </c>
      <c r="D507" s="1">
        <v>1</v>
      </c>
      <c r="E507" s="1" t="str">
        <f t="shared" si="7"/>
        <v>MCS4_1-24_UF1</v>
      </c>
      <c r="F507" s="10">
        <v>45298</v>
      </c>
      <c r="G507" s="10">
        <v>45320</v>
      </c>
      <c r="H507" s="10">
        <v>45352</v>
      </c>
      <c r="I507" t="s">
        <v>17</v>
      </c>
    </row>
    <row r="508" spans="1:9" ht="15" customHeight="1" x14ac:dyDescent="0.35">
      <c r="A508" s="1" t="s">
        <v>39</v>
      </c>
      <c r="B508" s="2" t="s">
        <v>61</v>
      </c>
      <c r="C508" s="1" t="s">
        <v>119</v>
      </c>
      <c r="D508" s="1">
        <v>1</v>
      </c>
      <c r="E508" s="1" t="str">
        <f t="shared" si="7"/>
        <v>TBHM_1-24_UF1</v>
      </c>
      <c r="F508" s="10">
        <v>45298</v>
      </c>
      <c r="G508" s="10">
        <v>45320</v>
      </c>
      <c r="H508" s="10">
        <v>45352</v>
      </c>
      <c r="I508" t="s">
        <v>17</v>
      </c>
    </row>
    <row r="509" spans="1:9" ht="15" customHeight="1" x14ac:dyDescent="0.35">
      <c r="A509" s="1" t="s">
        <v>51</v>
      </c>
      <c r="B509" s="2" t="s">
        <v>61</v>
      </c>
      <c r="C509" s="1" t="s">
        <v>119</v>
      </c>
      <c r="D509" s="1">
        <v>1</v>
      </c>
      <c r="E509" s="1" t="str">
        <f t="shared" si="7"/>
        <v>TBC_1-24_UF1</v>
      </c>
      <c r="F509" s="10">
        <v>45298</v>
      </c>
      <c r="G509" s="10">
        <v>45320</v>
      </c>
      <c r="H509" s="10">
        <v>45352</v>
      </c>
      <c r="I509" t="s">
        <v>17</v>
      </c>
    </row>
    <row r="510" spans="1:9" ht="15" customHeight="1" x14ac:dyDescent="0.35">
      <c r="A510" s="1" t="s">
        <v>40</v>
      </c>
      <c r="B510" s="2" t="s">
        <v>61</v>
      </c>
      <c r="C510" s="1" t="s">
        <v>119</v>
      </c>
      <c r="D510" s="1">
        <v>1</v>
      </c>
      <c r="E510" s="1" t="str">
        <f t="shared" si="7"/>
        <v>TBCM_1-24_UF1</v>
      </c>
      <c r="F510" s="10">
        <v>45298</v>
      </c>
      <c r="G510" s="10">
        <v>45320</v>
      </c>
      <c r="H510" s="10">
        <v>45352</v>
      </c>
      <c r="I510" t="s">
        <v>17</v>
      </c>
    </row>
    <row r="511" spans="1:9" ht="15" customHeight="1" x14ac:dyDescent="0.35">
      <c r="A511" s="1" t="s">
        <v>41</v>
      </c>
      <c r="B511" s="2" t="s">
        <v>61</v>
      </c>
      <c r="C511" s="1" t="s">
        <v>119</v>
      </c>
      <c r="D511" s="1">
        <v>1</v>
      </c>
      <c r="E511" s="1" t="str">
        <f t="shared" si="7"/>
        <v>TB1_1-24_UF1</v>
      </c>
      <c r="F511" s="10">
        <v>45298</v>
      </c>
      <c r="G511" s="10">
        <v>45320</v>
      </c>
      <c r="H511" s="10">
        <v>45352</v>
      </c>
      <c r="I511" t="s">
        <v>17</v>
      </c>
    </row>
    <row r="512" spans="1:9" ht="15" customHeight="1" x14ac:dyDescent="0.35">
      <c r="A512" s="1" t="s">
        <v>42</v>
      </c>
      <c r="B512" s="2" t="s">
        <v>61</v>
      </c>
      <c r="C512" s="1" t="s">
        <v>119</v>
      </c>
      <c r="D512" s="1">
        <v>1</v>
      </c>
      <c r="E512" s="1" t="str">
        <f t="shared" si="7"/>
        <v>TB2_1-24_UF1</v>
      </c>
      <c r="F512" s="10">
        <v>45298</v>
      </c>
      <c r="G512" s="10">
        <v>45320</v>
      </c>
      <c r="H512" s="10">
        <v>45352</v>
      </c>
      <c r="I512" t="s">
        <v>17</v>
      </c>
    </row>
    <row r="513" spans="1:9" ht="15" customHeight="1" x14ac:dyDescent="0.35">
      <c r="A513" s="1" t="s">
        <v>52</v>
      </c>
      <c r="B513" s="2" t="s">
        <v>61</v>
      </c>
      <c r="C513" s="1" t="s">
        <v>119</v>
      </c>
      <c r="D513" s="1">
        <v>1</v>
      </c>
      <c r="E513" s="1" t="str">
        <f t="shared" si="7"/>
        <v>WB1_1-24_UF1</v>
      </c>
      <c r="F513" s="10">
        <v>45298</v>
      </c>
      <c r="G513" s="10">
        <v>45320</v>
      </c>
      <c r="H513" s="10">
        <v>45352</v>
      </c>
      <c r="I513" t="s">
        <v>17</v>
      </c>
    </row>
    <row r="514" spans="1:9" ht="15" customHeight="1" x14ac:dyDescent="0.35">
      <c r="A514" s="1" t="s">
        <v>53</v>
      </c>
      <c r="B514" s="2" t="s">
        <v>61</v>
      </c>
      <c r="C514" s="1" t="s">
        <v>119</v>
      </c>
      <c r="D514" s="1">
        <v>1</v>
      </c>
      <c r="E514" s="1" t="str">
        <f t="shared" ref="E514:E577" si="8">A514&amp;"_"&amp;B514&amp;"_"&amp;C514&amp;D514</f>
        <v>WB2_1-24_UF1</v>
      </c>
      <c r="F514" s="10">
        <v>45298</v>
      </c>
      <c r="G514" s="10">
        <v>45320</v>
      </c>
      <c r="H514" s="10">
        <v>45352</v>
      </c>
      <c r="I514" t="s">
        <v>17</v>
      </c>
    </row>
    <row r="515" spans="1:9" ht="15" customHeight="1" x14ac:dyDescent="0.35">
      <c r="A515" s="1" t="s">
        <v>24</v>
      </c>
      <c r="B515" s="2" t="s">
        <v>61</v>
      </c>
      <c r="C515" s="1" t="s">
        <v>119</v>
      </c>
      <c r="D515" s="1">
        <v>1</v>
      </c>
      <c r="E515" s="1" t="str">
        <f t="shared" si="8"/>
        <v>ACS1_1-24_UF1</v>
      </c>
      <c r="F515" s="10">
        <v>45302</v>
      </c>
      <c r="G515" s="10">
        <v>45320</v>
      </c>
      <c r="H515" s="10">
        <v>45352</v>
      </c>
      <c r="I515" t="s">
        <v>17</v>
      </c>
    </row>
    <row r="516" spans="1:9" ht="15" customHeight="1" x14ac:dyDescent="0.35">
      <c r="A516" s="1" t="s">
        <v>25</v>
      </c>
      <c r="B516" s="2" t="s">
        <v>61</v>
      </c>
      <c r="C516" s="1" t="s">
        <v>119</v>
      </c>
      <c r="D516" s="1">
        <v>1</v>
      </c>
      <c r="E516" s="1" t="str">
        <f t="shared" si="8"/>
        <v>ACS2_1-24_UF1</v>
      </c>
      <c r="F516" s="10">
        <v>45302</v>
      </c>
      <c r="G516" s="10">
        <v>45320</v>
      </c>
      <c r="H516" s="10">
        <v>45352</v>
      </c>
      <c r="I516" t="s">
        <v>17</v>
      </c>
    </row>
    <row r="517" spans="1:9" ht="15" customHeight="1" x14ac:dyDescent="0.35">
      <c r="A517" s="1" t="s">
        <v>26</v>
      </c>
      <c r="B517" s="2" t="s">
        <v>61</v>
      </c>
      <c r="C517" s="1" t="s">
        <v>119</v>
      </c>
      <c r="D517" s="1">
        <v>1</v>
      </c>
      <c r="E517" s="1" t="str">
        <f t="shared" si="8"/>
        <v>ACS3_1-24_UF1</v>
      </c>
      <c r="F517" s="10">
        <v>45302</v>
      </c>
      <c r="G517" s="10">
        <v>45320</v>
      </c>
      <c r="H517" s="10">
        <v>45352</v>
      </c>
      <c r="I517" t="s">
        <v>17</v>
      </c>
    </row>
    <row r="518" spans="1:9" ht="15" hidden="1" customHeight="1" x14ac:dyDescent="0.35">
      <c r="A518" s="1" t="s">
        <v>49</v>
      </c>
      <c r="B518" s="2" t="s">
        <v>63</v>
      </c>
      <c r="C518" s="1" t="s">
        <v>120</v>
      </c>
      <c r="D518" s="1">
        <v>2</v>
      </c>
      <c r="E518" s="1" t="str">
        <f t="shared" si="8"/>
        <v>SBT2_4-24_F2</v>
      </c>
      <c r="F518" s="10">
        <v>45393</v>
      </c>
    </row>
    <row r="519" spans="1:9" ht="15" hidden="1" customHeight="1" x14ac:dyDescent="0.35">
      <c r="A519" s="1" t="s">
        <v>43</v>
      </c>
      <c r="B519" s="2" t="s">
        <v>63</v>
      </c>
      <c r="C519" s="1" t="s">
        <v>120</v>
      </c>
      <c r="D519" s="1">
        <v>2</v>
      </c>
      <c r="E519" s="1" t="str">
        <f t="shared" si="8"/>
        <v>GB2_4-24_F2</v>
      </c>
      <c r="F519" s="10">
        <v>45393</v>
      </c>
    </row>
    <row r="520" spans="1:9" ht="15" hidden="1" customHeight="1" x14ac:dyDescent="0.35">
      <c r="A520" s="1" t="s">
        <v>44</v>
      </c>
      <c r="B520" s="2" t="s">
        <v>63</v>
      </c>
      <c r="C520" s="1" t="s">
        <v>120</v>
      </c>
      <c r="D520" s="1">
        <v>2</v>
      </c>
      <c r="E520" s="1" t="str">
        <f t="shared" si="8"/>
        <v>RB_4-24_F2</v>
      </c>
      <c r="F520" s="10">
        <v>45393</v>
      </c>
    </row>
    <row r="521" spans="1:9" ht="15" hidden="1" customHeight="1" x14ac:dyDescent="0.35">
      <c r="A521" s="1" t="s">
        <v>52</v>
      </c>
      <c r="B521" s="2" t="s">
        <v>63</v>
      </c>
      <c r="C521" s="1" t="s">
        <v>120</v>
      </c>
      <c r="D521" s="1">
        <v>2</v>
      </c>
      <c r="E521" s="1" t="str">
        <f t="shared" si="8"/>
        <v>WB1_4-24_F2</v>
      </c>
      <c r="F521" s="10">
        <v>45393</v>
      </c>
    </row>
    <row r="522" spans="1:9" ht="15" hidden="1" customHeight="1" x14ac:dyDescent="0.35">
      <c r="A522" s="1" t="s">
        <v>53</v>
      </c>
      <c r="B522" s="2" t="s">
        <v>63</v>
      </c>
      <c r="C522" s="1" t="s">
        <v>120</v>
      </c>
      <c r="D522" s="1">
        <v>2</v>
      </c>
      <c r="E522" s="1" t="str">
        <f t="shared" si="8"/>
        <v>WB2_4-24_F2</v>
      </c>
      <c r="F522" s="10">
        <v>45393</v>
      </c>
    </row>
    <row r="523" spans="1:9" ht="15" hidden="1" customHeight="1" x14ac:dyDescent="0.35">
      <c r="A523" s="1" t="s">
        <v>54</v>
      </c>
      <c r="B523" s="2" t="s">
        <v>63</v>
      </c>
      <c r="C523" s="1" t="s">
        <v>120</v>
      </c>
      <c r="D523" s="1">
        <v>2</v>
      </c>
      <c r="E523" s="1" t="str">
        <f t="shared" si="8"/>
        <v>TKB_4-24_F2</v>
      </c>
      <c r="F523" s="10">
        <v>45393</v>
      </c>
    </row>
    <row r="524" spans="1:9" ht="15" hidden="1" customHeight="1" x14ac:dyDescent="0.35">
      <c r="A524" s="1" t="s">
        <v>55</v>
      </c>
      <c r="B524" s="2" t="s">
        <v>63</v>
      </c>
      <c r="C524" s="1" t="s">
        <v>120</v>
      </c>
      <c r="D524" s="1">
        <v>2</v>
      </c>
      <c r="E524" s="1" t="str">
        <f t="shared" si="8"/>
        <v>JB_4-24_F2</v>
      </c>
      <c r="F524" s="10">
        <v>45393</v>
      </c>
    </row>
    <row r="525" spans="1:9" ht="15" hidden="1" customHeight="1" x14ac:dyDescent="0.35">
      <c r="A525" s="1" t="s">
        <v>56</v>
      </c>
      <c r="B525" s="2" t="s">
        <v>63</v>
      </c>
      <c r="C525" s="1" t="s">
        <v>120</v>
      </c>
      <c r="D525" s="1">
        <v>2</v>
      </c>
      <c r="E525" s="1" t="str">
        <f t="shared" si="8"/>
        <v>CC_4-24_F2</v>
      </c>
      <c r="F525" s="10">
        <v>45393</v>
      </c>
    </row>
    <row r="526" spans="1:9" ht="15" hidden="1" customHeight="1" x14ac:dyDescent="0.35">
      <c r="A526" s="1" t="s">
        <v>49</v>
      </c>
      <c r="B526" s="2" t="s">
        <v>63</v>
      </c>
      <c r="C526" s="1" t="s">
        <v>119</v>
      </c>
      <c r="D526" s="1">
        <v>2</v>
      </c>
      <c r="E526" s="1" t="str">
        <f t="shared" si="8"/>
        <v>SBT2_4-24_UF2</v>
      </c>
      <c r="F526" s="10">
        <v>45393</v>
      </c>
    </row>
    <row r="527" spans="1:9" ht="15" hidden="1" customHeight="1" x14ac:dyDescent="0.35">
      <c r="A527" s="1" t="s">
        <v>43</v>
      </c>
      <c r="B527" s="2" t="s">
        <v>63</v>
      </c>
      <c r="C527" s="1" t="s">
        <v>119</v>
      </c>
      <c r="D527" s="1">
        <v>2</v>
      </c>
      <c r="E527" s="1" t="str">
        <f t="shared" si="8"/>
        <v>GB2_4-24_UF2</v>
      </c>
      <c r="F527" s="10">
        <v>45393</v>
      </c>
    </row>
    <row r="528" spans="1:9" ht="15" hidden="1" customHeight="1" x14ac:dyDescent="0.35">
      <c r="A528" s="1" t="s">
        <v>44</v>
      </c>
      <c r="B528" s="2" t="s">
        <v>63</v>
      </c>
      <c r="C528" s="1" t="s">
        <v>119</v>
      </c>
      <c r="D528" s="1">
        <v>2</v>
      </c>
      <c r="E528" s="1" t="str">
        <f t="shared" si="8"/>
        <v>RB_4-24_UF2</v>
      </c>
      <c r="F528" s="10">
        <v>45393</v>
      </c>
    </row>
    <row r="529" spans="1:9" ht="15" hidden="1" customHeight="1" x14ac:dyDescent="0.35">
      <c r="A529" s="1" t="s">
        <v>52</v>
      </c>
      <c r="B529" s="2" t="s">
        <v>63</v>
      </c>
      <c r="C529" s="1" t="s">
        <v>119</v>
      </c>
      <c r="D529" s="1">
        <v>2</v>
      </c>
      <c r="E529" s="1" t="str">
        <f t="shared" si="8"/>
        <v>WB1_4-24_UF2</v>
      </c>
      <c r="F529" s="10">
        <v>45393</v>
      </c>
    </row>
    <row r="530" spans="1:9" ht="15" hidden="1" customHeight="1" x14ac:dyDescent="0.35">
      <c r="A530" s="1" t="s">
        <v>53</v>
      </c>
      <c r="B530" s="2" t="s">
        <v>63</v>
      </c>
      <c r="C530" s="1" t="s">
        <v>119</v>
      </c>
      <c r="D530" s="1">
        <v>2</v>
      </c>
      <c r="E530" s="1" t="str">
        <f t="shared" si="8"/>
        <v>WB2_4-24_UF2</v>
      </c>
      <c r="F530" s="10">
        <v>45393</v>
      </c>
    </row>
    <row r="531" spans="1:9" ht="15" hidden="1" customHeight="1" x14ac:dyDescent="0.35">
      <c r="A531" s="1" t="s">
        <v>54</v>
      </c>
      <c r="B531" s="2" t="s">
        <v>63</v>
      </c>
      <c r="C531" s="1" t="s">
        <v>119</v>
      </c>
      <c r="D531" s="1">
        <v>2</v>
      </c>
      <c r="E531" s="1" t="str">
        <f t="shared" si="8"/>
        <v>TKB_4-24_UF2</v>
      </c>
      <c r="F531" s="10">
        <v>45393</v>
      </c>
    </row>
    <row r="532" spans="1:9" ht="15" hidden="1" customHeight="1" x14ac:dyDescent="0.35">
      <c r="A532" s="1" t="s">
        <v>55</v>
      </c>
      <c r="B532" s="2" t="s">
        <v>63</v>
      </c>
      <c r="C532" s="1" t="s">
        <v>119</v>
      </c>
      <c r="D532" s="1">
        <v>2</v>
      </c>
      <c r="E532" s="1" t="str">
        <f t="shared" si="8"/>
        <v>JB_4-24_UF2</v>
      </c>
      <c r="F532" s="10">
        <v>45393</v>
      </c>
    </row>
    <row r="533" spans="1:9" ht="15" hidden="1" customHeight="1" x14ac:dyDescent="0.35">
      <c r="A533" s="1" t="s">
        <v>56</v>
      </c>
      <c r="B533" s="2" t="s">
        <v>63</v>
      </c>
      <c r="C533" s="1" t="s">
        <v>119</v>
      </c>
      <c r="D533" s="1">
        <v>2</v>
      </c>
      <c r="E533" s="1" t="str">
        <f t="shared" si="8"/>
        <v>CC_4-24_UF2</v>
      </c>
      <c r="F533" s="10">
        <v>45393</v>
      </c>
    </row>
    <row r="534" spans="1:9" ht="15" customHeight="1" x14ac:dyDescent="0.35">
      <c r="A534" s="1" t="s">
        <v>27</v>
      </c>
      <c r="B534" s="2" t="s">
        <v>61</v>
      </c>
      <c r="C534" s="1" t="s">
        <v>119</v>
      </c>
      <c r="D534" s="1">
        <v>1</v>
      </c>
      <c r="E534" s="1" t="str">
        <f t="shared" si="8"/>
        <v>ACS4_1-24_UF1</v>
      </c>
      <c r="F534" s="10">
        <v>45302</v>
      </c>
      <c r="G534" s="10">
        <v>45320</v>
      </c>
      <c r="H534" s="10">
        <v>45352</v>
      </c>
      <c r="I534" t="s">
        <v>17</v>
      </c>
    </row>
    <row r="535" spans="1:9" ht="15" customHeight="1" x14ac:dyDescent="0.35">
      <c r="A535" s="1" t="s">
        <v>28</v>
      </c>
      <c r="B535" s="2" t="s">
        <v>61</v>
      </c>
      <c r="C535" s="1" t="s">
        <v>119</v>
      </c>
      <c r="D535" s="1">
        <v>1</v>
      </c>
      <c r="E535" s="1" t="str">
        <f t="shared" si="8"/>
        <v>ACS5_1-24_UF1</v>
      </c>
      <c r="F535" s="10">
        <v>45302</v>
      </c>
      <c r="G535" s="10">
        <v>45320</v>
      </c>
      <c r="H535" s="10">
        <v>45352</v>
      </c>
      <c r="I535" t="s">
        <v>17</v>
      </c>
    </row>
    <row r="536" spans="1:9" ht="15" customHeight="1" x14ac:dyDescent="0.35">
      <c r="A536" s="1" t="s">
        <v>29</v>
      </c>
      <c r="B536" s="2" t="s">
        <v>61</v>
      </c>
      <c r="C536" s="1" t="s">
        <v>119</v>
      </c>
      <c r="D536" s="1">
        <v>1</v>
      </c>
      <c r="E536" s="1" t="str">
        <f t="shared" si="8"/>
        <v>GBHM_1-24_UF1</v>
      </c>
      <c r="F536" s="10">
        <v>45302</v>
      </c>
      <c r="G536" s="10">
        <v>45320</v>
      </c>
      <c r="H536" s="10">
        <v>45352</v>
      </c>
      <c r="I536" t="s">
        <v>17</v>
      </c>
    </row>
    <row r="537" spans="1:9" ht="15" customHeight="1" x14ac:dyDescent="0.35">
      <c r="A537" s="1" t="s">
        <v>30</v>
      </c>
      <c r="B537" s="2" t="s">
        <v>61</v>
      </c>
      <c r="C537" s="1" t="s">
        <v>119</v>
      </c>
      <c r="D537" s="1">
        <v>1</v>
      </c>
      <c r="E537" s="1" t="str">
        <f t="shared" si="8"/>
        <v>DC1_1-24_UF1</v>
      </c>
      <c r="F537" s="10">
        <v>45302</v>
      </c>
      <c r="G537" s="10">
        <v>45320</v>
      </c>
      <c r="H537" s="10">
        <v>45352</v>
      </c>
      <c r="I537" t="s">
        <v>17</v>
      </c>
    </row>
    <row r="538" spans="1:9" ht="15" customHeight="1" x14ac:dyDescent="0.35">
      <c r="A538" s="1" t="s">
        <v>31</v>
      </c>
      <c r="B538" s="2" t="s">
        <v>61</v>
      </c>
      <c r="C538" s="1" t="s">
        <v>119</v>
      </c>
      <c r="D538" s="1">
        <v>1</v>
      </c>
      <c r="E538" s="1" t="str">
        <f t="shared" si="8"/>
        <v>DCM1_1-24_UF1</v>
      </c>
      <c r="F538" s="10">
        <v>45302</v>
      </c>
      <c r="G538" s="10">
        <v>45320</v>
      </c>
      <c r="H538" s="10">
        <v>45352</v>
      </c>
      <c r="I538" t="s">
        <v>17</v>
      </c>
    </row>
    <row r="539" spans="1:9" ht="15" customHeight="1" x14ac:dyDescent="0.35">
      <c r="A539" s="1" t="s">
        <v>32</v>
      </c>
      <c r="B539" s="2" t="s">
        <v>61</v>
      </c>
      <c r="C539" s="1" t="s">
        <v>119</v>
      </c>
      <c r="D539" s="1">
        <v>1</v>
      </c>
      <c r="E539" s="1" t="str">
        <f t="shared" si="8"/>
        <v>DC2_1-24_UF1</v>
      </c>
      <c r="F539" s="10">
        <v>45302</v>
      </c>
      <c r="G539" s="10">
        <v>45320</v>
      </c>
      <c r="H539" s="10">
        <v>45352</v>
      </c>
      <c r="I539" t="s">
        <v>17</v>
      </c>
    </row>
    <row r="540" spans="1:9" ht="15" customHeight="1" x14ac:dyDescent="0.35">
      <c r="A540" s="1" t="s">
        <v>33</v>
      </c>
      <c r="B540" s="2" t="s">
        <v>61</v>
      </c>
      <c r="C540" s="1" t="s">
        <v>119</v>
      </c>
      <c r="D540" s="1">
        <v>1</v>
      </c>
      <c r="E540" s="1" t="str">
        <f t="shared" si="8"/>
        <v>DCM2_1-24_UF1</v>
      </c>
      <c r="F540" s="10">
        <v>45302</v>
      </c>
      <c r="G540" s="10">
        <v>45320</v>
      </c>
      <c r="H540" s="10">
        <v>45352</v>
      </c>
      <c r="I540" t="s">
        <v>17</v>
      </c>
    </row>
    <row r="541" spans="1:9" ht="15" customHeight="1" x14ac:dyDescent="0.35">
      <c r="A541" s="1" t="s">
        <v>34</v>
      </c>
      <c r="B541" s="2" t="s">
        <v>61</v>
      </c>
      <c r="C541" s="1" t="s">
        <v>119</v>
      </c>
      <c r="D541" s="1">
        <v>1</v>
      </c>
      <c r="E541" s="1" t="str">
        <f t="shared" si="8"/>
        <v>GB1_1-24_UF1</v>
      </c>
      <c r="F541" s="10">
        <v>45302</v>
      </c>
      <c r="G541" s="10">
        <v>45320</v>
      </c>
      <c r="H541" s="10">
        <v>45352</v>
      </c>
      <c r="I541" t="s">
        <v>17</v>
      </c>
    </row>
    <row r="542" spans="1:9" ht="15" customHeight="1" x14ac:dyDescent="0.35">
      <c r="A542" s="1" t="s">
        <v>45</v>
      </c>
      <c r="B542" s="2" t="s">
        <v>61</v>
      </c>
      <c r="C542" s="1" t="s">
        <v>119</v>
      </c>
      <c r="D542" s="1">
        <v>1</v>
      </c>
      <c r="E542" s="1" t="str">
        <f t="shared" si="8"/>
        <v>TSM1_1-24_UF1</v>
      </c>
      <c r="F542" s="10">
        <v>45324</v>
      </c>
      <c r="I542" t="s">
        <v>17</v>
      </c>
    </row>
    <row r="543" spans="1:9" ht="15" customHeight="1" x14ac:dyDescent="0.35">
      <c r="A543" s="1" t="s">
        <v>46</v>
      </c>
      <c r="B543" s="2" t="s">
        <v>61</v>
      </c>
      <c r="C543" s="1" t="s">
        <v>119</v>
      </c>
      <c r="D543" s="1">
        <v>1</v>
      </c>
      <c r="E543" s="1" t="str">
        <f t="shared" si="8"/>
        <v>TSM3_1-24_UF1</v>
      </c>
      <c r="F543" s="10">
        <v>45324</v>
      </c>
      <c r="I543" t="s">
        <v>17</v>
      </c>
    </row>
    <row r="544" spans="1:9" ht="15" customHeight="1" x14ac:dyDescent="0.35">
      <c r="A544" s="1" t="s">
        <v>47</v>
      </c>
      <c r="B544" s="2" t="s">
        <v>61</v>
      </c>
      <c r="C544" s="1" t="s">
        <v>119</v>
      </c>
      <c r="D544" s="1">
        <v>1</v>
      </c>
      <c r="E544" s="1" t="str">
        <f t="shared" si="8"/>
        <v>TSM4_1-24_UF1</v>
      </c>
      <c r="F544" s="10">
        <v>45324</v>
      </c>
      <c r="I544" t="s">
        <v>17</v>
      </c>
    </row>
    <row r="545" spans="1:9" ht="15" customHeight="1" x14ac:dyDescent="0.35">
      <c r="A545" s="1" t="s">
        <v>48</v>
      </c>
      <c r="B545" s="2" t="s">
        <v>61</v>
      </c>
      <c r="C545" s="1" t="s">
        <v>119</v>
      </c>
      <c r="D545" s="1">
        <v>1</v>
      </c>
      <c r="E545" s="1" t="str">
        <f t="shared" si="8"/>
        <v>SBT1_1-24_UF1</v>
      </c>
      <c r="F545" s="10">
        <v>45324</v>
      </c>
      <c r="I545" t="s">
        <v>17</v>
      </c>
    </row>
    <row r="546" spans="1:9" ht="15" customHeight="1" x14ac:dyDescent="0.35">
      <c r="A546" s="1" t="s">
        <v>14</v>
      </c>
      <c r="B546" s="2" t="s">
        <v>62</v>
      </c>
      <c r="C546" s="1" t="s">
        <v>119</v>
      </c>
      <c r="D546" s="1">
        <v>1</v>
      </c>
      <c r="E546" s="1" t="str">
        <f t="shared" si="8"/>
        <v>P37_3-24_UF1</v>
      </c>
      <c r="F546" s="10">
        <v>45358</v>
      </c>
      <c r="I546" t="s">
        <v>17</v>
      </c>
    </row>
    <row r="547" spans="1:9" ht="15" customHeight="1" x14ac:dyDescent="0.35">
      <c r="A547" s="1" t="s">
        <v>19</v>
      </c>
      <c r="B547" s="2" t="s">
        <v>62</v>
      </c>
      <c r="C547" s="1" t="s">
        <v>119</v>
      </c>
      <c r="D547" s="1">
        <v>1</v>
      </c>
      <c r="E547" s="1" t="str">
        <f t="shared" si="8"/>
        <v>NCL_3-24_UF1</v>
      </c>
      <c r="F547" s="10">
        <v>45358</v>
      </c>
      <c r="I547" t="s">
        <v>17</v>
      </c>
    </row>
    <row r="548" spans="1:9" ht="15" hidden="1" customHeight="1" x14ac:dyDescent="0.35">
      <c r="A548" s="1" t="s">
        <v>14</v>
      </c>
      <c r="B548" s="2" t="s">
        <v>59</v>
      </c>
      <c r="C548" s="1" t="s">
        <v>120</v>
      </c>
      <c r="D548" s="1">
        <v>2</v>
      </c>
      <c r="E548" s="1" t="str">
        <f t="shared" si="8"/>
        <v>P37_7-24_F2</v>
      </c>
      <c r="F548" s="10">
        <v>45476</v>
      </c>
    </row>
    <row r="549" spans="1:9" ht="15" hidden="1" customHeight="1" x14ac:dyDescent="0.35">
      <c r="A549" s="1" t="s">
        <v>19</v>
      </c>
      <c r="B549" s="2" t="s">
        <v>59</v>
      </c>
      <c r="C549" s="1" t="s">
        <v>120</v>
      </c>
      <c r="D549" s="1">
        <v>2</v>
      </c>
      <c r="E549" s="1" t="str">
        <f t="shared" si="8"/>
        <v>NCL_7-24_F2</v>
      </c>
      <c r="F549" s="10">
        <v>45476</v>
      </c>
    </row>
    <row r="550" spans="1:9" ht="15" hidden="1" customHeight="1" x14ac:dyDescent="0.35">
      <c r="A550" s="1" t="s">
        <v>20</v>
      </c>
      <c r="B550" s="2" t="s">
        <v>59</v>
      </c>
      <c r="C550" s="1" t="s">
        <v>120</v>
      </c>
      <c r="D550" s="1">
        <v>2</v>
      </c>
      <c r="E550" s="1" t="str">
        <f t="shared" si="8"/>
        <v>CP_7-24_F2</v>
      </c>
      <c r="F550" s="10">
        <v>45476</v>
      </c>
    </row>
    <row r="551" spans="1:9" ht="15" hidden="1" customHeight="1" x14ac:dyDescent="0.35">
      <c r="A551" s="1" t="s">
        <v>21</v>
      </c>
      <c r="B551" s="2" t="s">
        <v>59</v>
      </c>
      <c r="C551" s="1" t="s">
        <v>120</v>
      </c>
      <c r="D551" s="1">
        <v>2</v>
      </c>
      <c r="E551" s="1" t="str">
        <f t="shared" si="8"/>
        <v>EP146_7-24_F2</v>
      </c>
      <c r="F551" s="10">
        <v>45476</v>
      </c>
    </row>
    <row r="552" spans="1:9" ht="15" hidden="1" customHeight="1" x14ac:dyDescent="0.35">
      <c r="A552" s="1" t="s">
        <v>22</v>
      </c>
      <c r="B552" s="2" t="s">
        <v>59</v>
      </c>
      <c r="C552" s="1" t="s">
        <v>120</v>
      </c>
      <c r="D552" s="1">
        <v>2</v>
      </c>
      <c r="E552" s="1" t="str">
        <f t="shared" si="8"/>
        <v>OL_7-24_F2</v>
      </c>
      <c r="F552" s="10">
        <v>45476</v>
      </c>
    </row>
    <row r="553" spans="1:9" ht="15" hidden="1" customHeight="1" x14ac:dyDescent="0.35">
      <c r="A553" s="1" t="s">
        <v>58</v>
      </c>
      <c r="B553" s="2" t="s">
        <v>59</v>
      </c>
      <c r="C553" s="1" t="s">
        <v>120</v>
      </c>
      <c r="D553" s="1">
        <v>2</v>
      </c>
      <c r="E553" s="1" t="str">
        <f t="shared" si="8"/>
        <v>TSH_7-24_F2</v>
      </c>
      <c r="F553" s="10">
        <v>45476</v>
      </c>
    </row>
    <row r="554" spans="1:9" ht="15" hidden="1" customHeight="1" x14ac:dyDescent="0.35">
      <c r="A554" s="1" t="s">
        <v>23</v>
      </c>
      <c r="B554" s="2" t="s">
        <v>59</v>
      </c>
      <c r="C554" s="1" t="s">
        <v>120</v>
      </c>
      <c r="D554" s="1">
        <v>2</v>
      </c>
      <c r="E554" s="1" t="str">
        <f t="shared" si="8"/>
        <v>R127_7-24_F2</v>
      </c>
      <c r="F554" s="10">
        <v>45476</v>
      </c>
    </row>
    <row r="555" spans="1:9" ht="15" hidden="1" customHeight="1" x14ac:dyDescent="0.35">
      <c r="A555" s="1" t="s">
        <v>14</v>
      </c>
      <c r="B555" s="2" t="s">
        <v>59</v>
      </c>
      <c r="C555" s="1" t="s">
        <v>119</v>
      </c>
      <c r="D555" s="1">
        <v>2</v>
      </c>
      <c r="E555" s="1" t="str">
        <f t="shared" si="8"/>
        <v>P37_7-24_UF2</v>
      </c>
      <c r="F555" s="10">
        <v>45476</v>
      </c>
    </row>
    <row r="556" spans="1:9" ht="15" hidden="1" customHeight="1" x14ac:dyDescent="0.35">
      <c r="A556" s="1" t="s">
        <v>19</v>
      </c>
      <c r="B556" s="2" t="s">
        <v>59</v>
      </c>
      <c r="C556" s="1" t="s">
        <v>119</v>
      </c>
      <c r="D556" s="1">
        <v>2</v>
      </c>
      <c r="E556" s="1" t="str">
        <f t="shared" si="8"/>
        <v>NCL_7-24_UF2</v>
      </c>
      <c r="F556" s="10">
        <v>45476</v>
      </c>
    </row>
    <row r="557" spans="1:9" ht="15" hidden="1" customHeight="1" x14ac:dyDescent="0.35">
      <c r="A557" s="1" t="s">
        <v>20</v>
      </c>
      <c r="B557" s="2" t="s">
        <v>59</v>
      </c>
      <c r="C557" s="1" t="s">
        <v>119</v>
      </c>
      <c r="D557" s="1">
        <v>2</v>
      </c>
      <c r="E557" s="1" t="str">
        <f t="shared" si="8"/>
        <v>CP_7-24_UF2</v>
      </c>
      <c r="F557" s="10">
        <v>45476</v>
      </c>
    </row>
    <row r="558" spans="1:9" ht="15" hidden="1" customHeight="1" x14ac:dyDescent="0.35">
      <c r="A558" s="1" t="s">
        <v>21</v>
      </c>
      <c r="B558" s="2" t="s">
        <v>59</v>
      </c>
      <c r="C558" s="1" t="s">
        <v>119</v>
      </c>
      <c r="D558" s="1">
        <v>2</v>
      </c>
      <c r="E558" s="1" t="str">
        <f t="shared" si="8"/>
        <v>EP146_7-24_UF2</v>
      </c>
      <c r="F558" s="10">
        <v>45476</v>
      </c>
    </row>
    <row r="559" spans="1:9" ht="15" hidden="1" customHeight="1" x14ac:dyDescent="0.35">
      <c r="A559" s="1" t="s">
        <v>22</v>
      </c>
      <c r="B559" s="2" t="s">
        <v>59</v>
      </c>
      <c r="C559" s="1" t="s">
        <v>119</v>
      </c>
      <c r="D559" s="1">
        <v>2</v>
      </c>
      <c r="E559" s="1" t="str">
        <f t="shared" si="8"/>
        <v>OL_7-24_UF2</v>
      </c>
      <c r="F559" s="10">
        <v>45476</v>
      </c>
    </row>
    <row r="560" spans="1:9" ht="15" hidden="1" customHeight="1" x14ac:dyDescent="0.35">
      <c r="A560" s="1" t="s">
        <v>58</v>
      </c>
      <c r="B560" s="2" t="s">
        <v>59</v>
      </c>
      <c r="C560" s="1" t="s">
        <v>119</v>
      </c>
      <c r="D560" s="1">
        <v>2</v>
      </c>
      <c r="E560" s="1" t="str">
        <f t="shared" si="8"/>
        <v>TSH_7-24_UF2</v>
      </c>
      <c r="F560" s="10">
        <v>45476</v>
      </c>
    </row>
    <row r="561" spans="1:9" ht="15" hidden="1" customHeight="1" x14ac:dyDescent="0.35">
      <c r="A561" s="1" t="s">
        <v>23</v>
      </c>
      <c r="B561" s="2" t="s">
        <v>59</v>
      </c>
      <c r="C561" s="1" t="s">
        <v>119</v>
      </c>
      <c r="D561" s="1">
        <v>2</v>
      </c>
      <c r="E561" s="1" t="str">
        <f t="shared" si="8"/>
        <v>R127_7-24_UF2</v>
      </c>
      <c r="F561" s="10">
        <v>45476</v>
      </c>
    </row>
    <row r="562" spans="1:9" ht="15" customHeight="1" x14ac:dyDescent="0.35">
      <c r="A562" s="1" t="s">
        <v>20</v>
      </c>
      <c r="B562" s="2" t="s">
        <v>62</v>
      </c>
      <c r="C562" s="1" t="s">
        <v>119</v>
      </c>
      <c r="D562" s="1">
        <v>1</v>
      </c>
      <c r="E562" s="1" t="str">
        <f t="shared" si="8"/>
        <v>CP_3-24_UF1</v>
      </c>
      <c r="F562" s="10">
        <v>45358</v>
      </c>
      <c r="I562" t="s">
        <v>17</v>
      </c>
    </row>
    <row r="563" spans="1:9" ht="15" customHeight="1" x14ac:dyDescent="0.35">
      <c r="A563" s="1" t="s">
        <v>21</v>
      </c>
      <c r="B563" s="2" t="s">
        <v>62</v>
      </c>
      <c r="C563" s="1" t="s">
        <v>119</v>
      </c>
      <c r="D563" s="1">
        <v>1</v>
      </c>
      <c r="E563" s="1" t="str">
        <f t="shared" si="8"/>
        <v>EP146_3-24_UF1</v>
      </c>
      <c r="F563" s="10">
        <v>45358</v>
      </c>
      <c r="I563" t="s">
        <v>17</v>
      </c>
    </row>
    <row r="564" spans="1:9" ht="15" customHeight="1" x14ac:dyDescent="0.35">
      <c r="A564" s="1" t="s">
        <v>22</v>
      </c>
      <c r="B564" s="2" t="s">
        <v>62</v>
      </c>
      <c r="C564" s="1" t="s">
        <v>119</v>
      </c>
      <c r="D564" s="1">
        <v>1</v>
      </c>
      <c r="E564" s="1" t="str">
        <f t="shared" si="8"/>
        <v>OL_3-24_UF1</v>
      </c>
      <c r="F564" s="10">
        <v>45358</v>
      </c>
      <c r="I564" t="s">
        <v>17</v>
      </c>
    </row>
    <row r="565" spans="1:9" ht="15" customHeight="1" x14ac:dyDescent="0.35">
      <c r="A565" s="1" t="s">
        <v>58</v>
      </c>
      <c r="B565" s="2" t="s">
        <v>62</v>
      </c>
      <c r="C565" s="1" t="s">
        <v>119</v>
      </c>
      <c r="D565" s="1">
        <v>1</v>
      </c>
      <c r="E565" s="1" t="str">
        <f t="shared" si="8"/>
        <v>TSH_3-24_UF1</v>
      </c>
      <c r="F565" s="10">
        <v>45358</v>
      </c>
      <c r="I565" t="s">
        <v>17</v>
      </c>
    </row>
    <row r="566" spans="1:9" ht="15" customHeight="1" x14ac:dyDescent="0.35">
      <c r="A566" s="1" t="s">
        <v>23</v>
      </c>
      <c r="B566" s="2" t="s">
        <v>62</v>
      </c>
      <c r="C566" s="1" t="s">
        <v>119</v>
      </c>
      <c r="D566" s="1">
        <v>1</v>
      </c>
      <c r="E566" s="1" t="str">
        <f t="shared" si="8"/>
        <v>R127_3-24_UF1</v>
      </c>
      <c r="F566" s="10">
        <v>45358</v>
      </c>
      <c r="I566" t="s">
        <v>17</v>
      </c>
    </row>
    <row r="567" spans="1:9" ht="15" customHeight="1" x14ac:dyDescent="0.35">
      <c r="A567" s="1" t="s">
        <v>35</v>
      </c>
      <c r="B567" s="2" t="s">
        <v>63</v>
      </c>
      <c r="C567" s="1" t="s">
        <v>119</v>
      </c>
      <c r="D567" s="1">
        <v>1</v>
      </c>
      <c r="E567" s="1" t="str">
        <f t="shared" si="8"/>
        <v>MCS1_4-24_UF1</v>
      </c>
      <c r="F567" s="10">
        <v>45390</v>
      </c>
      <c r="I567" t="s">
        <v>17</v>
      </c>
    </row>
    <row r="568" spans="1:9" ht="15" customHeight="1" x14ac:dyDescent="0.35">
      <c r="A568" s="1" t="s">
        <v>36</v>
      </c>
      <c r="B568" s="2" t="s">
        <v>63</v>
      </c>
      <c r="C568" s="1" t="s">
        <v>119</v>
      </c>
      <c r="D568" s="1">
        <v>1</v>
      </c>
      <c r="E568" s="1" t="str">
        <f t="shared" si="8"/>
        <v>MCS2_4-24_UF1</v>
      </c>
      <c r="F568" s="10">
        <v>45390</v>
      </c>
      <c r="I568" t="s">
        <v>17</v>
      </c>
    </row>
    <row r="569" spans="1:9" ht="15" customHeight="1" x14ac:dyDescent="0.35">
      <c r="A569" s="1" t="s">
        <v>37</v>
      </c>
      <c r="B569" s="2" t="s">
        <v>63</v>
      </c>
      <c r="C569" s="1" t="s">
        <v>119</v>
      </c>
      <c r="D569" s="1">
        <v>1</v>
      </c>
      <c r="E569" s="1" t="str">
        <f t="shared" si="8"/>
        <v>MCS3_4-24_UF1</v>
      </c>
      <c r="F569" s="10">
        <v>45390</v>
      </c>
      <c r="I569" t="s">
        <v>17</v>
      </c>
    </row>
    <row r="570" spans="1:9" ht="15" customHeight="1" x14ac:dyDescent="0.35">
      <c r="A570" s="1" t="s">
        <v>38</v>
      </c>
      <c r="B570" s="2" t="s">
        <v>63</v>
      </c>
      <c r="C570" s="1" t="s">
        <v>119</v>
      </c>
      <c r="D570" s="1">
        <v>1</v>
      </c>
      <c r="E570" s="1" t="str">
        <f t="shared" si="8"/>
        <v>MCS4_4-24_UF1</v>
      </c>
      <c r="F570" s="10">
        <v>45390</v>
      </c>
      <c r="I570" t="s">
        <v>17</v>
      </c>
    </row>
    <row r="571" spans="1:9" ht="15" customHeight="1" x14ac:dyDescent="0.35">
      <c r="A571" s="1" t="s">
        <v>39</v>
      </c>
      <c r="B571" s="2" t="s">
        <v>63</v>
      </c>
      <c r="C571" s="1" t="s">
        <v>119</v>
      </c>
      <c r="D571" s="1">
        <v>1</v>
      </c>
      <c r="E571" s="1" t="str">
        <f t="shared" si="8"/>
        <v>TBHM_4-24_UF1</v>
      </c>
      <c r="F571" s="10">
        <v>45390</v>
      </c>
      <c r="I571" t="s">
        <v>17</v>
      </c>
    </row>
    <row r="572" spans="1:9" ht="15" customHeight="1" x14ac:dyDescent="0.35">
      <c r="A572" s="1" t="s">
        <v>51</v>
      </c>
      <c r="B572" s="2" t="s">
        <v>63</v>
      </c>
      <c r="C572" s="1" t="s">
        <v>119</v>
      </c>
      <c r="D572" s="1">
        <v>1</v>
      </c>
      <c r="E572" s="1" t="str">
        <f t="shared" si="8"/>
        <v>TBC_4-24_UF1</v>
      </c>
      <c r="F572" s="10">
        <v>45390</v>
      </c>
      <c r="I572" t="s">
        <v>17</v>
      </c>
    </row>
    <row r="573" spans="1:9" ht="15" customHeight="1" x14ac:dyDescent="0.35">
      <c r="A573" s="1" t="s">
        <v>40</v>
      </c>
      <c r="B573" s="2" t="s">
        <v>63</v>
      </c>
      <c r="C573" s="1" t="s">
        <v>119</v>
      </c>
      <c r="D573" s="1">
        <v>1</v>
      </c>
      <c r="E573" s="1" t="str">
        <f t="shared" si="8"/>
        <v>TBCM_4-24_UF1</v>
      </c>
      <c r="F573" s="10">
        <v>45390</v>
      </c>
      <c r="I573" t="s">
        <v>17</v>
      </c>
    </row>
    <row r="574" spans="1:9" ht="15" customHeight="1" x14ac:dyDescent="0.35">
      <c r="A574" s="1" t="s">
        <v>41</v>
      </c>
      <c r="B574" s="2" t="s">
        <v>63</v>
      </c>
      <c r="C574" s="1" t="s">
        <v>119</v>
      </c>
      <c r="D574" s="1">
        <v>1</v>
      </c>
      <c r="E574" s="1" t="str">
        <f t="shared" si="8"/>
        <v>TB1_4-24_UF1</v>
      </c>
      <c r="F574" s="10">
        <v>45390</v>
      </c>
      <c r="I574" t="s">
        <v>17</v>
      </c>
    </row>
    <row r="575" spans="1:9" ht="15" customHeight="1" x14ac:dyDescent="0.35">
      <c r="A575" s="1" t="s">
        <v>42</v>
      </c>
      <c r="B575" s="2" t="s">
        <v>63</v>
      </c>
      <c r="C575" s="1" t="s">
        <v>119</v>
      </c>
      <c r="D575" s="1">
        <v>1</v>
      </c>
      <c r="E575" s="1" t="str">
        <f t="shared" si="8"/>
        <v>TB2_4-24_UF1</v>
      </c>
      <c r="F575" s="10">
        <v>45390</v>
      </c>
      <c r="I575" t="s">
        <v>17</v>
      </c>
    </row>
    <row r="576" spans="1:9" ht="15" customHeight="1" x14ac:dyDescent="0.35">
      <c r="A576" s="1" t="s">
        <v>45</v>
      </c>
      <c r="B576" s="2" t="s">
        <v>63</v>
      </c>
      <c r="C576" s="1" t="s">
        <v>119</v>
      </c>
      <c r="D576" s="1">
        <v>1</v>
      </c>
      <c r="E576" s="1" t="str">
        <f t="shared" si="8"/>
        <v>TSM1_4-24_UF1</v>
      </c>
      <c r="F576" s="10">
        <v>45391</v>
      </c>
      <c r="I576" t="s">
        <v>17</v>
      </c>
    </row>
    <row r="577" spans="1:9" ht="15" customHeight="1" x14ac:dyDescent="0.35">
      <c r="A577" s="1" t="s">
        <v>46</v>
      </c>
      <c r="B577" s="2" t="s">
        <v>63</v>
      </c>
      <c r="C577" s="1" t="s">
        <v>119</v>
      </c>
      <c r="D577" s="1">
        <v>1</v>
      </c>
      <c r="E577" s="1" t="str">
        <f t="shared" si="8"/>
        <v>TSM3_4-24_UF1</v>
      </c>
      <c r="F577" s="10">
        <v>45391</v>
      </c>
      <c r="I577" t="s">
        <v>17</v>
      </c>
    </row>
    <row r="578" spans="1:9" ht="15" customHeight="1" x14ac:dyDescent="0.35">
      <c r="A578" s="1" t="s">
        <v>47</v>
      </c>
      <c r="B578" s="2" t="s">
        <v>63</v>
      </c>
      <c r="C578" s="1" t="s">
        <v>119</v>
      </c>
      <c r="D578" s="1">
        <v>1</v>
      </c>
      <c r="E578" s="1" t="str">
        <f t="shared" ref="E578:E641" si="9">A578&amp;"_"&amp;B578&amp;"_"&amp;C578&amp;D578</f>
        <v>TSM4_4-24_UF1</v>
      </c>
      <c r="F578" s="10">
        <v>45391</v>
      </c>
      <c r="I578" t="s">
        <v>17</v>
      </c>
    </row>
    <row r="579" spans="1:9" ht="15" customHeight="1" x14ac:dyDescent="0.35">
      <c r="A579" s="1" t="s">
        <v>48</v>
      </c>
      <c r="B579" s="2" t="s">
        <v>63</v>
      </c>
      <c r="C579" s="1" t="s">
        <v>119</v>
      </c>
      <c r="D579" s="1">
        <v>1</v>
      </c>
      <c r="E579" s="1" t="str">
        <f t="shared" si="9"/>
        <v>SBT1_4-24_UF1</v>
      </c>
      <c r="F579" s="10">
        <v>45391</v>
      </c>
      <c r="I579" t="s">
        <v>17</v>
      </c>
    </row>
    <row r="580" spans="1:9" ht="15" customHeight="1" x14ac:dyDescent="0.35">
      <c r="A580" s="1" t="s">
        <v>24</v>
      </c>
      <c r="B580" s="2" t="s">
        <v>63</v>
      </c>
      <c r="C580" s="1" t="s">
        <v>119</v>
      </c>
      <c r="D580" s="1">
        <v>1</v>
      </c>
      <c r="E580" s="1" t="str">
        <f t="shared" si="9"/>
        <v>ACS1_4-24_UF1</v>
      </c>
      <c r="F580" s="10">
        <v>45392</v>
      </c>
      <c r="I580" t="s">
        <v>17</v>
      </c>
    </row>
    <row r="581" spans="1:9" ht="15" customHeight="1" x14ac:dyDescent="0.35">
      <c r="A581" s="1" t="s">
        <v>25</v>
      </c>
      <c r="B581" s="2" t="s">
        <v>63</v>
      </c>
      <c r="C581" s="1" t="s">
        <v>119</v>
      </c>
      <c r="D581" s="1">
        <v>1</v>
      </c>
      <c r="E581" s="1" t="str">
        <f t="shared" si="9"/>
        <v>ACS2_4-24_UF1</v>
      </c>
      <c r="F581" s="10">
        <v>45392</v>
      </c>
      <c r="I581" t="s">
        <v>17</v>
      </c>
    </row>
    <row r="582" spans="1:9" ht="15" customHeight="1" x14ac:dyDescent="0.35">
      <c r="A582" s="1" t="s">
        <v>26</v>
      </c>
      <c r="B582" s="2" t="s">
        <v>63</v>
      </c>
      <c r="C582" s="1" t="s">
        <v>119</v>
      </c>
      <c r="D582" s="1">
        <v>1</v>
      </c>
      <c r="E582" s="1" t="str">
        <f t="shared" si="9"/>
        <v>ACS3_4-24_UF1</v>
      </c>
      <c r="F582" s="10">
        <v>45392</v>
      </c>
      <c r="I582" t="s">
        <v>17</v>
      </c>
    </row>
    <row r="583" spans="1:9" ht="15" customHeight="1" x14ac:dyDescent="0.35">
      <c r="A583" s="1" t="s">
        <v>27</v>
      </c>
      <c r="B583" s="2" t="s">
        <v>63</v>
      </c>
      <c r="C583" s="1" t="s">
        <v>119</v>
      </c>
      <c r="D583" s="1">
        <v>1</v>
      </c>
      <c r="E583" s="1" t="str">
        <f t="shared" si="9"/>
        <v>ACS4_4-24_UF1</v>
      </c>
      <c r="F583" s="10">
        <v>45392</v>
      </c>
      <c r="I583" t="s">
        <v>17</v>
      </c>
    </row>
    <row r="584" spans="1:9" ht="15" customHeight="1" x14ac:dyDescent="0.35">
      <c r="A584" s="1" t="s">
        <v>28</v>
      </c>
      <c r="B584" s="2" t="s">
        <v>63</v>
      </c>
      <c r="C584" s="1" t="s">
        <v>119</v>
      </c>
      <c r="D584" s="1">
        <v>1</v>
      </c>
      <c r="E584" s="1" t="str">
        <f t="shared" si="9"/>
        <v>ACS5_4-24_UF1</v>
      </c>
      <c r="F584" s="10">
        <v>45392</v>
      </c>
      <c r="I584" t="s">
        <v>17</v>
      </c>
    </row>
    <row r="585" spans="1:9" ht="15" customHeight="1" x14ac:dyDescent="0.35">
      <c r="A585" s="1" t="s">
        <v>29</v>
      </c>
      <c r="B585" s="2" t="s">
        <v>63</v>
      </c>
      <c r="C585" s="1" t="s">
        <v>119</v>
      </c>
      <c r="D585" s="1">
        <v>1</v>
      </c>
      <c r="E585" s="1" t="str">
        <f t="shared" si="9"/>
        <v>GBHM_4-24_UF1</v>
      </c>
      <c r="F585" s="10">
        <v>45392</v>
      </c>
      <c r="I585" s="30"/>
    </row>
    <row r="586" spans="1:9" ht="15" customHeight="1" x14ac:dyDescent="0.35">
      <c r="A586" s="1" t="s">
        <v>30</v>
      </c>
      <c r="B586" s="2" t="s">
        <v>63</v>
      </c>
      <c r="C586" s="1" t="s">
        <v>119</v>
      </c>
      <c r="D586" s="1">
        <v>1</v>
      </c>
      <c r="E586" s="1" t="str">
        <f t="shared" si="9"/>
        <v>DC1_4-24_UF1</v>
      </c>
      <c r="F586" s="10">
        <v>45392</v>
      </c>
      <c r="I586" t="s">
        <v>17</v>
      </c>
    </row>
    <row r="587" spans="1:9" ht="15" customHeight="1" x14ac:dyDescent="0.35">
      <c r="A587" s="1" t="s">
        <v>31</v>
      </c>
      <c r="B587" s="2" t="s">
        <v>63</v>
      </c>
      <c r="C587" s="1" t="s">
        <v>119</v>
      </c>
      <c r="D587" s="1">
        <v>1</v>
      </c>
      <c r="E587" s="1" t="str">
        <f t="shared" si="9"/>
        <v>DCM1_4-24_UF1</v>
      </c>
      <c r="F587" s="10">
        <v>45392</v>
      </c>
      <c r="I587" t="s">
        <v>17</v>
      </c>
    </row>
    <row r="588" spans="1:9" ht="15" customHeight="1" x14ac:dyDescent="0.35">
      <c r="A588" s="1" t="s">
        <v>32</v>
      </c>
      <c r="B588" s="2" t="s">
        <v>63</v>
      </c>
      <c r="C588" s="1" t="s">
        <v>119</v>
      </c>
      <c r="D588" s="1">
        <v>1</v>
      </c>
      <c r="E588" s="1" t="str">
        <f t="shared" si="9"/>
        <v>DC2_4-24_UF1</v>
      </c>
      <c r="F588" s="10">
        <v>45392</v>
      </c>
      <c r="I588" t="s">
        <v>17</v>
      </c>
    </row>
    <row r="589" spans="1:9" ht="15" customHeight="1" x14ac:dyDescent="0.35">
      <c r="A589" s="1" t="s">
        <v>33</v>
      </c>
      <c r="B589" s="2" t="s">
        <v>63</v>
      </c>
      <c r="C589" s="1" t="s">
        <v>119</v>
      </c>
      <c r="D589" s="1">
        <v>1</v>
      </c>
      <c r="E589" s="1" t="str">
        <f t="shared" si="9"/>
        <v>DCM2_4-24_UF1</v>
      </c>
      <c r="F589" s="10">
        <v>45392</v>
      </c>
      <c r="I589" s="30"/>
    </row>
    <row r="590" spans="1:9" ht="15" customHeight="1" x14ac:dyDescent="0.35">
      <c r="A590" s="1" t="s">
        <v>34</v>
      </c>
      <c r="B590" s="2" t="s">
        <v>63</v>
      </c>
      <c r="C590" s="1" t="s">
        <v>119</v>
      </c>
      <c r="D590" s="1">
        <v>1</v>
      </c>
      <c r="E590" s="1" t="str">
        <f t="shared" si="9"/>
        <v>GB1_4-24_UF1</v>
      </c>
      <c r="F590" s="10">
        <v>45392</v>
      </c>
      <c r="I590" t="s">
        <v>17</v>
      </c>
    </row>
    <row r="591" spans="1:9" ht="15" customHeight="1" x14ac:dyDescent="0.35">
      <c r="A591" s="1" t="s">
        <v>49</v>
      </c>
      <c r="B591" s="2" t="s">
        <v>63</v>
      </c>
      <c r="C591" s="1" t="s">
        <v>119</v>
      </c>
      <c r="D591" s="1">
        <v>1</v>
      </c>
      <c r="E591" s="1" t="str">
        <f t="shared" si="9"/>
        <v>SBT2_4-24_UF1</v>
      </c>
      <c r="F591" s="10">
        <v>45393</v>
      </c>
      <c r="I591" t="s">
        <v>17</v>
      </c>
    </row>
    <row r="592" spans="1:9" ht="15" customHeight="1" x14ac:dyDescent="0.35">
      <c r="A592" s="1" t="s">
        <v>43</v>
      </c>
      <c r="B592" s="2" t="s">
        <v>63</v>
      </c>
      <c r="C592" s="1" t="s">
        <v>119</v>
      </c>
      <c r="D592" s="1">
        <v>1</v>
      </c>
      <c r="E592" s="1" t="str">
        <f t="shared" si="9"/>
        <v>GB2_4-24_UF1</v>
      </c>
      <c r="F592" s="10">
        <v>45393</v>
      </c>
      <c r="I592" t="s">
        <v>17</v>
      </c>
    </row>
    <row r="593" spans="1:9" ht="15" customHeight="1" x14ac:dyDescent="0.35">
      <c r="A593" s="1" t="s">
        <v>44</v>
      </c>
      <c r="B593" s="2" t="s">
        <v>63</v>
      </c>
      <c r="C593" s="1" t="s">
        <v>119</v>
      </c>
      <c r="D593" s="1">
        <v>1</v>
      </c>
      <c r="E593" s="1" t="str">
        <f t="shared" si="9"/>
        <v>RB_4-24_UF1</v>
      </c>
      <c r="F593" s="10">
        <v>45393</v>
      </c>
      <c r="I593" t="s">
        <v>17</v>
      </c>
    </row>
    <row r="594" spans="1:9" ht="15" customHeight="1" x14ac:dyDescent="0.35">
      <c r="A594" s="1" t="s">
        <v>52</v>
      </c>
      <c r="B594" s="2" t="s">
        <v>63</v>
      </c>
      <c r="C594" s="1" t="s">
        <v>119</v>
      </c>
      <c r="D594" s="1">
        <v>1</v>
      </c>
      <c r="E594" s="1" t="str">
        <f t="shared" si="9"/>
        <v>WB1_4-24_UF1</v>
      </c>
      <c r="F594" s="10">
        <v>45393</v>
      </c>
      <c r="I594" t="s">
        <v>17</v>
      </c>
    </row>
    <row r="595" spans="1:9" ht="15" customHeight="1" x14ac:dyDescent="0.35">
      <c r="A595" s="1" t="s">
        <v>53</v>
      </c>
      <c r="B595" s="2" t="s">
        <v>63</v>
      </c>
      <c r="C595" s="1" t="s">
        <v>119</v>
      </c>
      <c r="D595" s="1">
        <v>1</v>
      </c>
      <c r="E595" s="1" t="str">
        <f t="shared" si="9"/>
        <v>WB2_4-24_UF1</v>
      </c>
      <c r="F595" s="10">
        <v>45393</v>
      </c>
      <c r="I595" t="s">
        <v>17</v>
      </c>
    </row>
    <row r="596" spans="1:9" ht="15" customHeight="1" x14ac:dyDescent="0.35">
      <c r="A596" s="1" t="s">
        <v>54</v>
      </c>
      <c r="B596" s="2" t="s">
        <v>63</v>
      </c>
      <c r="C596" s="1" t="s">
        <v>119</v>
      </c>
      <c r="D596" s="1">
        <v>1</v>
      </c>
      <c r="E596" s="1" t="str">
        <f t="shared" si="9"/>
        <v>TKB_4-24_UF1</v>
      </c>
      <c r="F596" s="10">
        <v>45393</v>
      </c>
      <c r="I596" t="s">
        <v>17</v>
      </c>
    </row>
    <row r="597" spans="1:9" ht="15" customHeight="1" x14ac:dyDescent="0.35">
      <c r="A597" s="1" t="s">
        <v>55</v>
      </c>
      <c r="B597" s="2" t="s">
        <v>63</v>
      </c>
      <c r="C597" s="1" t="s">
        <v>119</v>
      </c>
      <c r="D597" s="1">
        <v>1</v>
      </c>
      <c r="E597" s="1" t="str">
        <f t="shared" si="9"/>
        <v>JB_4-24_UF1</v>
      </c>
      <c r="F597" s="10">
        <v>45393</v>
      </c>
      <c r="I597" t="s">
        <v>17</v>
      </c>
    </row>
    <row r="598" spans="1:9" ht="15" customHeight="1" x14ac:dyDescent="0.35">
      <c r="A598" s="1" t="s">
        <v>56</v>
      </c>
      <c r="B598" s="2" t="s">
        <v>63</v>
      </c>
      <c r="C598" s="1" t="s">
        <v>119</v>
      </c>
      <c r="D598" s="1">
        <v>1</v>
      </c>
      <c r="E598" s="1" t="str">
        <f t="shared" si="9"/>
        <v>CC_4-24_UF1</v>
      </c>
      <c r="F598" s="10">
        <v>45393</v>
      </c>
      <c r="I598" t="s">
        <v>17</v>
      </c>
    </row>
    <row r="599" spans="1:9" ht="15" customHeight="1" x14ac:dyDescent="0.35">
      <c r="A599" s="1" t="s">
        <v>14</v>
      </c>
      <c r="B599" s="2" t="s">
        <v>59</v>
      </c>
      <c r="C599" s="1" t="s">
        <v>119</v>
      </c>
      <c r="D599" s="1">
        <v>1</v>
      </c>
      <c r="E599" s="1" t="str">
        <f t="shared" si="9"/>
        <v>P37_7-24_UF1</v>
      </c>
      <c r="F599" s="10">
        <v>45476</v>
      </c>
      <c r="I599" t="s">
        <v>17</v>
      </c>
    </row>
    <row r="600" spans="1:9" ht="15" customHeight="1" x14ac:dyDescent="0.35">
      <c r="A600" s="1" t="s">
        <v>19</v>
      </c>
      <c r="B600" s="2" t="s">
        <v>59</v>
      </c>
      <c r="C600" s="1" t="s">
        <v>119</v>
      </c>
      <c r="D600" s="1">
        <v>1</v>
      </c>
      <c r="E600" s="1" t="str">
        <f t="shared" si="9"/>
        <v>NCL_7-24_UF1</v>
      </c>
      <c r="F600" s="10">
        <v>45476</v>
      </c>
      <c r="I600" t="s">
        <v>17</v>
      </c>
    </row>
    <row r="601" spans="1:9" ht="15" customHeight="1" x14ac:dyDescent="0.35">
      <c r="A601" s="1" t="s">
        <v>20</v>
      </c>
      <c r="B601" s="2" t="s">
        <v>59</v>
      </c>
      <c r="C601" s="1" t="s">
        <v>119</v>
      </c>
      <c r="D601" s="1">
        <v>1</v>
      </c>
      <c r="E601" s="1" t="str">
        <f t="shared" si="9"/>
        <v>CP_7-24_UF1</v>
      </c>
      <c r="F601" s="10">
        <v>45476</v>
      </c>
      <c r="I601" t="s">
        <v>17</v>
      </c>
    </row>
    <row r="602" spans="1:9" ht="15" customHeight="1" x14ac:dyDescent="0.35">
      <c r="A602" s="1" t="s">
        <v>21</v>
      </c>
      <c r="B602" s="2" t="s">
        <v>59</v>
      </c>
      <c r="C602" s="1" t="s">
        <v>119</v>
      </c>
      <c r="D602" s="1">
        <v>1</v>
      </c>
      <c r="E602" s="1" t="str">
        <f t="shared" si="9"/>
        <v>EP146_7-24_UF1</v>
      </c>
      <c r="F602" s="10">
        <v>45476</v>
      </c>
      <c r="I602" t="s">
        <v>17</v>
      </c>
    </row>
    <row r="603" spans="1:9" ht="15" customHeight="1" x14ac:dyDescent="0.35">
      <c r="A603" s="1" t="s">
        <v>22</v>
      </c>
      <c r="B603" s="2" t="s">
        <v>59</v>
      </c>
      <c r="C603" s="1" t="s">
        <v>119</v>
      </c>
      <c r="D603" s="1">
        <v>1</v>
      </c>
      <c r="E603" s="1" t="str">
        <f t="shared" si="9"/>
        <v>OL_7-24_UF1</v>
      </c>
      <c r="F603" s="10">
        <v>45476</v>
      </c>
      <c r="I603" t="s">
        <v>17</v>
      </c>
    </row>
    <row r="604" spans="1:9" ht="15" customHeight="1" x14ac:dyDescent="0.35">
      <c r="A604" s="1" t="s">
        <v>58</v>
      </c>
      <c r="B604" s="2" t="s">
        <v>59</v>
      </c>
      <c r="C604" s="1" t="s">
        <v>119</v>
      </c>
      <c r="D604" s="1">
        <v>1</v>
      </c>
      <c r="E604" s="1" t="str">
        <f t="shared" si="9"/>
        <v>TSH_7-24_UF1</v>
      </c>
      <c r="F604" s="10">
        <v>45476</v>
      </c>
      <c r="I604" t="s">
        <v>17</v>
      </c>
    </row>
    <row r="605" spans="1:9" ht="15" customHeight="1" x14ac:dyDescent="0.35">
      <c r="A605" s="1" t="s">
        <v>23</v>
      </c>
      <c r="B605" s="2" t="s">
        <v>59</v>
      </c>
      <c r="C605" s="1" t="s">
        <v>119</v>
      </c>
      <c r="D605" s="1">
        <v>1</v>
      </c>
      <c r="E605" s="1" t="str">
        <f t="shared" si="9"/>
        <v>R127_7-24_UF1</v>
      </c>
      <c r="F605" s="10">
        <v>45476</v>
      </c>
      <c r="I605" t="s">
        <v>17</v>
      </c>
    </row>
    <row r="606" spans="1:9" ht="15" customHeight="1" x14ac:dyDescent="0.35">
      <c r="A606" s="1" t="s">
        <v>30</v>
      </c>
      <c r="B606" s="2" t="s">
        <v>64</v>
      </c>
      <c r="C606" s="1" t="s">
        <v>119</v>
      </c>
      <c r="D606" s="1">
        <v>1</v>
      </c>
      <c r="E606" s="1" t="str">
        <f t="shared" si="9"/>
        <v>DC1_8-24_UF1</v>
      </c>
      <c r="F606" s="10">
        <v>45505</v>
      </c>
      <c r="I606" t="s">
        <v>17</v>
      </c>
    </row>
    <row r="607" spans="1:9" ht="15" customHeight="1" x14ac:dyDescent="0.35">
      <c r="A607" s="1" t="s">
        <v>34</v>
      </c>
      <c r="B607" s="2" t="s">
        <v>64</v>
      </c>
      <c r="C607" s="1" t="s">
        <v>119</v>
      </c>
      <c r="D607" s="1">
        <v>1</v>
      </c>
      <c r="E607" s="1" t="str">
        <f t="shared" si="9"/>
        <v>GB1_8-24_UF1</v>
      </c>
      <c r="F607" s="10">
        <v>45505</v>
      </c>
      <c r="I607" t="s">
        <v>17</v>
      </c>
    </row>
    <row r="608" spans="1:9" ht="15" customHeight="1" x14ac:dyDescent="0.35">
      <c r="A608" s="1" t="s">
        <v>38</v>
      </c>
      <c r="B608" s="2" t="s">
        <v>64</v>
      </c>
      <c r="C608" s="1" t="s">
        <v>119</v>
      </c>
      <c r="D608" s="1">
        <v>1</v>
      </c>
      <c r="E608" s="1" t="str">
        <f t="shared" si="9"/>
        <v>MCS4_8-24_UF1</v>
      </c>
      <c r="F608" s="10">
        <v>45505</v>
      </c>
      <c r="I608" t="s">
        <v>17</v>
      </c>
    </row>
    <row r="609" spans="1:9" ht="15" customHeight="1" x14ac:dyDescent="0.35">
      <c r="A609" s="1" t="s">
        <v>39</v>
      </c>
      <c r="B609" s="2" t="s">
        <v>64</v>
      </c>
      <c r="C609" s="1" t="s">
        <v>119</v>
      </c>
      <c r="D609" s="1">
        <v>1</v>
      </c>
      <c r="E609" s="1" t="str">
        <f t="shared" si="9"/>
        <v>TBHM_8-24_UF1</v>
      </c>
      <c r="F609" s="10">
        <v>45505</v>
      </c>
      <c r="I609" t="s">
        <v>17</v>
      </c>
    </row>
    <row r="610" spans="1:9" ht="15" customHeight="1" x14ac:dyDescent="0.35">
      <c r="A610" s="1" t="s">
        <v>42</v>
      </c>
      <c r="B610" s="2" t="s">
        <v>64</v>
      </c>
      <c r="C610" s="1" t="s">
        <v>119</v>
      </c>
      <c r="D610" s="1">
        <v>1</v>
      </c>
      <c r="E610" s="1" t="str">
        <f t="shared" si="9"/>
        <v>TB2_8-24_UF1</v>
      </c>
      <c r="F610" s="10">
        <v>45505</v>
      </c>
      <c r="I610" t="s">
        <v>17</v>
      </c>
    </row>
    <row r="611" spans="1:9" ht="15" customHeight="1" x14ac:dyDescent="0.35">
      <c r="A611" s="1" t="s">
        <v>43</v>
      </c>
      <c r="B611" s="2" t="s">
        <v>64</v>
      </c>
      <c r="C611" s="1" t="s">
        <v>119</v>
      </c>
      <c r="D611" s="1">
        <v>1</v>
      </c>
      <c r="E611" s="1" t="str">
        <f t="shared" si="9"/>
        <v>GB2_8-24_UF1</v>
      </c>
      <c r="F611" s="10">
        <v>45505</v>
      </c>
      <c r="I611" t="s">
        <v>17</v>
      </c>
    </row>
    <row r="612" spans="1:9" ht="15" customHeight="1" x14ac:dyDescent="0.35">
      <c r="A612" s="1" t="s">
        <v>49</v>
      </c>
      <c r="B612" s="2" t="s">
        <v>64</v>
      </c>
      <c r="C612" s="1" t="s">
        <v>119</v>
      </c>
      <c r="D612" s="1">
        <v>1</v>
      </c>
      <c r="E612" s="1" t="str">
        <f t="shared" si="9"/>
        <v>SBT2_8-24_UF1</v>
      </c>
      <c r="F612" s="10">
        <v>45505</v>
      </c>
      <c r="I612" t="s">
        <v>17</v>
      </c>
    </row>
    <row r="613" spans="1:9" ht="15" customHeight="1" x14ac:dyDescent="0.35">
      <c r="A613" s="1" t="s">
        <v>51</v>
      </c>
      <c r="B613" s="2" t="s">
        <v>64</v>
      </c>
      <c r="C613" s="1" t="s">
        <v>119</v>
      </c>
      <c r="D613" s="1">
        <v>1</v>
      </c>
      <c r="E613" s="1" t="str">
        <f t="shared" si="9"/>
        <v>TBC_8-24_UF1</v>
      </c>
      <c r="F613" s="10">
        <v>45505</v>
      </c>
      <c r="I613" t="s">
        <v>17</v>
      </c>
    </row>
    <row r="614" spans="1:9" ht="15" customHeight="1" x14ac:dyDescent="0.35">
      <c r="A614" s="1" t="s">
        <v>33</v>
      </c>
      <c r="B614" s="2" t="s">
        <v>64</v>
      </c>
      <c r="C614" s="1" t="s">
        <v>119</v>
      </c>
      <c r="D614" s="1">
        <v>1</v>
      </c>
      <c r="E614" s="1" t="str">
        <f t="shared" si="9"/>
        <v>DCM2_8-24_UF1</v>
      </c>
      <c r="F614" s="10">
        <v>45505</v>
      </c>
      <c r="I614" t="s">
        <v>17</v>
      </c>
    </row>
    <row r="615" spans="1:9" ht="15" customHeight="1" x14ac:dyDescent="0.35">
      <c r="A615" s="1" t="s">
        <v>24</v>
      </c>
      <c r="B615" s="2" t="s">
        <v>64</v>
      </c>
      <c r="C615" s="1" t="s">
        <v>119</v>
      </c>
      <c r="D615" s="1">
        <v>1</v>
      </c>
      <c r="E615" s="1" t="str">
        <f t="shared" si="9"/>
        <v>ACS1_8-24_UF1</v>
      </c>
      <c r="F615" s="10">
        <v>45505</v>
      </c>
      <c r="I615" t="s">
        <v>17</v>
      </c>
    </row>
    <row r="616" spans="1:9" ht="15" customHeight="1" x14ac:dyDescent="0.35">
      <c r="A616" s="1" t="s">
        <v>44</v>
      </c>
      <c r="B616" s="2" t="s">
        <v>64</v>
      </c>
      <c r="C616" s="1" t="s">
        <v>119</v>
      </c>
      <c r="D616" s="1">
        <v>1</v>
      </c>
      <c r="E616" s="1" t="str">
        <f t="shared" si="9"/>
        <v>RB_8-24_UF1</v>
      </c>
      <c r="F616" s="10">
        <v>45505</v>
      </c>
      <c r="I616" t="s">
        <v>17</v>
      </c>
    </row>
    <row r="617" spans="1:9" ht="15" customHeight="1" x14ac:dyDescent="0.35">
      <c r="A617" s="1" t="s">
        <v>27</v>
      </c>
      <c r="B617" s="2" t="s">
        <v>64</v>
      </c>
      <c r="C617" s="1" t="s">
        <v>119</v>
      </c>
      <c r="D617" s="1">
        <v>1</v>
      </c>
      <c r="E617" s="1" t="str">
        <f t="shared" si="9"/>
        <v>ACS4_8-24_UF1</v>
      </c>
      <c r="F617" s="10">
        <v>45505</v>
      </c>
      <c r="I617" t="s">
        <v>17</v>
      </c>
    </row>
    <row r="618" spans="1:9" ht="15" customHeight="1" x14ac:dyDescent="0.35">
      <c r="A618" s="1" t="s">
        <v>28</v>
      </c>
      <c r="B618" s="2" t="s">
        <v>64</v>
      </c>
      <c r="C618" s="1" t="s">
        <v>119</v>
      </c>
      <c r="D618" s="1">
        <v>1</v>
      </c>
      <c r="E618" s="1" t="str">
        <f t="shared" si="9"/>
        <v>ACS5_8-24_UF1</v>
      </c>
      <c r="F618" s="10">
        <v>45505</v>
      </c>
      <c r="I618" t="s">
        <v>17</v>
      </c>
    </row>
    <row r="619" spans="1:9" ht="15" customHeight="1" x14ac:dyDescent="0.35">
      <c r="A619" s="1" t="s">
        <v>56</v>
      </c>
      <c r="B619" s="2" t="s">
        <v>64</v>
      </c>
      <c r="C619" s="1" t="s">
        <v>119</v>
      </c>
      <c r="D619" s="1">
        <v>1</v>
      </c>
      <c r="E619" s="1" t="str">
        <f t="shared" si="9"/>
        <v>CC_8-24_UF1</v>
      </c>
      <c r="F619" s="10">
        <v>45505</v>
      </c>
      <c r="I619" t="s">
        <v>17</v>
      </c>
    </row>
    <row r="620" spans="1:9" ht="15" customHeight="1" x14ac:dyDescent="0.35">
      <c r="A620" s="1" t="s">
        <v>31</v>
      </c>
      <c r="B620" s="2" t="s">
        <v>64</v>
      </c>
      <c r="C620" s="1" t="s">
        <v>119</v>
      </c>
      <c r="D620" s="1">
        <v>1</v>
      </c>
      <c r="E620" s="1" t="str">
        <f t="shared" si="9"/>
        <v>DCM1_8-24_UF1</v>
      </c>
      <c r="F620" s="10">
        <v>45505</v>
      </c>
      <c r="I620" t="s">
        <v>17</v>
      </c>
    </row>
    <row r="621" spans="1:9" ht="15" customHeight="1" x14ac:dyDescent="0.35">
      <c r="A621" s="1" t="s">
        <v>25</v>
      </c>
      <c r="B621" s="2" t="s">
        <v>64</v>
      </c>
      <c r="C621" s="1" t="s">
        <v>119</v>
      </c>
      <c r="D621" s="1">
        <v>1</v>
      </c>
      <c r="E621" s="1" t="str">
        <f t="shared" si="9"/>
        <v>ACS2_8-24_UF1</v>
      </c>
      <c r="F621" s="10">
        <v>45505</v>
      </c>
      <c r="I621" t="s">
        <v>17</v>
      </c>
    </row>
    <row r="622" spans="1:9" ht="15" customHeight="1" x14ac:dyDescent="0.35">
      <c r="A622" s="1" t="s">
        <v>48</v>
      </c>
      <c r="B622" s="2" t="s">
        <v>64</v>
      </c>
      <c r="C622" s="1" t="s">
        <v>119</v>
      </c>
      <c r="D622" s="1">
        <v>1</v>
      </c>
      <c r="E622" s="1" t="str">
        <f t="shared" si="9"/>
        <v>SBT1_8-24_UF1</v>
      </c>
      <c r="F622" s="10">
        <v>45505</v>
      </c>
      <c r="I622" t="s">
        <v>17</v>
      </c>
    </row>
    <row r="623" spans="1:9" ht="15" customHeight="1" x14ac:dyDescent="0.35">
      <c r="A623" s="1" t="s">
        <v>54</v>
      </c>
      <c r="B623" s="2" t="s">
        <v>64</v>
      </c>
      <c r="C623" s="1" t="s">
        <v>119</v>
      </c>
      <c r="D623" s="1">
        <v>1</v>
      </c>
      <c r="E623" s="1" t="str">
        <f t="shared" si="9"/>
        <v>TKB_8-24_UF1</v>
      </c>
      <c r="F623" s="10">
        <v>45505</v>
      </c>
      <c r="I623" t="s">
        <v>17</v>
      </c>
    </row>
    <row r="624" spans="1:9" ht="15" customHeight="1" x14ac:dyDescent="0.35">
      <c r="A624" s="1" t="s">
        <v>45</v>
      </c>
      <c r="B624" s="2" t="s">
        <v>64</v>
      </c>
      <c r="C624" s="1" t="s">
        <v>119</v>
      </c>
      <c r="D624" s="1">
        <v>1</v>
      </c>
      <c r="E624" s="1" t="str">
        <f t="shared" si="9"/>
        <v>TSM1_8-24_UF1</v>
      </c>
      <c r="F624" s="10">
        <v>45505</v>
      </c>
      <c r="I624" t="s">
        <v>17</v>
      </c>
    </row>
    <row r="625" spans="1:9" ht="15" customHeight="1" x14ac:dyDescent="0.35">
      <c r="A625" s="1" t="s">
        <v>47</v>
      </c>
      <c r="B625" s="2" t="s">
        <v>64</v>
      </c>
      <c r="C625" s="1" t="s">
        <v>119</v>
      </c>
      <c r="D625" s="1">
        <v>1</v>
      </c>
      <c r="E625" s="1" t="str">
        <f t="shared" si="9"/>
        <v>TSM4_8-24_UF1</v>
      </c>
      <c r="F625" s="10">
        <v>45505</v>
      </c>
      <c r="I625" t="s">
        <v>17</v>
      </c>
    </row>
    <row r="626" spans="1:9" ht="15" customHeight="1" x14ac:dyDescent="0.35">
      <c r="A626" s="1" t="s">
        <v>32</v>
      </c>
      <c r="B626" s="2" t="s">
        <v>64</v>
      </c>
      <c r="C626" s="1" t="s">
        <v>119</v>
      </c>
      <c r="D626" s="1">
        <v>1</v>
      </c>
      <c r="E626" s="1" t="str">
        <f t="shared" si="9"/>
        <v>DC2_8-24_UF1</v>
      </c>
      <c r="F626" s="10">
        <v>45505</v>
      </c>
      <c r="I626" t="s">
        <v>17</v>
      </c>
    </row>
    <row r="627" spans="1:9" ht="15" customHeight="1" x14ac:dyDescent="0.35">
      <c r="A627" s="1" t="s">
        <v>53</v>
      </c>
      <c r="B627" s="2" t="s">
        <v>64</v>
      </c>
      <c r="C627" s="1" t="s">
        <v>119</v>
      </c>
      <c r="D627" s="1">
        <v>1</v>
      </c>
      <c r="E627" s="1" t="str">
        <f t="shared" si="9"/>
        <v>WB2_8-24_UF1</v>
      </c>
      <c r="F627" s="10">
        <v>45505</v>
      </c>
      <c r="I627" t="s">
        <v>17</v>
      </c>
    </row>
    <row r="628" spans="1:9" ht="15" customHeight="1" x14ac:dyDescent="0.35">
      <c r="A628" s="1" t="s">
        <v>40</v>
      </c>
      <c r="B628" s="2" t="s">
        <v>64</v>
      </c>
      <c r="C628" s="1" t="s">
        <v>119</v>
      </c>
      <c r="D628" s="1">
        <v>1</v>
      </c>
      <c r="E628" s="1" t="str">
        <f t="shared" si="9"/>
        <v>TBCM_8-24_UF1</v>
      </c>
      <c r="F628" s="10">
        <v>45505</v>
      </c>
      <c r="I628" t="s">
        <v>17</v>
      </c>
    </row>
    <row r="629" spans="1:9" ht="15" customHeight="1" x14ac:dyDescent="0.35">
      <c r="A629" s="1" t="s">
        <v>26</v>
      </c>
      <c r="B629" s="2" t="s">
        <v>64</v>
      </c>
      <c r="C629" s="1" t="s">
        <v>119</v>
      </c>
      <c r="D629" s="1">
        <v>1</v>
      </c>
      <c r="E629" s="1" t="str">
        <f t="shared" si="9"/>
        <v>ACS3_8-24_UF1</v>
      </c>
      <c r="F629" s="10">
        <v>45505</v>
      </c>
      <c r="I629" t="s">
        <v>17</v>
      </c>
    </row>
    <row r="630" spans="1:9" ht="15" customHeight="1" x14ac:dyDescent="0.35">
      <c r="A630" s="1" t="s">
        <v>46</v>
      </c>
      <c r="B630" s="2" t="s">
        <v>64</v>
      </c>
      <c r="C630" s="1" t="s">
        <v>119</v>
      </c>
      <c r="D630" s="1">
        <v>1</v>
      </c>
      <c r="E630" s="1" t="str">
        <f t="shared" si="9"/>
        <v>TSM3_8-24_UF1</v>
      </c>
      <c r="F630" s="10">
        <v>45505</v>
      </c>
      <c r="I630" t="s">
        <v>17</v>
      </c>
    </row>
    <row r="631" spans="1:9" ht="15" customHeight="1" x14ac:dyDescent="0.35">
      <c r="A631" s="1" t="s">
        <v>37</v>
      </c>
      <c r="B631" s="2" t="s">
        <v>64</v>
      </c>
      <c r="C631" s="1" t="s">
        <v>119</v>
      </c>
      <c r="D631" s="1">
        <v>1</v>
      </c>
      <c r="E631" s="1" t="str">
        <f t="shared" si="9"/>
        <v>MCS3_8-24_UF1</v>
      </c>
      <c r="F631" s="10">
        <v>45505</v>
      </c>
      <c r="I631" t="s">
        <v>17</v>
      </c>
    </row>
    <row r="632" spans="1:9" ht="15" customHeight="1" x14ac:dyDescent="0.35">
      <c r="A632" s="1" t="s">
        <v>52</v>
      </c>
      <c r="B632" s="2" t="s">
        <v>64</v>
      </c>
      <c r="C632" s="1" t="s">
        <v>119</v>
      </c>
      <c r="D632" s="1">
        <v>1</v>
      </c>
      <c r="E632" s="1" t="str">
        <f t="shared" si="9"/>
        <v>WB1_8-24_UF1</v>
      </c>
      <c r="F632" s="10">
        <v>45505</v>
      </c>
      <c r="I632" t="s">
        <v>17</v>
      </c>
    </row>
    <row r="633" spans="1:9" ht="15" customHeight="1" x14ac:dyDescent="0.35">
      <c r="A633" s="1" t="s">
        <v>35</v>
      </c>
      <c r="B633" s="2" t="s">
        <v>64</v>
      </c>
      <c r="C633" s="1" t="s">
        <v>119</v>
      </c>
      <c r="D633" s="1">
        <v>1</v>
      </c>
      <c r="E633" s="1" t="str">
        <f t="shared" si="9"/>
        <v>MCS1_8-24_UF1</v>
      </c>
      <c r="F633" s="10">
        <v>45505</v>
      </c>
      <c r="I633" t="s">
        <v>17</v>
      </c>
    </row>
    <row r="634" spans="1:9" ht="15" customHeight="1" x14ac:dyDescent="0.35">
      <c r="A634" s="1" t="s">
        <v>41</v>
      </c>
      <c r="B634" s="2" t="s">
        <v>64</v>
      </c>
      <c r="C634" s="1" t="s">
        <v>119</v>
      </c>
      <c r="D634" s="1">
        <v>1</v>
      </c>
      <c r="E634" s="1" t="str">
        <f t="shared" si="9"/>
        <v>TB1_8-24_UF1</v>
      </c>
      <c r="F634" s="10">
        <v>45505</v>
      </c>
      <c r="I634" t="s">
        <v>17</v>
      </c>
    </row>
    <row r="635" spans="1:9" ht="15" customHeight="1" x14ac:dyDescent="0.35">
      <c r="A635" s="1" t="s">
        <v>55</v>
      </c>
      <c r="B635" s="2" t="s">
        <v>64</v>
      </c>
      <c r="C635" s="1" t="s">
        <v>119</v>
      </c>
      <c r="D635" s="1">
        <v>1</v>
      </c>
      <c r="E635" s="1" t="str">
        <f t="shared" si="9"/>
        <v>JB_8-24_UF1</v>
      </c>
      <c r="F635" s="10">
        <v>45505</v>
      </c>
      <c r="I635" t="s">
        <v>17</v>
      </c>
    </row>
    <row r="636" spans="1:9" ht="15" customHeight="1" x14ac:dyDescent="0.35">
      <c r="A636" s="1" t="s">
        <v>36</v>
      </c>
      <c r="B636" s="2" t="s">
        <v>64</v>
      </c>
      <c r="C636" s="1" t="s">
        <v>119</v>
      </c>
      <c r="D636" s="1">
        <v>1</v>
      </c>
      <c r="E636" s="1" t="str">
        <f t="shared" si="9"/>
        <v>MCS2_8-24_UF1</v>
      </c>
      <c r="F636" s="10">
        <v>45505</v>
      </c>
      <c r="I636" t="s">
        <v>17</v>
      </c>
    </row>
    <row r="637" spans="1:9" ht="15" customHeight="1" x14ac:dyDescent="0.35">
      <c r="A637" s="89" t="s">
        <v>24</v>
      </c>
      <c r="B637" s="90" t="s">
        <v>111</v>
      </c>
      <c r="C637" s="1" t="s">
        <v>119</v>
      </c>
      <c r="D637" s="1">
        <v>1</v>
      </c>
      <c r="E637" s="1" t="str">
        <f t="shared" si="9"/>
        <v>ACS1_11-24_UF1</v>
      </c>
      <c r="F637" s="91">
        <v>45606</v>
      </c>
      <c r="I637" t="s">
        <v>17</v>
      </c>
    </row>
    <row r="638" spans="1:9" ht="15" customHeight="1" x14ac:dyDescent="0.35">
      <c r="A638" s="89" t="s">
        <v>46</v>
      </c>
      <c r="B638" s="90" t="s">
        <v>111</v>
      </c>
      <c r="C638" s="1" t="s">
        <v>119</v>
      </c>
      <c r="D638" s="1">
        <v>1</v>
      </c>
      <c r="E638" s="1" t="str">
        <f t="shared" si="9"/>
        <v>TSM3_11-24_UF1</v>
      </c>
      <c r="F638" s="91">
        <v>45606</v>
      </c>
      <c r="I638" t="s">
        <v>17</v>
      </c>
    </row>
    <row r="639" spans="1:9" ht="15" customHeight="1" x14ac:dyDescent="0.35">
      <c r="A639" s="89" t="s">
        <v>47</v>
      </c>
      <c r="B639" s="90" t="s">
        <v>111</v>
      </c>
      <c r="C639" s="1" t="s">
        <v>119</v>
      </c>
      <c r="D639" s="1">
        <v>1</v>
      </c>
      <c r="E639" s="1" t="str">
        <f t="shared" si="9"/>
        <v>TSM4_11-24_UF1</v>
      </c>
      <c r="F639" s="91">
        <v>45606</v>
      </c>
      <c r="I639" t="s">
        <v>17</v>
      </c>
    </row>
    <row r="640" spans="1:9" ht="15" customHeight="1" x14ac:dyDescent="0.35">
      <c r="A640" s="89" t="s">
        <v>48</v>
      </c>
      <c r="B640" s="90" t="s">
        <v>111</v>
      </c>
      <c r="C640" s="1" t="s">
        <v>119</v>
      </c>
      <c r="D640" s="1">
        <v>1</v>
      </c>
      <c r="E640" s="1" t="str">
        <f t="shared" si="9"/>
        <v>SBT1_11-24_UF1</v>
      </c>
      <c r="F640" s="91">
        <v>45606</v>
      </c>
      <c r="I640" t="s">
        <v>17</v>
      </c>
    </row>
    <row r="641" spans="1:9" ht="15" customHeight="1" x14ac:dyDescent="0.35">
      <c r="A641" s="89" t="s">
        <v>34</v>
      </c>
      <c r="B641" s="90" t="s">
        <v>111</v>
      </c>
      <c r="C641" s="1" t="s">
        <v>119</v>
      </c>
      <c r="D641" s="1">
        <v>1</v>
      </c>
      <c r="E641" s="1" t="str">
        <f t="shared" si="9"/>
        <v>GB1_11-24_UF1</v>
      </c>
      <c r="F641" s="91">
        <v>45612</v>
      </c>
      <c r="I641" t="s">
        <v>17</v>
      </c>
    </row>
    <row r="642" spans="1:9" ht="15" customHeight="1" x14ac:dyDescent="0.35">
      <c r="A642" s="89" t="s">
        <v>42</v>
      </c>
      <c r="B642" s="90" t="s">
        <v>111</v>
      </c>
      <c r="C642" s="1" t="s">
        <v>119</v>
      </c>
      <c r="D642" s="1">
        <v>1</v>
      </c>
      <c r="E642" s="1" t="str">
        <f t="shared" ref="E642:E649" si="10">A642&amp;"_"&amp;B642&amp;"_"&amp;C642&amp;D642</f>
        <v>TB2_11-24_UF1</v>
      </c>
      <c r="F642" s="91">
        <v>45612</v>
      </c>
      <c r="I642" t="s">
        <v>17</v>
      </c>
    </row>
    <row r="643" spans="1:9" ht="15" customHeight="1" x14ac:dyDescent="0.35">
      <c r="A643" s="89" t="s">
        <v>49</v>
      </c>
      <c r="B643" s="90" t="s">
        <v>111</v>
      </c>
      <c r="C643" s="1" t="s">
        <v>119</v>
      </c>
      <c r="D643" s="1">
        <v>1</v>
      </c>
      <c r="E643" s="1" t="str">
        <f t="shared" si="10"/>
        <v>SBT2_11-24_UF1</v>
      </c>
      <c r="F643" s="91">
        <v>45612</v>
      </c>
      <c r="I643" t="s">
        <v>17</v>
      </c>
    </row>
    <row r="644" spans="1:9" ht="15" customHeight="1" x14ac:dyDescent="0.35">
      <c r="A644" s="89" t="s">
        <v>55</v>
      </c>
      <c r="B644" s="90" t="s">
        <v>111</v>
      </c>
      <c r="C644" s="1" t="s">
        <v>119</v>
      </c>
      <c r="D644" s="1">
        <v>1</v>
      </c>
      <c r="E644" s="1" t="str">
        <f t="shared" si="10"/>
        <v>JB_11-24_UF1</v>
      </c>
      <c r="F644" s="91">
        <v>45612</v>
      </c>
      <c r="I644" t="s">
        <v>17</v>
      </c>
    </row>
    <row r="645" spans="1:9" ht="15" customHeight="1" x14ac:dyDescent="0.35">
      <c r="A645" s="89" t="s">
        <v>44</v>
      </c>
      <c r="B645" s="90" t="s">
        <v>111</v>
      </c>
      <c r="C645" s="1" t="s">
        <v>119</v>
      </c>
      <c r="D645" s="1">
        <v>1</v>
      </c>
      <c r="E645" s="1" t="str">
        <f t="shared" si="10"/>
        <v>RB_11-24_UF1</v>
      </c>
      <c r="F645" s="91">
        <v>45612</v>
      </c>
      <c r="I645" t="s">
        <v>17</v>
      </c>
    </row>
    <row r="646" spans="1:9" ht="15" customHeight="1" x14ac:dyDescent="0.35">
      <c r="A646" s="89" t="s">
        <v>41</v>
      </c>
      <c r="B646" s="90" t="s">
        <v>111</v>
      </c>
      <c r="C646" s="1" t="s">
        <v>119</v>
      </c>
      <c r="D646" s="1">
        <v>1</v>
      </c>
      <c r="E646" s="1" t="str">
        <f t="shared" si="10"/>
        <v>TB1_11-24_UF1</v>
      </c>
      <c r="F646" s="91">
        <v>45612</v>
      </c>
      <c r="I646" t="s">
        <v>17</v>
      </c>
    </row>
    <row r="647" spans="1:9" ht="15" customHeight="1" x14ac:dyDescent="0.35">
      <c r="A647" s="89" t="s">
        <v>30</v>
      </c>
      <c r="B647" s="90" t="s">
        <v>111</v>
      </c>
      <c r="C647" s="1" t="s">
        <v>119</v>
      </c>
      <c r="D647" s="1">
        <v>1</v>
      </c>
      <c r="E647" s="1" t="str">
        <f t="shared" si="10"/>
        <v>DC1_11-24_UF1</v>
      </c>
      <c r="F647" s="91">
        <v>45612</v>
      </c>
      <c r="I647" t="s">
        <v>17</v>
      </c>
    </row>
    <row r="648" spans="1:9" ht="15" customHeight="1" x14ac:dyDescent="0.35">
      <c r="A648" s="89" t="s">
        <v>35</v>
      </c>
      <c r="B648" s="90" t="s">
        <v>111</v>
      </c>
      <c r="C648" s="1" t="s">
        <v>119</v>
      </c>
      <c r="D648" s="1">
        <v>1</v>
      </c>
      <c r="E648" s="1" t="str">
        <f t="shared" si="10"/>
        <v>MCS1_11-24_UF1</v>
      </c>
      <c r="F648" s="91">
        <v>45612</v>
      </c>
      <c r="I648" t="s">
        <v>17</v>
      </c>
    </row>
    <row r="649" spans="1:9" ht="15" customHeight="1" x14ac:dyDescent="0.35">
      <c r="A649" s="89" t="s">
        <v>54</v>
      </c>
      <c r="B649" s="90" t="s">
        <v>111</v>
      </c>
      <c r="C649" s="1" t="s">
        <v>119</v>
      </c>
      <c r="D649" s="1">
        <v>1</v>
      </c>
      <c r="E649" s="1" t="str">
        <f t="shared" si="10"/>
        <v>TKB_11-24_UF1</v>
      </c>
      <c r="F649" s="91">
        <v>45612</v>
      </c>
      <c r="I649" t="s">
        <v>17</v>
      </c>
    </row>
    <row r="650" spans="1:9" ht="15" hidden="1" customHeight="1" x14ac:dyDescent="0.35">
      <c r="A650" s="1" t="s">
        <v>30</v>
      </c>
      <c r="B650" s="2" t="s">
        <v>64</v>
      </c>
      <c r="C650" s="1" t="s">
        <v>119</v>
      </c>
      <c r="D650" s="1">
        <v>2</v>
      </c>
      <c r="E650" s="1" t="str">
        <f t="shared" ref="E650:E693" si="11">A650&amp;"_"&amp;B650&amp;"_"&amp;C650&amp;D650</f>
        <v>DC1_8-24_UF2</v>
      </c>
      <c r="F650" s="10">
        <v>45505</v>
      </c>
    </row>
    <row r="651" spans="1:9" ht="15" hidden="1" customHeight="1" x14ac:dyDescent="0.35">
      <c r="A651" s="1" t="s">
        <v>34</v>
      </c>
      <c r="B651" s="2" t="s">
        <v>64</v>
      </c>
      <c r="C651" s="1" t="s">
        <v>119</v>
      </c>
      <c r="D651" s="1">
        <v>2</v>
      </c>
      <c r="E651" s="1" t="str">
        <f t="shared" si="11"/>
        <v>GB1_8-24_UF2</v>
      </c>
      <c r="F651" s="10">
        <v>45505</v>
      </c>
    </row>
    <row r="652" spans="1:9" ht="15" hidden="1" customHeight="1" x14ac:dyDescent="0.35">
      <c r="A652" s="1" t="s">
        <v>38</v>
      </c>
      <c r="B652" s="2" t="s">
        <v>64</v>
      </c>
      <c r="C652" s="1" t="s">
        <v>119</v>
      </c>
      <c r="D652" s="1">
        <v>2</v>
      </c>
      <c r="E652" s="1" t="str">
        <f t="shared" si="11"/>
        <v>MCS4_8-24_UF2</v>
      </c>
      <c r="F652" s="10">
        <v>45505</v>
      </c>
    </row>
    <row r="653" spans="1:9" ht="15" hidden="1" customHeight="1" x14ac:dyDescent="0.35">
      <c r="A653" s="1" t="s">
        <v>39</v>
      </c>
      <c r="B653" s="2" t="s">
        <v>64</v>
      </c>
      <c r="C653" s="1" t="s">
        <v>119</v>
      </c>
      <c r="D653" s="1">
        <v>2</v>
      </c>
      <c r="E653" s="1" t="str">
        <f t="shared" si="11"/>
        <v>TBHM_8-24_UF2</v>
      </c>
      <c r="F653" s="10">
        <v>45505</v>
      </c>
    </row>
    <row r="654" spans="1:9" ht="15" hidden="1" customHeight="1" x14ac:dyDescent="0.35">
      <c r="A654" s="1" t="s">
        <v>42</v>
      </c>
      <c r="B654" s="2" t="s">
        <v>64</v>
      </c>
      <c r="C654" s="1" t="s">
        <v>119</v>
      </c>
      <c r="D654" s="1">
        <v>2</v>
      </c>
      <c r="E654" s="1" t="str">
        <f t="shared" si="11"/>
        <v>TB2_8-24_UF2</v>
      </c>
      <c r="F654" s="10">
        <v>45505</v>
      </c>
    </row>
    <row r="655" spans="1:9" ht="15" hidden="1" customHeight="1" x14ac:dyDescent="0.35">
      <c r="A655" s="1" t="s">
        <v>43</v>
      </c>
      <c r="B655" s="2" t="s">
        <v>64</v>
      </c>
      <c r="C655" s="1" t="s">
        <v>119</v>
      </c>
      <c r="D655" s="1">
        <v>2</v>
      </c>
      <c r="E655" s="1" t="str">
        <f t="shared" si="11"/>
        <v>GB2_8-24_UF2</v>
      </c>
      <c r="F655" s="10">
        <v>45505</v>
      </c>
    </row>
    <row r="656" spans="1:9" ht="15" hidden="1" customHeight="1" x14ac:dyDescent="0.35">
      <c r="A656" s="1" t="s">
        <v>49</v>
      </c>
      <c r="B656" s="2" t="s">
        <v>64</v>
      </c>
      <c r="C656" s="1" t="s">
        <v>119</v>
      </c>
      <c r="D656" s="1">
        <v>2</v>
      </c>
      <c r="E656" s="1" t="str">
        <f t="shared" si="11"/>
        <v>SBT2_8-24_UF2</v>
      </c>
      <c r="F656" s="10">
        <v>45505</v>
      </c>
    </row>
    <row r="657" spans="1:6" ht="15" hidden="1" customHeight="1" x14ac:dyDescent="0.35">
      <c r="A657" s="1" t="s">
        <v>51</v>
      </c>
      <c r="B657" s="2" t="s">
        <v>64</v>
      </c>
      <c r="C657" s="1" t="s">
        <v>119</v>
      </c>
      <c r="D657" s="1">
        <v>2</v>
      </c>
      <c r="E657" s="1" t="str">
        <f t="shared" si="11"/>
        <v>TBC_8-24_UF2</v>
      </c>
      <c r="F657" s="10">
        <v>45505</v>
      </c>
    </row>
    <row r="658" spans="1:6" ht="15" hidden="1" customHeight="1" x14ac:dyDescent="0.35">
      <c r="A658" s="1" t="s">
        <v>33</v>
      </c>
      <c r="B658" s="2" t="s">
        <v>64</v>
      </c>
      <c r="C658" s="1" t="s">
        <v>119</v>
      </c>
      <c r="D658" s="1">
        <v>2</v>
      </c>
      <c r="E658" s="1" t="str">
        <f t="shared" si="11"/>
        <v>DCM2_8-24_UF2</v>
      </c>
      <c r="F658" s="10">
        <v>45505</v>
      </c>
    </row>
    <row r="659" spans="1:6" ht="15" hidden="1" customHeight="1" x14ac:dyDescent="0.35">
      <c r="A659" s="1" t="s">
        <v>24</v>
      </c>
      <c r="B659" s="2" t="s">
        <v>64</v>
      </c>
      <c r="C659" s="1" t="s">
        <v>119</v>
      </c>
      <c r="D659" s="1">
        <v>2</v>
      </c>
      <c r="E659" s="1" t="str">
        <f t="shared" si="11"/>
        <v>ACS1_8-24_UF2</v>
      </c>
      <c r="F659" s="10">
        <v>45505</v>
      </c>
    </row>
    <row r="660" spans="1:6" ht="15" hidden="1" customHeight="1" x14ac:dyDescent="0.35">
      <c r="A660" s="1" t="s">
        <v>44</v>
      </c>
      <c r="B660" s="2" t="s">
        <v>64</v>
      </c>
      <c r="C660" s="1" t="s">
        <v>119</v>
      </c>
      <c r="D660" s="1">
        <v>2</v>
      </c>
      <c r="E660" s="1" t="str">
        <f t="shared" si="11"/>
        <v>RB_8-24_UF2</v>
      </c>
      <c r="F660" s="10">
        <v>45505</v>
      </c>
    </row>
    <row r="661" spans="1:6" ht="15" hidden="1" customHeight="1" x14ac:dyDescent="0.35">
      <c r="A661" s="1" t="s">
        <v>27</v>
      </c>
      <c r="B661" s="2" t="s">
        <v>64</v>
      </c>
      <c r="C661" s="1" t="s">
        <v>119</v>
      </c>
      <c r="D661" s="1">
        <v>2</v>
      </c>
      <c r="E661" s="1" t="str">
        <f t="shared" si="11"/>
        <v>ACS4_8-24_UF2</v>
      </c>
      <c r="F661" s="10">
        <v>45505</v>
      </c>
    </row>
    <row r="662" spans="1:6" ht="15" hidden="1" customHeight="1" x14ac:dyDescent="0.35">
      <c r="A662" s="1" t="s">
        <v>28</v>
      </c>
      <c r="B662" s="2" t="s">
        <v>64</v>
      </c>
      <c r="C662" s="1" t="s">
        <v>119</v>
      </c>
      <c r="D662" s="1">
        <v>2</v>
      </c>
      <c r="E662" s="1" t="str">
        <f t="shared" si="11"/>
        <v>ACS5_8-24_UF2</v>
      </c>
      <c r="F662" s="10">
        <v>45505</v>
      </c>
    </row>
    <row r="663" spans="1:6" ht="15" hidden="1" customHeight="1" x14ac:dyDescent="0.35">
      <c r="A663" s="1" t="s">
        <v>56</v>
      </c>
      <c r="B663" s="2" t="s">
        <v>64</v>
      </c>
      <c r="C663" s="1" t="s">
        <v>119</v>
      </c>
      <c r="D663" s="1">
        <v>2</v>
      </c>
      <c r="E663" s="1" t="str">
        <f t="shared" si="11"/>
        <v>CC_8-24_UF2</v>
      </c>
      <c r="F663" s="10">
        <v>45505</v>
      </c>
    </row>
    <row r="664" spans="1:6" ht="15" hidden="1" customHeight="1" x14ac:dyDescent="0.35">
      <c r="A664" s="1" t="s">
        <v>31</v>
      </c>
      <c r="B664" s="2" t="s">
        <v>64</v>
      </c>
      <c r="C664" s="1" t="s">
        <v>119</v>
      </c>
      <c r="D664" s="1">
        <v>2</v>
      </c>
      <c r="E664" s="1" t="str">
        <f t="shared" si="11"/>
        <v>DCM1_8-24_UF2</v>
      </c>
      <c r="F664" s="10">
        <v>45505</v>
      </c>
    </row>
    <row r="665" spans="1:6" ht="15" hidden="1" customHeight="1" x14ac:dyDescent="0.35">
      <c r="A665" s="1" t="s">
        <v>25</v>
      </c>
      <c r="B665" s="2" t="s">
        <v>64</v>
      </c>
      <c r="C665" s="1" t="s">
        <v>119</v>
      </c>
      <c r="D665" s="1">
        <v>2</v>
      </c>
      <c r="E665" s="1" t="str">
        <f t="shared" si="11"/>
        <v>ACS2_8-24_UF2</v>
      </c>
      <c r="F665" s="10">
        <v>45505</v>
      </c>
    </row>
    <row r="666" spans="1:6" ht="15" hidden="1" customHeight="1" x14ac:dyDescent="0.35">
      <c r="A666" s="1" t="s">
        <v>48</v>
      </c>
      <c r="B666" s="2" t="s">
        <v>64</v>
      </c>
      <c r="C666" s="1" t="s">
        <v>119</v>
      </c>
      <c r="D666" s="1">
        <v>2</v>
      </c>
      <c r="E666" s="1" t="str">
        <f t="shared" si="11"/>
        <v>SBT1_8-24_UF2</v>
      </c>
      <c r="F666" s="10">
        <v>45505</v>
      </c>
    </row>
    <row r="667" spans="1:6" ht="15" hidden="1" customHeight="1" x14ac:dyDescent="0.35">
      <c r="A667" s="1" t="s">
        <v>54</v>
      </c>
      <c r="B667" s="2" t="s">
        <v>64</v>
      </c>
      <c r="C667" s="1" t="s">
        <v>119</v>
      </c>
      <c r="D667" s="1">
        <v>2</v>
      </c>
      <c r="E667" s="1" t="str">
        <f t="shared" si="11"/>
        <v>TKB_8-24_UF2</v>
      </c>
      <c r="F667" s="10">
        <v>45505</v>
      </c>
    </row>
    <row r="668" spans="1:6" ht="15" hidden="1" customHeight="1" x14ac:dyDescent="0.35">
      <c r="A668" s="1" t="s">
        <v>45</v>
      </c>
      <c r="B668" s="2" t="s">
        <v>64</v>
      </c>
      <c r="C668" s="1" t="s">
        <v>119</v>
      </c>
      <c r="D668" s="1">
        <v>2</v>
      </c>
      <c r="E668" s="1" t="str">
        <f t="shared" si="11"/>
        <v>TSM1_8-24_UF2</v>
      </c>
      <c r="F668" s="10">
        <v>45505</v>
      </c>
    </row>
    <row r="669" spans="1:6" ht="15" hidden="1" customHeight="1" x14ac:dyDescent="0.35">
      <c r="A669" s="1" t="s">
        <v>47</v>
      </c>
      <c r="B669" s="2" t="s">
        <v>64</v>
      </c>
      <c r="C669" s="1" t="s">
        <v>119</v>
      </c>
      <c r="D669" s="1">
        <v>2</v>
      </c>
      <c r="E669" s="1" t="str">
        <f t="shared" si="11"/>
        <v>TSM4_8-24_UF2</v>
      </c>
      <c r="F669" s="10">
        <v>45505</v>
      </c>
    </row>
    <row r="670" spans="1:6" ht="15" hidden="1" customHeight="1" x14ac:dyDescent="0.35">
      <c r="A670" s="1" t="s">
        <v>32</v>
      </c>
      <c r="B670" s="2" t="s">
        <v>64</v>
      </c>
      <c r="C670" s="1" t="s">
        <v>119</v>
      </c>
      <c r="D670" s="1">
        <v>2</v>
      </c>
      <c r="E670" s="1" t="str">
        <f t="shared" si="11"/>
        <v>DC2_8-24_UF2</v>
      </c>
      <c r="F670" s="10">
        <v>45505</v>
      </c>
    </row>
    <row r="671" spans="1:6" ht="15" hidden="1" customHeight="1" x14ac:dyDescent="0.35">
      <c r="A671" s="1" t="s">
        <v>53</v>
      </c>
      <c r="B671" s="2" t="s">
        <v>64</v>
      </c>
      <c r="C671" s="1" t="s">
        <v>119</v>
      </c>
      <c r="D671" s="1">
        <v>2</v>
      </c>
      <c r="E671" s="1" t="str">
        <f t="shared" si="11"/>
        <v>WB2_8-24_UF2</v>
      </c>
      <c r="F671" s="10">
        <v>45505</v>
      </c>
    </row>
    <row r="672" spans="1:6" ht="15" hidden="1" customHeight="1" x14ac:dyDescent="0.35">
      <c r="A672" s="1" t="s">
        <v>40</v>
      </c>
      <c r="B672" s="2" t="s">
        <v>64</v>
      </c>
      <c r="C672" s="1" t="s">
        <v>119</v>
      </c>
      <c r="D672" s="1">
        <v>2</v>
      </c>
      <c r="E672" s="1" t="str">
        <f t="shared" si="11"/>
        <v>TBCM_8-24_UF2</v>
      </c>
      <c r="F672" s="10">
        <v>45505</v>
      </c>
    </row>
    <row r="673" spans="1:6" ht="15" hidden="1" customHeight="1" x14ac:dyDescent="0.35">
      <c r="A673" s="1" t="s">
        <v>26</v>
      </c>
      <c r="B673" s="2" t="s">
        <v>64</v>
      </c>
      <c r="C673" s="1" t="s">
        <v>119</v>
      </c>
      <c r="D673" s="1">
        <v>2</v>
      </c>
      <c r="E673" s="1" t="str">
        <f t="shared" si="11"/>
        <v>ACS3_8-24_UF2</v>
      </c>
      <c r="F673" s="10">
        <v>45505</v>
      </c>
    </row>
    <row r="674" spans="1:6" ht="15" hidden="1" customHeight="1" x14ac:dyDescent="0.35">
      <c r="A674" s="1" t="s">
        <v>46</v>
      </c>
      <c r="B674" s="2" t="s">
        <v>64</v>
      </c>
      <c r="C674" s="1" t="s">
        <v>119</v>
      </c>
      <c r="D674" s="1">
        <v>2</v>
      </c>
      <c r="E674" s="1" t="str">
        <f t="shared" si="11"/>
        <v>TSM3_8-24_UF2</v>
      </c>
      <c r="F674" s="10">
        <v>45505</v>
      </c>
    </row>
    <row r="675" spans="1:6" ht="15" hidden="1" customHeight="1" x14ac:dyDescent="0.35">
      <c r="A675" s="1" t="s">
        <v>37</v>
      </c>
      <c r="B675" s="2" t="s">
        <v>64</v>
      </c>
      <c r="C675" s="1" t="s">
        <v>119</v>
      </c>
      <c r="D675" s="1">
        <v>2</v>
      </c>
      <c r="E675" s="1" t="str">
        <f t="shared" si="11"/>
        <v>MCS3_8-24_UF2</v>
      </c>
      <c r="F675" s="10">
        <v>45505</v>
      </c>
    </row>
    <row r="676" spans="1:6" ht="15" hidden="1" customHeight="1" x14ac:dyDescent="0.35">
      <c r="A676" s="1" t="s">
        <v>52</v>
      </c>
      <c r="B676" s="2" t="s">
        <v>64</v>
      </c>
      <c r="C676" s="1" t="s">
        <v>119</v>
      </c>
      <c r="D676" s="1">
        <v>2</v>
      </c>
      <c r="E676" s="1" t="str">
        <f t="shared" si="11"/>
        <v>WB1_8-24_UF2</v>
      </c>
      <c r="F676" s="10">
        <v>45505</v>
      </c>
    </row>
    <row r="677" spans="1:6" ht="15" hidden="1" customHeight="1" x14ac:dyDescent="0.35">
      <c r="A677" s="1" t="s">
        <v>35</v>
      </c>
      <c r="B677" s="2" t="s">
        <v>64</v>
      </c>
      <c r="C677" s="1" t="s">
        <v>119</v>
      </c>
      <c r="D677" s="1">
        <v>2</v>
      </c>
      <c r="E677" s="1" t="str">
        <f t="shared" si="11"/>
        <v>MCS1_8-24_UF2</v>
      </c>
      <c r="F677" s="10">
        <v>45505</v>
      </c>
    </row>
    <row r="678" spans="1:6" ht="15" hidden="1" customHeight="1" x14ac:dyDescent="0.35">
      <c r="A678" s="1" t="s">
        <v>41</v>
      </c>
      <c r="B678" s="2" t="s">
        <v>64</v>
      </c>
      <c r="C678" s="1" t="s">
        <v>119</v>
      </c>
      <c r="D678" s="1">
        <v>2</v>
      </c>
      <c r="E678" s="1" t="str">
        <f t="shared" si="11"/>
        <v>TB1_8-24_UF2</v>
      </c>
      <c r="F678" s="10">
        <v>45505</v>
      </c>
    </row>
    <row r="679" spans="1:6" ht="15" hidden="1" customHeight="1" x14ac:dyDescent="0.35">
      <c r="A679" s="1" t="s">
        <v>55</v>
      </c>
      <c r="B679" s="2" t="s">
        <v>64</v>
      </c>
      <c r="C679" s="1" t="s">
        <v>119</v>
      </c>
      <c r="D679" s="1">
        <v>2</v>
      </c>
      <c r="E679" s="1" t="str">
        <f t="shared" si="11"/>
        <v>JB_8-24_UF2</v>
      </c>
      <c r="F679" s="10">
        <v>45505</v>
      </c>
    </row>
    <row r="680" spans="1:6" ht="15" hidden="1" customHeight="1" x14ac:dyDescent="0.35">
      <c r="A680" s="1" t="s">
        <v>36</v>
      </c>
      <c r="B680" s="2" t="s">
        <v>64</v>
      </c>
      <c r="C680" s="1" t="s">
        <v>119</v>
      </c>
      <c r="D680" s="1">
        <v>2</v>
      </c>
      <c r="E680" s="1" t="str">
        <f t="shared" si="11"/>
        <v>MCS2_8-24_UF2</v>
      </c>
      <c r="F680" s="10">
        <v>45505</v>
      </c>
    </row>
    <row r="681" spans="1:6" ht="15" hidden="1" customHeight="1" x14ac:dyDescent="0.35">
      <c r="A681" s="89" t="s">
        <v>24</v>
      </c>
      <c r="B681" s="90" t="s">
        <v>111</v>
      </c>
      <c r="C681" s="1" t="s">
        <v>119</v>
      </c>
      <c r="D681" s="1">
        <v>2</v>
      </c>
      <c r="E681" s="1" t="str">
        <f t="shared" si="11"/>
        <v>ACS1_11-24_UF2</v>
      </c>
      <c r="F681" s="91">
        <v>45606</v>
      </c>
    </row>
    <row r="682" spans="1:6" ht="15" hidden="1" customHeight="1" x14ac:dyDescent="0.35">
      <c r="A682" s="89" t="s">
        <v>46</v>
      </c>
      <c r="B682" s="90" t="s">
        <v>111</v>
      </c>
      <c r="C682" s="1" t="s">
        <v>119</v>
      </c>
      <c r="D682" s="1">
        <v>2</v>
      </c>
      <c r="E682" s="1" t="str">
        <f t="shared" si="11"/>
        <v>TSM3_11-24_UF2</v>
      </c>
      <c r="F682" s="91">
        <v>45606</v>
      </c>
    </row>
    <row r="683" spans="1:6" ht="15" hidden="1" customHeight="1" x14ac:dyDescent="0.35">
      <c r="A683" s="89" t="s">
        <v>47</v>
      </c>
      <c r="B683" s="90" t="s">
        <v>111</v>
      </c>
      <c r="C683" s="1" t="s">
        <v>119</v>
      </c>
      <c r="D683" s="1">
        <v>2</v>
      </c>
      <c r="E683" s="1" t="str">
        <f t="shared" si="11"/>
        <v>TSM4_11-24_UF2</v>
      </c>
      <c r="F683" s="91">
        <v>45606</v>
      </c>
    </row>
    <row r="684" spans="1:6" ht="15" hidden="1" customHeight="1" x14ac:dyDescent="0.35">
      <c r="A684" s="89" t="s">
        <v>48</v>
      </c>
      <c r="B684" s="90" t="s">
        <v>111</v>
      </c>
      <c r="C684" s="1" t="s">
        <v>119</v>
      </c>
      <c r="D684" s="1">
        <v>2</v>
      </c>
      <c r="E684" s="1" t="str">
        <f t="shared" si="11"/>
        <v>SBT1_11-24_UF2</v>
      </c>
      <c r="F684" s="91">
        <v>45606</v>
      </c>
    </row>
    <row r="685" spans="1:6" ht="15" hidden="1" customHeight="1" x14ac:dyDescent="0.35">
      <c r="A685" s="89" t="s">
        <v>34</v>
      </c>
      <c r="B685" s="90" t="s">
        <v>111</v>
      </c>
      <c r="C685" s="1" t="s">
        <v>119</v>
      </c>
      <c r="D685" s="1">
        <v>2</v>
      </c>
      <c r="E685" s="1" t="str">
        <f t="shared" si="11"/>
        <v>GB1_11-24_UF2</v>
      </c>
      <c r="F685" s="91">
        <v>45612</v>
      </c>
    </row>
    <row r="686" spans="1:6" ht="15" hidden="1" customHeight="1" x14ac:dyDescent="0.35">
      <c r="A686" s="89" t="s">
        <v>42</v>
      </c>
      <c r="B686" s="90" t="s">
        <v>111</v>
      </c>
      <c r="C686" s="1" t="s">
        <v>119</v>
      </c>
      <c r="D686" s="1">
        <v>2</v>
      </c>
      <c r="E686" s="1" t="str">
        <f t="shared" si="11"/>
        <v>TB2_11-24_UF2</v>
      </c>
      <c r="F686" s="91">
        <v>45612</v>
      </c>
    </row>
    <row r="687" spans="1:6" ht="15" hidden="1" customHeight="1" x14ac:dyDescent="0.35">
      <c r="A687" s="89" t="s">
        <v>49</v>
      </c>
      <c r="B687" s="90" t="s">
        <v>111</v>
      </c>
      <c r="C687" s="1" t="s">
        <v>119</v>
      </c>
      <c r="D687" s="1">
        <v>2</v>
      </c>
      <c r="E687" s="1" t="str">
        <f t="shared" si="11"/>
        <v>SBT2_11-24_UF2</v>
      </c>
      <c r="F687" s="91">
        <v>45612</v>
      </c>
    </row>
    <row r="688" spans="1:6" ht="15" hidden="1" customHeight="1" x14ac:dyDescent="0.35">
      <c r="A688" s="89" t="s">
        <v>55</v>
      </c>
      <c r="B688" s="90" t="s">
        <v>111</v>
      </c>
      <c r="C688" s="1" t="s">
        <v>119</v>
      </c>
      <c r="D688" s="1">
        <v>2</v>
      </c>
      <c r="E688" s="1" t="str">
        <f t="shared" si="11"/>
        <v>JB_11-24_UF2</v>
      </c>
      <c r="F688" s="91">
        <v>45612</v>
      </c>
    </row>
    <row r="689" spans="1:6" ht="15" hidden="1" customHeight="1" x14ac:dyDescent="0.35">
      <c r="A689" s="89" t="s">
        <v>44</v>
      </c>
      <c r="B689" s="90" t="s">
        <v>111</v>
      </c>
      <c r="C689" s="1" t="s">
        <v>119</v>
      </c>
      <c r="D689" s="1">
        <v>2</v>
      </c>
      <c r="E689" s="1" t="str">
        <f t="shared" si="11"/>
        <v>RB_11-24_UF2</v>
      </c>
      <c r="F689" s="91">
        <v>45612</v>
      </c>
    </row>
    <row r="690" spans="1:6" ht="15" hidden="1" customHeight="1" x14ac:dyDescent="0.35">
      <c r="A690" s="89" t="s">
        <v>41</v>
      </c>
      <c r="B690" s="90" t="s">
        <v>111</v>
      </c>
      <c r="C690" s="1" t="s">
        <v>119</v>
      </c>
      <c r="D690" s="1">
        <v>2</v>
      </c>
      <c r="E690" s="1" t="str">
        <f t="shared" si="11"/>
        <v>TB1_11-24_UF2</v>
      </c>
      <c r="F690" s="91">
        <v>45612</v>
      </c>
    </row>
    <row r="691" spans="1:6" ht="15" hidden="1" customHeight="1" x14ac:dyDescent="0.35">
      <c r="A691" s="89" t="s">
        <v>30</v>
      </c>
      <c r="B691" s="90" t="s">
        <v>111</v>
      </c>
      <c r="C691" s="1" t="s">
        <v>119</v>
      </c>
      <c r="D691" s="1">
        <v>2</v>
      </c>
      <c r="E691" s="1" t="str">
        <f t="shared" si="11"/>
        <v>DC1_11-24_UF2</v>
      </c>
      <c r="F691" s="91">
        <v>45612</v>
      </c>
    </row>
    <row r="692" spans="1:6" ht="15" hidden="1" customHeight="1" x14ac:dyDescent="0.35">
      <c r="A692" s="89" t="s">
        <v>35</v>
      </c>
      <c r="B692" s="90" t="s">
        <v>111</v>
      </c>
      <c r="C692" s="1" t="s">
        <v>119</v>
      </c>
      <c r="D692" s="1">
        <v>2</v>
      </c>
      <c r="E692" s="1" t="str">
        <f t="shared" si="11"/>
        <v>MCS1_11-24_UF2</v>
      </c>
      <c r="F692" s="91">
        <v>45612</v>
      </c>
    </row>
    <row r="693" spans="1:6" ht="15" hidden="1" customHeight="1" x14ac:dyDescent="0.35">
      <c r="A693" s="89" t="s">
        <v>54</v>
      </c>
      <c r="B693" s="90" t="s">
        <v>111</v>
      </c>
      <c r="C693" s="1" t="s">
        <v>119</v>
      </c>
      <c r="D693" s="1">
        <v>2</v>
      </c>
      <c r="E693" s="1" t="str">
        <f t="shared" si="11"/>
        <v>TKB_11-24_UF2</v>
      </c>
      <c r="F693" s="91">
        <v>45612</v>
      </c>
    </row>
    <row r="694" spans="1:6" ht="15" hidden="1" customHeight="1" x14ac:dyDescent="0.35">
      <c r="A694" s="1" t="s">
        <v>30</v>
      </c>
      <c r="B694" s="2" t="s">
        <v>64</v>
      </c>
      <c r="C694" s="1" t="s">
        <v>120</v>
      </c>
      <c r="D694" s="1">
        <v>2</v>
      </c>
      <c r="E694" s="1" t="str">
        <f t="shared" ref="E694:E737" si="12">A694&amp;"_"&amp;B694&amp;"_"&amp;C694&amp;D694</f>
        <v>DC1_8-24_F2</v>
      </c>
      <c r="F694" s="10">
        <v>45505</v>
      </c>
    </row>
    <row r="695" spans="1:6" ht="15" hidden="1" customHeight="1" x14ac:dyDescent="0.35">
      <c r="A695" s="1" t="s">
        <v>34</v>
      </c>
      <c r="B695" s="2" t="s">
        <v>64</v>
      </c>
      <c r="C695" s="1" t="s">
        <v>120</v>
      </c>
      <c r="D695" s="1">
        <v>2</v>
      </c>
      <c r="E695" s="1" t="str">
        <f t="shared" si="12"/>
        <v>GB1_8-24_F2</v>
      </c>
      <c r="F695" s="10">
        <v>45505</v>
      </c>
    </row>
    <row r="696" spans="1:6" ht="15" hidden="1" customHeight="1" x14ac:dyDescent="0.35">
      <c r="A696" s="1" t="s">
        <v>38</v>
      </c>
      <c r="B696" s="2" t="s">
        <v>64</v>
      </c>
      <c r="C696" s="1" t="s">
        <v>120</v>
      </c>
      <c r="D696" s="1">
        <v>2</v>
      </c>
      <c r="E696" s="1" t="str">
        <f t="shared" si="12"/>
        <v>MCS4_8-24_F2</v>
      </c>
      <c r="F696" s="10">
        <v>45505</v>
      </c>
    </row>
    <row r="697" spans="1:6" ht="15" hidden="1" customHeight="1" x14ac:dyDescent="0.35">
      <c r="A697" s="1" t="s">
        <v>39</v>
      </c>
      <c r="B697" s="2" t="s">
        <v>64</v>
      </c>
      <c r="C697" s="1" t="s">
        <v>120</v>
      </c>
      <c r="D697" s="1">
        <v>2</v>
      </c>
      <c r="E697" s="1" t="str">
        <f t="shared" si="12"/>
        <v>TBHM_8-24_F2</v>
      </c>
      <c r="F697" s="10">
        <v>45505</v>
      </c>
    </row>
    <row r="698" spans="1:6" ht="15" hidden="1" customHeight="1" x14ac:dyDescent="0.35">
      <c r="A698" s="1" t="s">
        <v>42</v>
      </c>
      <c r="B698" s="2" t="s">
        <v>64</v>
      </c>
      <c r="C698" s="1" t="s">
        <v>120</v>
      </c>
      <c r="D698" s="1">
        <v>2</v>
      </c>
      <c r="E698" s="1" t="str">
        <f t="shared" si="12"/>
        <v>TB2_8-24_F2</v>
      </c>
      <c r="F698" s="10">
        <v>45505</v>
      </c>
    </row>
    <row r="699" spans="1:6" ht="15" hidden="1" customHeight="1" x14ac:dyDescent="0.35">
      <c r="A699" s="1" t="s">
        <v>43</v>
      </c>
      <c r="B699" s="2" t="s">
        <v>64</v>
      </c>
      <c r="C699" s="1" t="s">
        <v>120</v>
      </c>
      <c r="D699" s="1">
        <v>2</v>
      </c>
      <c r="E699" s="1" t="str">
        <f t="shared" si="12"/>
        <v>GB2_8-24_F2</v>
      </c>
      <c r="F699" s="10">
        <v>45505</v>
      </c>
    </row>
    <row r="700" spans="1:6" ht="15" hidden="1" customHeight="1" x14ac:dyDescent="0.35">
      <c r="A700" s="1" t="s">
        <v>49</v>
      </c>
      <c r="B700" s="2" t="s">
        <v>64</v>
      </c>
      <c r="C700" s="1" t="s">
        <v>120</v>
      </c>
      <c r="D700" s="1">
        <v>2</v>
      </c>
      <c r="E700" s="1" t="str">
        <f t="shared" si="12"/>
        <v>SBT2_8-24_F2</v>
      </c>
      <c r="F700" s="10">
        <v>45505</v>
      </c>
    </row>
    <row r="701" spans="1:6" ht="15" hidden="1" customHeight="1" x14ac:dyDescent="0.35">
      <c r="A701" s="1" t="s">
        <v>51</v>
      </c>
      <c r="B701" s="2" t="s">
        <v>64</v>
      </c>
      <c r="C701" s="1" t="s">
        <v>120</v>
      </c>
      <c r="D701" s="1">
        <v>2</v>
      </c>
      <c r="E701" s="1" t="str">
        <f t="shared" si="12"/>
        <v>TBC_8-24_F2</v>
      </c>
      <c r="F701" s="10">
        <v>45505</v>
      </c>
    </row>
    <row r="702" spans="1:6" ht="15" hidden="1" customHeight="1" x14ac:dyDescent="0.35">
      <c r="A702" s="1" t="s">
        <v>33</v>
      </c>
      <c r="B702" s="2" t="s">
        <v>64</v>
      </c>
      <c r="C702" s="1" t="s">
        <v>120</v>
      </c>
      <c r="D702" s="1">
        <v>2</v>
      </c>
      <c r="E702" s="1" t="str">
        <f t="shared" si="12"/>
        <v>DCM2_8-24_F2</v>
      </c>
      <c r="F702" s="10">
        <v>45505</v>
      </c>
    </row>
    <row r="703" spans="1:6" ht="15" hidden="1" customHeight="1" x14ac:dyDescent="0.35">
      <c r="A703" s="1" t="s">
        <v>24</v>
      </c>
      <c r="B703" s="2" t="s">
        <v>64</v>
      </c>
      <c r="C703" s="1" t="s">
        <v>120</v>
      </c>
      <c r="D703" s="1">
        <v>2</v>
      </c>
      <c r="E703" s="1" t="str">
        <f t="shared" si="12"/>
        <v>ACS1_8-24_F2</v>
      </c>
      <c r="F703" s="10">
        <v>45505</v>
      </c>
    </row>
    <row r="704" spans="1:6" ht="15" hidden="1" customHeight="1" x14ac:dyDescent="0.35">
      <c r="A704" s="1" t="s">
        <v>44</v>
      </c>
      <c r="B704" s="2" t="s">
        <v>64</v>
      </c>
      <c r="C704" s="1" t="s">
        <v>120</v>
      </c>
      <c r="D704" s="1">
        <v>2</v>
      </c>
      <c r="E704" s="1" t="str">
        <f t="shared" si="12"/>
        <v>RB_8-24_F2</v>
      </c>
      <c r="F704" s="10">
        <v>45505</v>
      </c>
    </row>
    <row r="705" spans="1:6" ht="15" hidden="1" customHeight="1" x14ac:dyDescent="0.35">
      <c r="A705" s="1" t="s">
        <v>27</v>
      </c>
      <c r="B705" s="2" t="s">
        <v>64</v>
      </c>
      <c r="C705" s="1" t="s">
        <v>120</v>
      </c>
      <c r="D705" s="1">
        <v>2</v>
      </c>
      <c r="E705" s="1" t="str">
        <f t="shared" si="12"/>
        <v>ACS4_8-24_F2</v>
      </c>
      <c r="F705" s="10">
        <v>45505</v>
      </c>
    </row>
    <row r="706" spans="1:6" ht="15" hidden="1" customHeight="1" x14ac:dyDescent="0.35">
      <c r="A706" s="1" t="s">
        <v>28</v>
      </c>
      <c r="B706" s="2" t="s">
        <v>64</v>
      </c>
      <c r="C706" s="1" t="s">
        <v>120</v>
      </c>
      <c r="D706" s="1">
        <v>2</v>
      </c>
      <c r="E706" s="1" t="str">
        <f t="shared" si="12"/>
        <v>ACS5_8-24_F2</v>
      </c>
      <c r="F706" s="10">
        <v>45505</v>
      </c>
    </row>
    <row r="707" spans="1:6" ht="15" hidden="1" customHeight="1" x14ac:dyDescent="0.35">
      <c r="A707" s="1" t="s">
        <v>56</v>
      </c>
      <c r="B707" s="2" t="s">
        <v>64</v>
      </c>
      <c r="C707" s="1" t="s">
        <v>120</v>
      </c>
      <c r="D707" s="1">
        <v>2</v>
      </c>
      <c r="E707" s="1" t="str">
        <f t="shared" si="12"/>
        <v>CC_8-24_F2</v>
      </c>
      <c r="F707" s="10">
        <v>45505</v>
      </c>
    </row>
    <row r="708" spans="1:6" ht="15" hidden="1" customHeight="1" x14ac:dyDescent="0.35">
      <c r="A708" s="1" t="s">
        <v>31</v>
      </c>
      <c r="B708" s="2" t="s">
        <v>64</v>
      </c>
      <c r="C708" s="1" t="s">
        <v>120</v>
      </c>
      <c r="D708" s="1">
        <v>2</v>
      </c>
      <c r="E708" s="1" t="str">
        <f t="shared" si="12"/>
        <v>DCM1_8-24_F2</v>
      </c>
      <c r="F708" s="10">
        <v>45505</v>
      </c>
    </row>
    <row r="709" spans="1:6" ht="15" hidden="1" customHeight="1" x14ac:dyDescent="0.35">
      <c r="A709" s="1" t="s">
        <v>25</v>
      </c>
      <c r="B709" s="2" t="s">
        <v>64</v>
      </c>
      <c r="C709" s="1" t="s">
        <v>120</v>
      </c>
      <c r="D709" s="1">
        <v>2</v>
      </c>
      <c r="E709" s="1" t="str">
        <f t="shared" si="12"/>
        <v>ACS2_8-24_F2</v>
      </c>
      <c r="F709" s="10">
        <v>45505</v>
      </c>
    </row>
    <row r="710" spans="1:6" ht="15" hidden="1" customHeight="1" x14ac:dyDescent="0.35">
      <c r="A710" s="1" t="s">
        <v>48</v>
      </c>
      <c r="B710" s="2" t="s">
        <v>64</v>
      </c>
      <c r="C710" s="1" t="s">
        <v>120</v>
      </c>
      <c r="D710" s="1">
        <v>2</v>
      </c>
      <c r="E710" s="1" t="str">
        <f t="shared" si="12"/>
        <v>SBT1_8-24_F2</v>
      </c>
      <c r="F710" s="10">
        <v>45505</v>
      </c>
    </row>
    <row r="711" spans="1:6" ht="15" hidden="1" customHeight="1" x14ac:dyDescent="0.35">
      <c r="A711" s="1" t="s">
        <v>54</v>
      </c>
      <c r="B711" s="2" t="s">
        <v>64</v>
      </c>
      <c r="C711" s="1" t="s">
        <v>120</v>
      </c>
      <c r="D711" s="1">
        <v>2</v>
      </c>
      <c r="E711" s="1" t="str">
        <f t="shared" si="12"/>
        <v>TKB_8-24_F2</v>
      </c>
      <c r="F711" s="10">
        <v>45505</v>
      </c>
    </row>
    <row r="712" spans="1:6" ht="15" hidden="1" customHeight="1" x14ac:dyDescent="0.35">
      <c r="A712" s="1" t="s">
        <v>45</v>
      </c>
      <c r="B712" s="2" t="s">
        <v>64</v>
      </c>
      <c r="C712" s="1" t="s">
        <v>120</v>
      </c>
      <c r="D712" s="1">
        <v>2</v>
      </c>
      <c r="E712" s="1" t="str">
        <f t="shared" si="12"/>
        <v>TSM1_8-24_F2</v>
      </c>
      <c r="F712" s="10">
        <v>45505</v>
      </c>
    </row>
    <row r="713" spans="1:6" ht="15" hidden="1" customHeight="1" x14ac:dyDescent="0.35">
      <c r="A713" s="1" t="s">
        <v>47</v>
      </c>
      <c r="B713" s="2" t="s">
        <v>64</v>
      </c>
      <c r="C713" s="1" t="s">
        <v>120</v>
      </c>
      <c r="D713" s="1">
        <v>2</v>
      </c>
      <c r="E713" s="1" t="str">
        <f t="shared" si="12"/>
        <v>TSM4_8-24_F2</v>
      </c>
      <c r="F713" s="10">
        <v>45505</v>
      </c>
    </row>
    <row r="714" spans="1:6" ht="15" hidden="1" customHeight="1" x14ac:dyDescent="0.35">
      <c r="A714" s="1" t="s">
        <v>32</v>
      </c>
      <c r="B714" s="2" t="s">
        <v>64</v>
      </c>
      <c r="C714" s="1" t="s">
        <v>120</v>
      </c>
      <c r="D714" s="1">
        <v>2</v>
      </c>
      <c r="E714" s="1" t="str">
        <f t="shared" si="12"/>
        <v>DC2_8-24_F2</v>
      </c>
      <c r="F714" s="10">
        <v>45505</v>
      </c>
    </row>
    <row r="715" spans="1:6" ht="15" hidden="1" customHeight="1" x14ac:dyDescent="0.35">
      <c r="A715" s="1" t="s">
        <v>53</v>
      </c>
      <c r="B715" s="2" t="s">
        <v>64</v>
      </c>
      <c r="C715" s="1" t="s">
        <v>120</v>
      </c>
      <c r="D715" s="1">
        <v>2</v>
      </c>
      <c r="E715" s="1" t="str">
        <f t="shared" si="12"/>
        <v>WB2_8-24_F2</v>
      </c>
      <c r="F715" s="10">
        <v>45505</v>
      </c>
    </row>
    <row r="716" spans="1:6" ht="15" hidden="1" customHeight="1" x14ac:dyDescent="0.35">
      <c r="A716" s="1" t="s">
        <v>40</v>
      </c>
      <c r="B716" s="2" t="s">
        <v>64</v>
      </c>
      <c r="C716" s="1" t="s">
        <v>120</v>
      </c>
      <c r="D716" s="1">
        <v>2</v>
      </c>
      <c r="E716" s="1" t="str">
        <f t="shared" si="12"/>
        <v>TBCM_8-24_F2</v>
      </c>
      <c r="F716" s="10">
        <v>45505</v>
      </c>
    </row>
    <row r="717" spans="1:6" ht="15" hidden="1" customHeight="1" x14ac:dyDescent="0.35">
      <c r="A717" s="1" t="s">
        <v>26</v>
      </c>
      <c r="B717" s="2" t="s">
        <v>64</v>
      </c>
      <c r="C717" s="1" t="s">
        <v>120</v>
      </c>
      <c r="D717" s="1">
        <v>2</v>
      </c>
      <c r="E717" s="1" t="str">
        <f t="shared" si="12"/>
        <v>ACS3_8-24_F2</v>
      </c>
      <c r="F717" s="10">
        <v>45505</v>
      </c>
    </row>
    <row r="718" spans="1:6" ht="15" hidden="1" customHeight="1" x14ac:dyDescent="0.35">
      <c r="A718" s="1" t="s">
        <v>46</v>
      </c>
      <c r="B718" s="2" t="s">
        <v>64</v>
      </c>
      <c r="C718" s="1" t="s">
        <v>120</v>
      </c>
      <c r="D718" s="1">
        <v>2</v>
      </c>
      <c r="E718" s="1" t="str">
        <f t="shared" si="12"/>
        <v>TSM3_8-24_F2</v>
      </c>
      <c r="F718" s="10">
        <v>45505</v>
      </c>
    </row>
    <row r="719" spans="1:6" ht="15" hidden="1" customHeight="1" x14ac:dyDescent="0.35">
      <c r="A719" s="1" t="s">
        <v>37</v>
      </c>
      <c r="B719" s="2" t="s">
        <v>64</v>
      </c>
      <c r="C719" s="1" t="s">
        <v>120</v>
      </c>
      <c r="D719" s="1">
        <v>2</v>
      </c>
      <c r="E719" s="1" t="str">
        <f t="shared" si="12"/>
        <v>MCS3_8-24_F2</v>
      </c>
      <c r="F719" s="10">
        <v>45505</v>
      </c>
    </row>
    <row r="720" spans="1:6" ht="15" hidden="1" customHeight="1" x14ac:dyDescent="0.35">
      <c r="A720" s="1" t="s">
        <v>52</v>
      </c>
      <c r="B720" s="2" t="s">
        <v>64</v>
      </c>
      <c r="C720" s="1" t="s">
        <v>120</v>
      </c>
      <c r="D720" s="1">
        <v>2</v>
      </c>
      <c r="E720" s="1" t="str">
        <f t="shared" si="12"/>
        <v>WB1_8-24_F2</v>
      </c>
      <c r="F720" s="10">
        <v>45505</v>
      </c>
    </row>
    <row r="721" spans="1:6" ht="15" hidden="1" customHeight="1" x14ac:dyDescent="0.35">
      <c r="A721" s="1" t="s">
        <v>35</v>
      </c>
      <c r="B721" s="2" t="s">
        <v>64</v>
      </c>
      <c r="C721" s="1" t="s">
        <v>120</v>
      </c>
      <c r="D721" s="1">
        <v>2</v>
      </c>
      <c r="E721" s="1" t="str">
        <f t="shared" si="12"/>
        <v>MCS1_8-24_F2</v>
      </c>
      <c r="F721" s="10">
        <v>45505</v>
      </c>
    </row>
    <row r="722" spans="1:6" ht="15" hidden="1" customHeight="1" x14ac:dyDescent="0.35">
      <c r="A722" s="1" t="s">
        <v>41</v>
      </c>
      <c r="B722" s="2" t="s">
        <v>64</v>
      </c>
      <c r="C722" s="1" t="s">
        <v>120</v>
      </c>
      <c r="D722" s="1">
        <v>2</v>
      </c>
      <c r="E722" s="1" t="str">
        <f t="shared" si="12"/>
        <v>TB1_8-24_F2</v>
      </c>
      <c r="F722" s="10">
        <v>45505</v>
      </c>
    </row>
    <row r="723" spans="1:6" ht="15" hidden="1" customHeight="1" x14ac:dyDescent="0.35">
      <c r="A723" s="1" t="s">
        <v>55</v>
      </c>
      <c r="B723" s="2" t="s">
        <v>64</v>
      </c>
      <c r="C723" s="1" t="s">
        <v>120</v>
      </c>
      <c r="D723" s="1">
        <v>2</v>
      </c>
      <c r="E723" s="1" t="str">
        <f t="shared" si="12"/>
        <v>JB_8-24_F2</v>
      </c>
      <c r="F723" s="10">
        <v>45505</v>
      </c>
    </row>
    <row r="724" spans="1:6" ht="15" hidden="1" customHeight="1" x14ac:dyDescent="0.35">
      <c r="A724" s="1" t="s">
        <v>36</v>
      </c>
      <c r="B724" s="2" t="s">
        <v>64</v>
      </c>
      <c r="C724" s="1" t="s">
        <v>120</v>
      </c>
      <c r="D724" s="1">
        <v>2</v>
      </c>
      <c r="E724" s="1" t="str">
        <f t="shared" si="12"/>
        <v>MCS2_8-24_F2</v>
      </c>
      <c r="F724" s="10">
        <v>45505</v>
      </c>
    </row>
    <row r="725" spans="1:6" ht="15" hidden="1" customHeight="1" x14ac:dyDescent="0.35">
      <c r="A725" s="89" t="s">
        <v>24</v>
      </c>
      <c r="B725" s="90" t="s">
        <v>111</v>
      </c>
      <c r="C725" s="1" t="s">
        <v>120</v>
      </c>
      <c r="D725" s="1">
        <v>2</v>
      </c>
      <c r="E725" s="1" t="str">
        <f t="shared" si="12"/>
        <v>ACS1_11-24_F2</v>
      </c>
      <c r="F725" s="91">
        <v>45606</v>
      </c>
    </row>
    <row r="726" spans="1:6" ht="15" hidden="1" customHeight="1" x14ac:dyDescent="0.35">
      <c r="A726" s="89" t="s">
        <v>46</v>
      </c>
      <c r="B726" s="90" t="s">
        <v>111</v>
      </c>
      <c r="C726" s="1" t="s">
        <v>120</v>
      </c>
      <c r="D726" s="1">
        <v>2</v>
      </c>
      <c r="E726" s="1" t="str">
        <f t="shared" si="12"/>
        <v>TSM3_11-24_F2</v>
      </c>
      <c r="F726" s="91">
        <v>45606</v>
      </c>
    </row>
    <row r="727" spans="1:6" ht="15" hidden="1" customHeight="1" x14ac:dyDescent="0.35">
      <c r="A727" s="89" t="s">
        <v>47</v>
      </c>
      <c r="B727" s="90" t="s">
        <v>111</v>
      </c>
      <c r="C727" s="1" t="s">
        <v>120</v>
      </c>
      <c r="D727" s="1">
        <v>2</v>
      </c>
      <c r="E727" s="1" t="str">
        <f t="shared" si="12"/>
        <v>TSM4_11-24_F2</v>
      </c>
      <c r="F727" s="91">
        <v>45606</v>
      </c>
    </row>
    <row r="728" spans="1:6" ht="15" hidden="1" customHeight="1" x14ac:dyDescent="0.35">
      <c r="A728" s="89" t="s">
        <v>48</v>
      </c>
      <c r="B728" s="90" t="s">
        <v>111</v>
      </c>
      <c r="C728" s="1" t="s">
        <v>120</v>
      </c>
      <c r="D728" s="1">
        <v>2</v>
      </c>
      <c r="E728" s="1" t="str">
        <f t="shared" si="12"/>
        <v>SBT1_11-24_F2</v>
      </c>
      <c r="F728" s="91">
        <v>45606</v>
      </c>
    </row>
    <row r="729" spans="1:6" ht="15" hidden="1" customHeight="1" x14ac:dyDescent="0.35">
      <c r="A729" s="89" t="s">
        <v>34</v>
      </c>
      <c r="B729" s="90" t="s">
        <v>111</v>
      </c>
      <c r="C729" s="1" t="s">
        <v>120</v>
      </c>
      <c r="D729" s="1">
        <v>2</v>
      </c>
      <c r="E729" s="1" t="str">
        <f t="shared" si="12"/>
        <v>GB1_11-24_F2</v>
      </c>
      <c r="F729" s="91">
        <v>45612</v>
      </c>
    </row>
    <row r="730" spans="1:6" ht="15" hidden="1" customHeight="1" x14ac:dyDescent="0.35">
      <c r="A730" s="89" t="s">
        <v>42</v>
      </c>
      <c r="B730" s="90" t="s">
        <v>111</v>
      </c>
      <c r="C730" s="1" t="s">
        <v>120</v>
      </c>
      <c r="D730" s="1">
        <v>2</v>
      </c>
      <c r="E730" s="1" t="str">
        <f t="shared" si="12"/>
        <v>TB2_11-24_F2</v>
      </c>
      <c r="F730" s="91">
        <v>45612</v>
      </c>
    </row>
    <row r="731" spans="1:6" ht="15" hidden="1" customHeight="1" x14ac:dyDescent="0.35">
      <c r="A731" s="89" t="s">
        <v>49</v>
      </c>
      <c r="B731" s="90" t="s">
        <v>111</v>
      </c>
      <c r="C731" s="1" t="s">
        <v>120</v>
      </c>
      <c r="D731" s="1">
        <v>2</v>
      </c>
      <c r="E731" s="1" t="str">
        <f t="shared" si="12"/>
        <v>SBT2_11-24_F2</v>
      </c>
      <c r="F731" s="91">
        <v>45612</v>
      </c>
    </row>
    <row r="732" spans="1:6" ht="15" hidden="1" customHeight="1" x14ac:dyDescent="0.35">
      <c r="A732" s="89" t="s">
        <v>55</v>
      </c>
      <c r="B732" s="90" t="s">
        <v>111</v>
      </c>
      <c r="C732" s="1" t="s">
        <v>120</v>
      </c>
      <c r="D732" s="1">
        <v>2</v>
      </c>
      <c r="E732" s="1" t="str">
        <f t="shared" si="12"/>
        <v>JB_11-24_F2</v>
      </c>
      <c r="F732" s="91">
        <v>45612</v>
      </c>
    </row>
    <row r="733" spans="1:6" ht="15" hidden="1" customHeight="1" x14ac:dyDescent="0.35">
      <c r="A733" s="89" t="s">
        <v>44</v>
      </c>
      <c r="B733" s="90" t="s">
        <v>111</v>
      </c>
      <c r="C733" s="1" t="s">
        <v>120</v>
      </c>
      <c r="D733" s="1">
        <v>2</v>
      </c>
      <c r="E733" s="1" t="str">
        <f t="shared" si="12"/>
        <v>RB_11-24_F2</v>
      </c>
      <c r="F733" s="91">
        <v>45612</v>
      </c>
    </row>
    <row r="734" spans="1:6" ht="15" hidden="1" customHeight="1" x14ac:dyDescent="0.35">
      <c r="A734" s="89" t="s">
        <v>41</v>
      </c>
      <c r="B734" s="90" t="s">
        <v>111</v>
      </c>
      <c r="C734" s="1" t="s">
        <v>120</v>
      </c>
      <c r="D734" s="1">
        <v>2</v>
      </c>
      <c r="E734" s="1" t="str">
        <f t="shared" si="12"/>
        <v>TB1_11-24_F2</v>
      </c>
      <c r="F734" s="91">
        <v>45612</v>
      </c>
    </row>
    <row r="735" spans="1:6" ht="15" hidden="1" customHeight="1" x14ac:dyDescent="0.35">
      <c r="A735" s="89" t="s">
        <v>30</v>
      </c>
      <c r="B735" s="90" t="s">
        <v>111</v>
      </c>
      <c r="C735" s="1" t="s">
        <v>120</v>
      </c>
      <c r="D735" s="1">
        <v>2</v>
      </c>
      <c r="E735" s="1" t="str">
        <f t="shared" si="12"/>
        <v>DC1_11-24_F2</v>
      </c>
      <c r="F735" s="91">
        <v>45612</v>
      </c>
    </row>
    <row r="736" spans="1:6" ht="15" hidden="1" customHeight="1" x14ac:dyDescent="0.35">
      <c r="A736" s="89" t="s">
        <v>35</v>
      </c>
      <c r="B736" s="90" t="s">
        <v>111</v>
      </c>
      <c r="C736" s="1" t="s">
        <v>120</v>
      </c>
      <c r="D736" s="1">
        <v>2</v>
      </c>
      <c r="E736" s="1" t="str">
        <f t="shared" si="12"/>
        <v>MCS1_11-24_F2</v>
      </c>
      <c r="F736" s="91">
        <v>45612</v>
      </c>
    </row>
    <row r="737" spans="1:6" ht="15" hidden="1" customHeight="1" x14ac:dyDescent="0.35">
      <c r="A737" s="89" t="s">
        <v>54</v>
      </c>
      <c r="B737" s="90" t="s">
        <v>111</v>
      </c>
      <c r="C737" s="1" t="s">
        <v>120</v>
      </c>
      <c r="D737" s="1">
        <v>2</v>
      </c>
      <c r="E737" s="1" t="str">
        <f t="shared" si="12"/>
        <v>TKB_11-24_F2</v>
      </c>
      <c r="F737" s="91">
        <v>45612</v>
      </c>
    </row>
  </sheetData>
  <autoFilter ref="A1:H737" xr:uid="{713063A5-9F71-4855-B110-A2F109B74238}">
    <filterColumn colId="3">
      <filters>
        <filter val="1"/>
      </filters>
    </filterColumn>
    <filterColumn colId="5">
      <filters>
        <dateGroupItem year="2024" dateTimeGrouping="year"/>
      </filters>
    </filterColumn>
    <sortState xmlns:xlrd2="http://schemas.microsoft.com/office/spreadsheetml/2017/richdata2" ref="A250:H649">
      <sortCondition ref="C1:C737"/>
    </sortState>
  </autoFilter>
  <phoneticPr fontId="1" type="noConversion"/>
  <conditionalFormatting sqref="I1:I1048576">
    <cfRule type="containsText" dxfId="4" priority="1" operator="containsText" text="Y">
      <formula>NOT(ISERROR(SEARCH("Y",I1)))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9896-36CA-4D40-83AC-359BA6207B4A}">
  <dimension ref="A1:M141"/>
  <sheetViews>
    <sheetView workbookViewId="0">
      <pane ySplit="1" topLeftCell="A98" activePane="bottomLeft" state="frozen"/>
      <selection pane="bottomLeft" activeCell="F7" sqref="F7"/>
    </sheetView>
  </sheetViews>
  <sheetFormatPr defaultRowHeight="15" customHeight="1" x14ac:dyDescent="0.35"/>
  <cols>
    <col min="1" max="1" width="16.54296875" style="1" customWidth="1"/>
    <col min="2" max="2" width="15.453125" style="1" customWidth="1"/>
    <col min="3" max="5" width="20.54296875" style="1" customWidth="1"/>
    <col min="6" max="6" width="14.54296875" style="1" customWidth="1"/>
    <col min="7" max="7" width="16.81640625" style="1" customWidth="1"/>
    <col min="8" max="8" width="14" style="1" customWidth="1"/>
    <col min="9" max="9" width="14.54296875" style="1" customWidth="1"/>
    <col min="10" max="10" width="15.1796875" style="1" customWidth="1"/>
    <col min="11" max="11" width="12.54296875" style="1" customWidth="1"/>
    <col min="12" max="12" width="13.81640625" style="1" customWidth="1"/>
    <col min="13" max="13" width="14.81640625" style="1" customWidth="1"/>
  </cols>
  <sheetData>
    <row r="1" spans="1:13" s="7" customFormat="1" ht="14.5" x14ac:dyDescent="0.35">
      <c r="A1" s="8" t="s">
        <v>0</v>
      </c>
      <c r="B1" s="8" t="s">
        <v>1</v>
      </c>
      <c r="C1" s="8" t="s">
        <v>3</v>
      </c>
      <c r="D1" s="8" t="s">
        <v>4</v>
      </c>
      <c r="E1" s="8" t="s">
        <v>122</v>
      </c>
      <c r="F1" s="8" t="s">
        <v>123</v>
      </c>
      <c r="G1" s="8" t="s">
        <v>124</v>
      </c>
      <c r="H1" s="8" t="s">
        <v>125</v>
      </c>
      <c r="I1" s="8" t="s">
        <v>126</v>
      </c>
      <c r="J1" s="8" t="s">
        <v>127</v>
      </c>
      <c r="K1" s="8" t="s">
        <v>128</v>
      </c>
      <c r="L1" s="8" t="s">
        <v>129</v>
      </c>
      <c r="M1" s="8" t="s">
        <v>130</v>
      </c>
    </row>
    <row r="2" spans="1:13" ht="14.5" x14ac:dyDescent="0.35">
      <c r="A2" s="1" t="s">
        <v>14</v>
      </c>
      <c r="B2" s="1" t="s">
        <v>118</v>
      </c>
      <c r="C2" s="1" t="str">
        <f t="shared" ref="C2:C33" si="0">A2&amp;"_"&amp;B2&amp;"_"&amp;"WQ"</f>
        <v>P37_9_23_WQ</v>
      </c>
      <c r="D2" s="10">
        <v>45184</v>
      </c>
      <c r="E2" s="11">
        <v>0.40069444444444446</v>
      </c>
    </row>
    <row r="3" spans="1:13" ht="14.5" x14ac:dyDescent="0.35">
      <c r="A3" s="1" t="s">
        <v>19</v>
      </c>
      <c r="B3" s="1" t="s">
        <v>118</v>
      </c>
      <c r="C3" s="1" t="str">
        <f t="shared" si="0"/>
        <v>NCL_9_23_WQ</v>
      </c>
      <c r="D3" s="10">
        <v>45184</v>
      </c>
      <c r="E3" s="11">
        <v>0.44236111111111109</v>
      </c>
    </row>
    <row r="4" spans="1:13" ht="14.5" x14ac:dyDescent="0.35">
      <c r="A4" s="1" t="s">
        <v>20</v>
      </c>
      <c r="B4" s="1" t="s">
        <v>118</v>
      </c>
      <c r="C4" s="1" t="str">
        <f t="shared" si="0"/>
        <v>CP_9_23_WQ</v>
      </c>
      <c r="D4" s="10">
        <v>45184</v>
      </c>
      <c r="E4" s="11">
        <v>0.47569444444444442</v>
      </c>
    </row>
    <row r="5" spans="1:13" ht="14.5" x14ac:dyDescent="0.35">
      <c r="A5" s="1" t="s">
        <v>21</v>
      </c>
      <c r="B5" s="1" t="s">
        <v>118</v>
      </c>
      <c r="C5" s="1" t="str">
        <f t="shared" si="0"/>
        <v>EP146_9_23_WQ</v>
      </c>
      <c r="D5" s="10">
        <v>45184</v>
      </c>
      <c r="E5" s="11">
        <v>0.52708333333333335</v>
      </c>
    </row>
    <row r="6" spans="1:13" ht="14.5" x14ac:dyDescent="0.35">
      <c r="A6" s="1" t="s">
        <v>22</v>
      </c>
      <c r="B6" s="1" t="s">
        <v>118</v>
      </c>
      <c r="C6" s="1" t="str">
        <f t="shared" si="0"/>
        <v>OL_9_23_WQ</v>
      </c>
      <c r="D6" s="10">
        <v>45184</v>
      </c>
      <c r="E6" s="11">
        <v>0.55138888888888893</v>
      </c>
    </row>
    <row r="7" spans="1:13" ht="14.5" x14ac:dyDescent="0.35">
      <c r="A7" s="1" t="s">
        <v>58</v>
      </c>
      <c r="B7" s="1" t="s">
        <v>118</v>
      </c>
      <c r="C7" s="1" t="str">
        <f t="shared" si="0"/>
        <v>TSH_9_23_WQ</v>
      </c>
      <c r="D7" s="10">
        <v>45184</v>
      </c>
      <c r="E7" s="11">
        <v>0.57986111111111116</v>
      </c>
    </row>
    <row r="8" spans="1:13" ht="14.5" x14ac:dyDescent="0.35">
      <c r="A8" s="1" t="s">
        <v>23</v>
      </c>
      <c r="B8" s="1" t="s">
        <v>118</v>
      </c>
      <c r="C8" s="1" t="str">
        <f t="shared" si="0"/>
        <v>R127_9_23_WQ</v>
      </c>
      <c r="D8" s="10">
        <v>45184</v>
      </c>
      <c r="E8" s="11">
        <v>0.6020833333333333</v>
      </c>
    </row>
    <row r="9" spans="1:13" ht="14.5" x14ac:dyDescent="0.35">
      <c r="A9" s="1" t="s">
        <v>24</v>
      </c>
      <c r="B9" s="2" t="s">
        <v>15</v>
      </c>
      <c r="C9" s="1" t="str">
        <f t="shared" si="0"/>
        <v>ACS1_9-23_WQ</v>
      </c>
      <c r="D9" s="10">
        <v>45195</v>
      </c>
      <c r="E9" s="11">
        <v>0.33124999999999999</v>
      </c>
      <c r="F9" s="1">
        <v>29.152999999999999</v>
      </c>
      <c r="G9" s="1">
        <v>84.3</v>
      </c>
      <c r="H9" s="1">
        <v>6.02</v>
      </c>
      <c r="I9" s="1">
        <v>12.97</v>
      </c>
      <c r="J9" s="1">
        <v>8.01</v>
      </c>
      <c r="K9" s="1">
        <v>3.82</v>
      </c>
      <c r="L9" s="1">
        <v>45.67</v>
      </c>
      <c r="M9" s="1">
        <v>137.03</v>
      </c>
    </row>
    <row r="10" spans="1:13" ht="14.5" x14ac:dyDescent="0.35">
      <c r="A10" s="1" t="s">
        <v>25</v>
      </c>
      <c r="B10" s="2" t="s">
        <v>15</v>
      </c>
      <c r="C10" s="1" t="str">
        <f t="shared" si="0"/>
        <v>ACS2_9-23_WQ</v>
      </c>
      <c r="D10" s="10">
        <v>45195</v>
      </c>
      <c r="E10" s="11">
        <v>0.37013888888888891</v>
      </c>
      <c r="F10" s="1">
        <v>29.212</v>
      </c>
      <c r="G10" s="1">
        <v>81.2</v>
      </c>
      <c r="H10" s="1">
        <v>5.83</v>
      </c>
      <c r="I10" s="1">
        <v>11.73</v>
      </c>
      <c r="J10" s="1">
        <v>8</v>
      </c>
      <c r="K10" s="1">
        <v>3.91</v>
      </c>
      <c r="L10" s="1">
        <v>44.03</v>
      </c>
      <c r="M10" s="1">
        <v>134.80000000000001</v>
      </c>
    </row>
    <row r="11" spans="1:13" ht="14.5" x14ac:dyDescent="0.35">
      <c r="A11" s="1" t="s">
        <v>26</v>
      </c>
      <c r="B11" s="2" t="s">
        <v>15</v>
      </c>
      <c r="C11" s="1" t="str">
        <f t="shared" si="0"/>
        <v>ACS3_9-23_WQ</v>
      </c>
      <c r="D11" s="10">
        <v>45195</v>
      </c>
      <c r="E11" s="11">
        <v>0.39444444444444443</v>
      </c>
      <c r="F11" s="1">
        <v>29.082000000000001</v>
      </c>
      <c r="G11" s="1">
        <v>92.5</v>
      </c>
      <c r="H11" s="1">
        <v>6.68</v>
      </c>
      <c r="I11" s="1">
        <v>10.63</v>
      </c>
      <c r="J11" s="1">
        <v>8.44</v>
      </c>
      <c r="K11" s="1">
        <v>6.53</v>
      </c>
      <c r="L11" s="1">
        <v>29.84</v>
      </c>
      <c r="M11" s="1">
        <v>59.59</v>
      </c>
    </row>
    <row r="12" spans="1:13" ht="14.5" x14ac:dyDescent="0.35">
      <c r="A12" s="1" t="s">
        <v>27</v>
      </c>
      <c r="B12" s="2" t="s">
        <v>15</v>
      </c>
      <c r="C12" s="1" t="str">
        <f t="shared" si="0"/>
        <v>ACS4_9-23_WQ</v>
      </c>
      <c r="D12" s="10">
        <v>45195</v>
      </c>
      <c r="E12" s="11">
        <v>0.47083333333333333</v>
      </c>
      <c r="F12" s="1">
        <v>28.960999999999999</v>
      </c>
      <c r="G12" s="1">
        <v>62.5</v>
      </c>
      <c r="H12" s="1">
        <v>4.46</v>
      </c>
      <c r="I12" s="1">
        <v>12.86</v>
      </c>
      <c r="J12" s="1">
        <v>7.72</v>
      </c>
      <c r="K12" s="1">
        <v>4.1500000000000004</v>
      </c>
      <c r="L12" s="1">
        <v>45.63</v>
      </c>
      <c r="M12" s="1">
        <v>136.80000000000001</v>
      </c>
    </row>
    <row r="13" spans="1:13" ht="14.5" x14ac:dyDescent="0.35">
      <c r="A13" s="1" t="s">
        <v>28</v>
      </c>
      <c r="B13" s="2" t="s">
        <v>15</v>
      </c>
      <c r="C13" s="1" t="str">
        <f t="shared" si="0"/>
        <v>ACS5_9-23_WQ</v>
      </c>
      <c r="D13" s="10">
        <v>45195</v>
      </c>
      <c r="E13" s="11">
        <v>0.61736111111111114</v>
      </c>
      <c r="F13" s="1">
        <v>32.003999999999998</v>
      </c>
      <c r="G13" s="1">
        <v>78.099999999999994</v>
      </c>
      <c r="H13" s="1">
        <v>5.12</v>
      </c>
      <c r="I13" s="1">
        <v>20.12</v>
      </c>
      <c r="J13" s="1">
        <v>8</v>
      </c>
      <c r="K13" s="1">
        <v>20.55</v>
      </c>
      <c r="L13" s="1">
        <v>38.869999999999997</v>
      </c>
      <c r="M13" s="1">
        <v>116.6</v>
      </c>
    </row>
    <row r="14" spans="1:13" ht="14.5" x14ac:dyDescent="0.35">
      <c r="A14" s="1" t="s">
        <v>29</v>
      </c>
      <c r="B14" s="2" t="s">
        <v>15</v>
      </c>
      <c r="C14" s="1" t="str">
        <f t="shared" si="0"/>
        <v>GBHM_9-23_WQ</v>
      </c>
      <c r="D14" s="10">
        <v>45195</v>
      </c>
      <c r="E14" s="11">
        <v>0.62986111111111109</v>
      </c>
      <c r="I14" s="1">
        <v>14.6</v>
      </c>
    </row>
    <row r="15" spans="1:13" ht="14.5" x14ac:dyDescent="0.35">
      <c r="A15" s="1" t="s">
        <v>30</v>
      </c>
      <c r="B15" s="2" t="s">
        <v>15</v>
      </c>
      <c r="C15" s="1" t="str">
        <f t="shared" si="0"/>
        <v>DC1_9-23_WQ</v>
      </c>
      <c r="D15" s="10">
        <v>45195</v>
      </c>
      <c r="E15" s="11">
        <v>0.56180555555555556</v>
      </c>
      <c r="F15" s="1">
        <v>29.957999999999998</v>
      </c>
      <c r="G15" s="1">
        <v>34.6</v>
      </c>
      <c r="H15" s="1">
        <v>2.34</v>
      </c>
      <c r="I15" s="1">
        <v>19.77</v>
      </c>
      <c r="J15" s="1">
        <v>7.9</v>
      </c>
      <c r="K15" s="1">
        <v>20.100000000000001</v>
      </c>
      <c r="L15" s="1">
        <v>45.1</v>
      </c>
      <c r="M15" s="1">
        <v>135.27000000000001</v>
      </c>
    </row>
    <row r="16" spans="1:13" ht="14.5" x14ac:dyDescent="0.35">
      <c r="A16" s="1" t="s">
        <v>31</v>
      </c>
      <c r="B16" s="2" t="s">
        <v>15</v>
      </c>
      <c r="C16" s="1" t="str">
        <f t="shared" si="0"/>
        <v>DCM1_9-23_WQ</v>
      </c>
      <c r="D16" s="10">
        <v>45195</v>
      </c>
      <c r="E16" s="11">
        <v>0.58263888888888893</v>
      </c>
      <c r="I16" s="1">
        <v>14.4</v>
      </c>
    </row>
    <row r="17" spans="1:13" ht="14.5" x14ac:dyDescent="0.35">
      <c r="A17" s="1" t="s">
        <v>32</v>
      </c>
      <c r="B17" s="2" t="s">
        <v>15</v>
      </c>
      <c r="C17" s="1" t="str">
        <f t="shared" si="0"/>
        <v>DC2_9-23_WQ</v>
      </c>
      <c r="D17" s="10">
        <v>45195</v>
      </c>
      <c r="E17" s="11">
        <v>0.52430555555555558</v>
      </c>
      <c r="F17" s="1">
        <v>29.36</v>
      </c>
      <c r="G17" s="1">
        <v>29.3</v>
      </c>
      <c r="H17" s="1">
        <v>2.0299999999999998</v>
      </c>
      <c r="I17" s="1">
        <v>17.670000000000002</v>
      </c>
      <c r="J17" s="1">
        <v>7.67</v>
      </c>
      <c r="K17" s="1">
        <v>16.510000000000002</v>
      </c>
      <c r="L17" s="1">
        <v>45.42</v>
      </c>
      <c r="M17" s="1">
        <v>136.16999999999999</v>
      </c>
    </row>
    <row r="18" spans="1:13" ht="14.5" x14ac:dyDescent="0.35">
      <c r="A18" s="1" t="s">
        <v>33</v>
      </c>
      <c r="B18" s="2" t="s">
        <v>15</v>
      </c>
      <c r="C18" s="1" t="str">
        <f t="shared" si="0"/>
        <v>DCM2_9-23_WQ</v>
      </c>
      <c r="D18" s="10">
        <v>45195</v>
      </c>
      <c r="E18" s="11">
        <v>0.54166666666666663</v>
      </c>
      <c r="I18" s="1">
        <v>6.6</v>
      </c>
    </row>
    <row r="19" spans="1:13" ht="14.5" x14ac:dyDescent="0.35">
      <c r="A19" s="1" t="s">
        <v>34</v>
      </c>
      <c r="B19" s="2" t="s">
        <v>15</v>
      </c>
      <c r="C19" s="1" t="str">
        <f t="shared" si="0"/>
        <v>GB1_9-23_WQ</v>
      </c>
      <c r="D19" s="10">
        <v>45195</v>
      </c>
      <c r="E19" s="11">
        <v>0.60277777777777775</v>
      </c>
      <c r="F19" s="1">
        <v>30.731000000000002</v>
      </c>
      <c r="G19" s="1">
        <v>98.5</v>
      </c>
      <c r="H19" s="1">
        <v>6.32</v>
      </c>
      <c r="I19" s="1">
        <v>26.84</v>
      </c>
      <c r="J19" s="1">
        <v>8.18</v>
      </c>
      <c r="K19" s="1">
        <v>9.01</v>
      </c>
      <c r="L19" s="1">
        <v>29.6</v>
      </c>
      <c r="M19" s="1">
        <v>88.82</v>
      </c>
    </row>
    <row r="20" spans="1:13" ht="14.5" x14ac:dyDescent="0.35">
      <c r="A20" s="1" t="s">
        <v>35</v>
      </c>
      <c r="B20" s="2" t="s">
        <v>15</v>
      </c>
      <c r="C20" s="1" t="str">
        <f t="shared" si="0"/>
        <v>MCS1_9-23_WQ</v>
      </c>
      <c r="D20" s="10">
        <v>45196</v>
      </c>
      <c r="E20" s="11">
        <v>0.45069444444444445</v>
      </c>
      <c r="F20" s="1">
        <v>29.140999999999998</v>
      </c>
      <c r="G20" s="1">
        <v>95</v>
      </c>
      <c r="H20" s="1">
        <v>6.82</v>
      </c>
      <c r="I20" s="1">
        <v>12</v>
      </c>
      <c r="J20" s="1">
        <v>8.3699999999999992</v>
      </c>
      <c r="K20" s="1">
        <v>2.2799999999999998</v>
      </c>
      <c r="L20" s="1">
        <v>32.869999999999997</v>
      </c>
      <c r="M20" s="1">
        <v>98.63</v>
      </c>
    </row>
    <row r="21" spans="1:13" ht="14.5" x14ac:dyDescent="0.35">
      <c r="A21" s="1" t="s">
        <v>36</v>
      </c>
      <c r="B21" s="2" t="s">
        <v>15</v>
      </c>
      <c r="C21" s="1" t="str">
        <f t="shared" si="0"/>
        <v>MCS2_9-23_WQ</v>
      </c>
      <c r="D21" s="10">
        <v>45196</v>
      </c>
      <c r="E21" s="11">
        <v>0.46944444444444444</v>
      </c>
      <c r="F21" s="1">
        <v>29.314</v>
      </c>
      <c r="G21" s="1">
        <v>94.4</v>
      </c>
      <c r="H21" s="1">
        <v>6.72</v>
      </c>
      <c r="I21" s="1">
        <v>12.96</v>
      </c>
      <c r="J21" s="1">
        <v>8.1300000000000008</v>
      </c>
      <c r="K21" s="1">
        <v>3.99</v>
      </c>
      <c r="L21" s="1">
        <v>32.28</v>
      </c>
      <c r="M21" s="1">
        <v>96.88</v>
      </c>
    </row>
    <row r="22" spans="1:13" ht="14.5" x14ac:dyDescent="0.35">
      <c r="A22" s="1" t="s">
        <v>37</v>
      </c>
      <c r="B22" s="2" t="s">
        <v>15</v>
      </c>
      <c r="C22" s="1" t="str">
        <f t="shared" si="0"/>
        <v>MCS3_9-23_WQ</v>
      </c>
      <c r="D22" s="10">
        <v>45196</v>
      </c>
      <c r="E22" s="11">
        <v>0.48541666666666666</v>
      </c>
      <c r="F22" s="1">
        <v>29.199000000000002</v>
      </c>
      <c r="G22" s="1">
        <v>89</v>
      </c>
      <c r="H22" s="1">
        <v>6.24</v>
      </c>
      <c r="I22" s="1">
        <v>15.8</v>
      </c>
      <c r="J22" s="1">
        <v>8</v>
      </c>
      <c r="K22" s="1">
        <v>3.96</v>
      </c>
      <c r="L22" s="1">
        <v>36.56</v>
      </c>
      <c r="M22" s="1">
        <v>109.7</v>
      </c>
    </row>
    <row r="23" spans="1:13" ht="14.5" x14ac:dyDescent="0.35">
      <c r="A23" s="1" t="s">
        <v>38</v>
      </c>
      <c r="B23" s="2" t="s">
        <v>15</v>
      </c>
      <c r="C23" s="1" t="str">
        <f t="shared" si="0"/>
        <v>MCS4_9-23_WQ</v>
      </c>
      <c r="D23" s="10">
        <v>45196</v>
      </c>
      <c r="E23" s="11">
        <v>0.50624999999999998</v>
      </c>
      <c r="F23" s="1">
        <v>29.036000000000001</v>
      </c>
      <c r="G23" s="1">
        <v>65.5</v>
      </c>
      <c r="H23" s="1">
        <v>4.57</v>
      </c>
      <c r="I23" s="1">
        <v>17.45</v>
      </c>
      <c r="J23" s="1">
        <v>7.86</v>
      </c>
      <c r="K23" s="1">
        <v>8.49</v>
      </c>
      <c r="L23" s="1">
        <v>35.1</v>
      </c>
      <c r="M23" s="1">
        <v>105.13</v>
      </c>
    </row>
    <row r="24" spans="1:13" ht="14.5" x14ac:dyDescent="0.35">
      <c r="A24" s="1" t="s">
        <v>39</v>
      </c>
      <c r="B24" s="2" t="s">
        <v>15</v>
      </c>
      <c r="C24" s="1" t="str">
        <f t="shared" si="0"/>
        <v>TBHM_9-23_WQ</v>
      </c>
      <c r="D24" s="10">
        <v>45196</v>
      </c>
      <c r="E24" s="11">
        <v>0.52847222222222223</v>
      </c>
      <c r="I24" s="1">
        <v>12.6</v>
      </c>
    </row>
    <row r="25" spans="1:13" ht="14.5" x14ac:dyDescent="0.35">
      <c r="A25" s="1" t="s">
        <v>51</v>
      </c>
      <c r="B25" s="2" t="s">
        <v>15</v>
      </c>
      <c r="C25" s="1" t="str">
        <f t="shared" si="0"/>
        <v>TBC_9-23_WQ</v>
      </c>
      <c r="D25" s="10">
        <v>45196</v>
      </c>
      <c r="E25" s="11">
        <v>0.56736111111111109</v>
      </c>
      <c r="F25" s="1">
        <v>29.954000000000001</v>
      </c>
      <c r="G25" s="1">
        <v>81.3</v>
      </c>
      <c r="H25" s="1">
        <v>5.19</v>
      </c>
      <c r="I25" s="1">
        <v>30.67</v>
      </c>
      <c r="J25" s="1">
        <v>7.9</v>
      </c>
      <c r="K25" s="1">
        <v>21.54</v>
      </c>
      <c r="L25" s="1">
        <v>16.07</v>
      </c>
      <c r="M25" s="1">
        <v>48.24</v>
      </c>
    </row>
    <row r="26" spans="1:13" ht="14.5" x14ac:dyDescent="0.35">
      <c r="A26" s="1" t="s">
        <v>40</v>
      </c>
      <c r="B26" s="2" t="s">
        <v>15</v>
      </c>
      <c r="C26" s="1" t="str">
        <f t="shared" si="0"/>
        <v>TBCM_9-23_WQ</v>
      </c>
      <c r="D26" s="10">
        <v>45196</v>
      </c>
      <c r="E26" s="11">
        <v>0.59097222222222223</v>
      </c>
      <c r="I26" s="1">
        <v>28.2</v>
      </c>
    </row>
    <row r="27" spans="1:13" ht="14.5" x14ac:dyDescent="0.35">
      <c r="A27" s="1" t="s">
        <v>41</v>
      </c>
      <c r="B27" s="2" t="s">
        <v>15</v>
      </c>
      <c r="C27" s="1" t="str">
        <f t="shared" si="0"/>
        <v>TB1_9-23_WQ</v>
      </c>
      <c r="D27" s="10">
        <v>45196</v>
      </c>
      <c r="E27" s="11">
        <v>0.54374999999999996</v>
      </c>
      <c r="F27" s="1">
        <v>30.734000000000002</v>
      </c>
      <c r="G27" s="1">
        <v>65.400000000000006</v>
      </c>
      <c r="H27" s="1">
        <v>4.34</v>
      </c>
      <c r="I27" s="1">
        <v>21.43</v>
      </c>
      <c r="J27" s="1">
        <v>7.81</v>
      </c>
      <c r="K27" s="1">
        <v>8.73</v>
      </c>
      <c r="L27" s="1">
        <v>32.64</v>
      </c>
      <c r="M27" s="1">
        <v>97.94</v>
      </c>
    </row>
    <row r="28" spans="1:13" ht="14.5" x14ac:dyDescent="0.35">
      <c r="A28" s="1" t="s">
        <v>42</v>
      </c>
      <c r="B28" s="2" t="s">
        <v>15</v>
      </c>
      <c r="C28" s="1" t="str">
        <f t="shared" si="0"/>
        <v>TB2_9-23_WQ</v>
      </c>
      <c r="D28" s="10">
        <v>45196</v>
      </c>
      <c r="E28" s="11">
        <v>0.61041666666666672</v>
      </c>
      <c r="F28" s="1">
        <v>29.625</v>
      </c>
      <c r="G28" s="1">
        <v>93.9</v>
      </c>
      <c r="H28" s="1">
        <v>5.94</v>
      </c>
      <c r="I28" s="1">
        <v>34.17</v>
      </c>
      <c r="J28" s="1">
        <v>8.19</v>
      </c>
      <c r="K28" s="1">
        <v>5.36</v>
      </c>
      <c r="L28" s="1">
        <v>10.3</v>
      </c>
      <c r="M28" s="1">
        <v>31</v>
      </c>
    </row>
    <row r="29" spans="1:13" ht="14.5" x14ac:dyDescent="0.35">
      <c r="A29" s="1" t="s">
        <v>43</v>
      </c>
      <c r="B29" s="2" t="s">
        <v>15</v>
      </c>
      <c r="C29" s="1" t="str">
        <f t="shared" si="0"/>
        <v>GB2_9-23_WQ</v>
      </c>
      <c r="D29" s="10">
        <v>45196</v>
      </c>
      <c r="E29" s="11">
        <v>0.65138888888888891</v>
      </c>
      <c r="F29" s="1">
        <v>29.896999999999998</v>
      </c>
      <c r="G29" s="1">
        <v>111.1</v>
      </c>
      <c r="H29" s="1">
        <v>6.99</v>
      </c>
      <c r="I29" s="1">
        <v>33.67</v>
      </c>
      <c r="J29" s="1">
        <v>8.24</v>
      </c>
      <c r="K29" s="1">
        <v>11.51</v>
      </c>
      <c r="L29" s="1">
        <v>13.43</v>
      </c>
      <c r="M29" s="1">
        <v>40.299999999999997</v>
      </c>
    </row>
    <row r="30" spans="1:13" ht="14.5" x14ac:dyDescent="0.35">
      <c r="A30" s="1" t="s">
        <v>44</v>
      </c>
      <c r="B30" s="2" t="s">
        <v>15</v>
      </c>
      <c r="C30" s="1" t="str">
        <f t="shared" si="0"/>
        <v>RB_9-23_WQ</v>
      </c>
      <c r="D30" s="10">
        <v>45196</v>
      </c>
      <c r="E30" s="11">
        <v>0.62916666666666665</v>
      </c>
      <c r="F30" s="1">
        <v>29.484999999999999</v>
      </c>
      <c r="G30" s="1">
        <v>111.3</v>
      </c>
      <c r="H30" s="1">
        <v>6.97</v>
      </c>
      <c r="I30" s="1">
        <v>35.770000000000003</v>
      </c>
      <c r="J30" s="1">
        <v>8.2100000000000009</v>
      </c>
      <c r="K30" s="1">
        <v>1.9</v>
      </c>
      <c r="L30" s="1">
        <v>14.37</v>
      </c>
      <c r="M30" s="1">
        <v>43.15</v>
      </c>
    </row>
    <row r="31" spans="1:13" ht="14.5" x14ac:dyDescent="0.35">
      <c r="A31" s="1" t="s">
        <v>45</v>
      </c>
      <c r="B31" s="2" t="s">
        <v>15</v>
      </c>
      <c r="C31" s="1" t="str">
        <f t="shared" si="0"/>
        <v>TSM1_9-23_WQ</v>
      </c>
      <c r="D31" s="10">
        <v>45199</v>
      </c>
      <c r="E31" s="11">
        <v>0.44444444444444442</v>
      </c>
    </row>
    <row r="32" spans="1:13" ht="14.5" x14ac:dyDescent="0.35">
      <c r="A32" s="1" t="s">
        <v>46</v>
      </c>
      <c r="B32" s="2" t="s">
        <v>15</v>
      </c>
      <c r="C32" s="1" t="str">
        <f t="shared" si="0"/>
        <v>TSM3_9-23_WQ</v>
      </c>
      <c r="D32" s="10">
        <v>45199</v>
      </c>
      <c r="E32" s="11">
        <v>0.39930555555555558</v>
      </c>
    </row>
    <row r="33" spans="1:13" ht="14.5" x14ac:dyDescent="0.35">
      <c r="A33" s="1" t="s">
        <v>47</v>
      </c>
      <c r="B33" s="2" t="s">
        <v>15</v>
      </c>
      <c r="C33" s="1" t="str">
        <f t="shared" si="0"/>
        <v>TSM4_9-23_WQ</v>
      </c>
      <c r="D33" s="10">
        <v>45199</v>
      </c>
      <c r="E33" s="11">
        <v>0.38194444444444442</v>
      </c>
    </row>
    <row r="34" spans="1:13" ht="14.5" x14ac:dyDescent="0.35">
      <c r="A34" s="1" t="s">
        <v>48</v>
      </c>
      <c r="B34" s="2" t="s">
        <v>15</v>
      </c>
      <c r="C34" s="1" t="str">
        <f t="shared" ref="C34:C65" si="1">A34&amp;"_"&amp;B34&amp;"_"&amp;"WQ"</f>
        <v>SBT1_9-23_WQ</v>
      </c>
      <c r="D34" s="10">
        <v>45199</v>
      </c>
      <c r="E34" s="11">
        <v>0.34375</v>
      </c>
      <c r="I34" s="1">
        <v>28.3</v>
      </c>
    </row>
    <row r="35" spans="1:13" ht="14.5" x14ac:dyDescent="0.35">
      <c r="A35" s="1" t="s">
        <v>49</v>
      </c>
      <c r="B35" s="2" t="s">
        <v>15</v>
      </c>
      <c r="C35" s="1" t="str">
        <f t="shared" si="1"/>
        <v>SBT2_9-23_WQ</v>
      </c>
      <c r="D35" s="10">
        <v>45204</v>
      </c>
      <c r="E35" s="11">
        <v>0.37847222222222221</v>
      </c>
      <c r="F35" s="1">
        <v>28.196999999999999</v>
      </c>
      <c r="G35" s="1">
        <v>72.599999999999994</v>
      </c>
      <c r="H35" s="1">
        <v>4.5999999999999996</v>
      </c>
      <c r="I35" s="1">
        <v>36.89</v>
      </c>
      <c r="J35" s="1">
        <v>8.0399999999999991</v>
      </c>
      <c r="K35" s="1">
        <v>7.5</v>
      </c>
      <c r="L35" s="1">
        <v>11.51</v>
      </c>
      <c r="M35" s="1">
        <v>34.479999999999997</v>
      </c>
    </row>
    <row r="36" spans="1:13" ht="14.5" x14ac:dyDescent="0.35">
      <c r="A36" s="1" t="s">
        <v>52</v>
      </c>
      <c r="B36" s="2" t="s">
        <v>15</v>
      </c>
      <c r="C36" s="1" t="str">
        <f t="shared" si="1"/>
        <v>WB1_9-23_WQ</v>
      </c>
      <c r="D36" s="10">
        <v>45204</v>
      </c>
      <c r="E36" s="11">
        <v>0.42777777777777776</v>
      </c>
      <c r="F36" s="1">
        <v>28.192</v>
      </c>
      <c r="G36" s="1">
        <v>85.6</v>
      </c>
      <c r="H36" s="1">
        <v>5.48</v>
      </c>
      <c r="I36" s="1">
        <v>35.619999999999997</v>
      </c>
      <c r="J36" s="1">
        <v>8.0399999999999991</v>
      </c>
      <c r="K36" s="1">
        <v>1.56</v>
      </c>
      <c r="L36" s="1">
        <v>12.05</v>
      </c>
      <c r="M36" s="1">
        <v>36.14</v>
      </c>
    </row>
    <row r="37" spans="1:13" ht="14.5" x14ac:dyDescent="0.35">
      <c r="A37" s="1" t="s">
        <v>53</v>
      </c>
      <c r="B37" s="2" t="s">
        <v>15</v>
      </c>
      <c r="C37" s="1" t="str">
        <f t="shared" si="1"/>
        <v>WB2_9-23_WQ</v>
      </c>
      <c r="D37" s="10">
        <v>45204</v>
      </c>
      <c r="E37" s="11">
        <v>0.4513888888888889</v>
      </c>
      <c r="F37" s="1">
        <v>28.382000000000001</v>
      </c>
      <c r="G37" s="1">
        <v>104.8</v>
      </c>
      <c r="H37" s="1">
        <v>6.62</v>
      </c>
      <c r="I37" s="1">
        <v>37.409999999999997</v>
      </c>
      <c r="J37" s="1">
        <v>8.24</v>
      </c>
      <c r="K37" s="1">
        <v>0.98</v>
      </c>
      <c r="L37" s="1">
        <v>8.9499999999999993</v>
      </c>
      <c r="M37" s="1">
        <v>26.89</v>
      </c>
    </row>
    <row r="38" spans="1:13" ht="14.5" x14ac:dyDescent="0.35">
      <c r="A38" s="1" t="s">
        <v>54</v>
      </c>
      <c r="B38" s="2" t="s">
        <v>15</v>
      </c>
      <c r="C38" s="1" t="str">
        <f t="shared" si="1"/>
        <v>TKB_9-23_WQ</v>
      </c>
      <c r="D38" s="10">
        <v>45204</v>
      </c>
      <c r="E38" s="11">
        <v>0.5</v>
      </c>
      <c r="F38" s="1">
        <v>28.866</v>
      </c>
      <c r="G38" s="1">
        <v>104.5</v>
      </c>
      <c r="H38" s="1">
        <v>6.53</v>
      </c>
      <c r="I38" s="1">
        <v>38.15</v>
      </c>
      <c r="J38" s="1">
        <v>8.3000000000000007</v>
      </c>
      <c r="K38" s="1">
        <v>0.24</v>
      </c>
      <c r="L38" s="1">
        <v>6.84</v>
      </c>
      <c r="M38" s="1">
        <v>20.57</v>
      </c>
    </row>
    <row r="39" spans="1:13" ht="14.5" x14ac:dyDescent="0.35">
      <c r="A39" s="1" t="s">
        <v>55</v>
      </c>
      <c r="B39" s="2" t="s">
        <v>15</v>
      </c>
      <c r="C39" s="1" t="str">
        <f t="shared" si="1"/>
        <v>JB_9-23_WQ</v>
      </c>
      <c r="D39" s="10">
        <v>45204</v>
      </c>
      <c r="E39" s="11">
        <v>0.55625000000000002</v>
      </c>
      <c r="F39" s="1">
        <v>28.937000000000001</v>
      </c>
      <c r="G39" s="1">
        <v>115.4</v>
      </c>
      <c r="H39" s="1">
        <v>7.24</v>
      </c>
      <c r="I39" s="1">
        <v>37.19</v>
      </c>
      <c r="J39" s="1">
        <v>8.56</v>
      </c>
      <c r="K39" s="1">
        <v>0</v>
      </c>
      <c r="L39" s="1">
        <v>6.44</v>
      </c>
      <c r="M39" s="1">
        <v>19.32</v>
      </c>
    </row>
    <row r="40" spans="1:13" ht="14.5" x14ac:dyDescent="0.35">
      <c r="A40" s="1" t="s">
        <v>56</v>
      </c>
      <c r="B40" s="2" t="s">
        <v>15</v>
      </c>
      <c r="C40" s="1" t="str">
        <f t="shared" si="1"/>
        <v>CC_9-23_WQ</v>
      </c>
      <c r="D40" s="10">
        <v>45204</v>
      </c>
      <c r="E40" s="11">
        <v>0.60069444444444442</v>
      </c>
      <c r="F40" s="1">
        <v>29.215</v>
      </c>
      <c r="G40" s="1">
        <v>109.7</v>
      </c>
      <c r="H40" s="1">
        <v>6.84</v>
      </c>
      <c r="I40" s="1">
        <v>37.15</v>
      </c>
      <c r="J40" s="1">
        <v>8.16</v>
      </c>
      <c r="K40" s="1">
        <v>6.37</v>
      </c>
      <c r="L40" s="1">
        <v>4.21</v>
      </c>
      <c r="M40" s="1">
        <v>12.65</v>
      </c>
    </row>
    <row r="41" spans="1:13" ht="14.5" x14ac:dyDescent="0.35">
      <c r="A41" s="1" t="s">
        <v>46</v>
      </c>
      <c r="B41" s="2" t="s">
        <v>110</v>
      </c>
      <c r="C41" s="1" t="str">
        <f t="shared" si="1"/>
        <v>TSM3_1123E_WQ</v>
      </c>
      <c r="D41" s="10">
        <v>45258</v>
      </c>
      <c r="E41" s="11">
        <v>0.55069444444444449</v>
      </c>
      <c r="F41" s="1">
        <v>25.1</v>
      </c>
      <c r="G41" s="1">
        <v>75</v>
      </c>
      <c r="H41" s="1">
        <v>6.3</v>
      </c>
      <c r="I41" s="1">
        <v>0.2</v>
      </c>
    </row>
    <row r="42" spans="1:13" ht="14.5" x14ac:dyDescent="0.35">
      <c r="A42" s="1" t="s">
        <v>47</v>
      </c>
      <c r="B42" s="2" t="s">
        <v>110</v>
      </c>
      <c r="C42" s="1" t="str">
        <f t="shared" si="1"/>
        <v>TSM4_1123E_WQ</v>
      </c>
      <c r="D42" s="10">
        <v>45258</v>
      </c>
      <c r="E42" s="11">
        <v>0.53819444444444442</v>
      </c>
      <c r="F42" s="1">
        <v>24.4</v>
      </c>
      <c r="G42" s="1">
        <v>55</v>
      </c>
      <c r="H42" s="1">
        <v>4.7</v>
      </c>
      <c r="I42" s="1">
        <v>0.2</v>
      </c>
    </row>
    <row r="43" spans="1:13" ht="14.5" x14ac:dyDescent="0.35">
      <c r="A43" s="1" t="s">
        <v>48</v>
      </c>
      <c r="B43" s="2" t="s">
        <v>110</v>
      </c>
      <c r="C43" s="1" t="str">
        <f t="shared" si="1"/>
        <v>SBT1_1123E_WQ</v>
      </c>
      <c r="D43" s="10">
        <v>45258</v>
      </c>
      <c r="E43" s="11">
        <v>0.50763888888888886</v>
      </c>
      <c r="F43" s="1">
        <v>23.5</v>
      </c>
      <c r="G43" s="1">
        <v>11</v>
      </c>
      <c r="H43" s="1">
        <v>1.04</v>
      </c>
      <c r="I43" s="1">
        <v>10.5</v>
      </c>
    </row>
    <row r="44" spans="1:13" ht="14.5" x14ac:dyDescent="0.35">
      <c r="A44" s="1" t="s">
        <v>24</v>
      </c>
      <c r="B44" s="2" t="s">
        <v>110</v>
      </c>
      <c r="C44" s="1" t="str">
        <f t="shared" si="1"/>
        <v>ACS1_1123E_WQ</v>
      </c>
      <c r="D44" s="10">
        <v>45258</v>
      </c>
      <c r="E44" s="11">
        <v>0.44513888888888886</v>
      </c>
      <c r="F44" s="1">
        <v>25.2</v>
      </c>
      <c r="G44" s="1">
        <v>97</v>
      </c>
      <c r="H44" s="1">
        <v>7.6</v>
      </c>
      <c r="I44" s="1">
        <v>10</v>
      </c>
    </row>
    <row r="45" spans="1:13" ht="14.5" x14ac:dyDescent="0.35">
      <c r="A45" s="1" t="s">
        <v>30</v>
      </c>
      <c r="B45" s="2" t="s">
        <v>110</v>
      </c>
      <c r="C45" s="1" t="str">
        <f t="shared" si="1"/>
        <v>DC1_1123E_WQ</v>
      </c>
      <c r="D45" s="10">
        <v>45258</v>
      </c>
      <c r="E45" s="11">
        <v>0.36388888888888887</v>
      </c>
      <c r="F45" s="1">
        <v>20.2</v>
      </c>
      <c r="G45" s="1">
        <v>9</v>
      </c>
      <c r="H45" s="1">
        <v>0.8</v>
      </c>
      <c r="I45" s="1">
        <v>14.4</v>
      </c>
    </row>
    <row r="46" spans="1:13" ht="14.5" x14ac:dyDescent="0.35">
      <c r="A46" s="1" t="s">
        <v>31</v>
      </c>
      <c r="B46" s="2" t="s">
        <v>110</v>
      </c>
      <c r="C46" s="1" t="str">
        <f t="shared" si="1"/>
        <v>DCM1_1123E_WQ</v>
      </c>
      <c r="D46" s="10">
        <v>45258</v>
      </c>
      <c r="E46" s="11">
        <v>0.37291666666666667</v>
      </c>
      <c r="F46" s="1">
        <v>20</v>
      </c>
      <c r="G46" s="1">
        <v>55</v>
      </c>
      <c r="H46" s="1">
        <v>4.7</v>
      </c>
      <c r="I46" s="1">
        <v>13.6</v>
      </c>
    </row>
    <row r="47" spans="1:13" ht="14.5" x14ac:dyDescent="0.35">
      <c r="A47" s="1" t="s">
        <v>34</v>
      </c>
      <c r="B47" s="2" t="s">
        <v>110</v>
      </c>
      <c r="C47" s="1" t="str">
        <f t="shared" si="1"/>
        <v>GB1_1123E_WQ</v>
      </c>
      <c r="D47" s="10">
        <v>45258</v>
      </c>
      <c r="E47" s="11">
        <v>0.34027777777777779</v>
      </c>
      <c r="F47" s="1">
        <v>23.2</v>
      </c>
      <c r="G47" s="1">
        <v>64</v>
      </c>
      <c r="H47" s="1">
        <v>5</v>
      </c>
      <c r="I47" s="1">
        <v>16.899999999999999</v>
      </c>
    </row>
    <row r="48" spans="1:13" ht="14.5" x14ac:dyDescent="0.35">
      <c r="A48" s="1" t="s">
        <v>14</v>
      </c>
      <c r="B48" s="1" t="s">
        <v>57</v>
      </c>
      <c r="C48" s="1" t="str">
        <f t="shared" si="1"/>
        <v>P37_11_23_WQ</v>
      </c>
      <c r="D48" s="10">
        <v>45259</v>
      </c>
      <c r="E48" s="11">
        <v>0.40416666666666667</v>
      </c>
    </row>
    <row r="49" spans="1:9" ht="14.5" x14ac:dyDescent="0.35">
      <c r="A49" s="1" t="s">
        <v>19</v>
      </c>
      <c r="B49" s="1" t="s">
        <v>57</v>
      </c>
      <c r="C49" s="1" t="str">
        <f t="shared" si="1"/>
        <v>NCL_11_23_WQ</v>
      </c>
      <c r="D49" s="10">
        <v>45259</v>
      </c>
      <c r="E49" s="11">
        <v>0.44791666666666669</v>
      </c>
    </row>
    <row r="50" spans="1:9" ht="14.5" x14ac:dyDescent="0.35">
      <c r="A50" s="1" t="s">
        <v>20</v>
      </c>
      <c r="B50" s="1" t="s">
        <v>57</v>
      </c>
      <c r="C50" s="1" t="str">
        <f t="shared" si="1"/>
        <v>CP_11_23_WQ</v>
      </c>
      <c r="D50" s="10">
        <v>45259</v>
      </c>
      <c r="E50" s="11">
        <v>0.48472222222222222</v>
      </c>
    </row>
    <row r="51" spans="1:9" ht="14.5" x14ac:dyDescent="0.35">
      <c r="A51" s="1" t="s">
        <v>21</v>
      </c>
      <c r="B51" s="1" t="s">
        <v>57</v>
      </c>
      <c r="C51" s="1" t="str">
        <f t="shared" si="1"/>
        <v>EP146_11_23_WQ</v>
      </c>
      <c r="D51" s="10">
        <v>45259</v>
      </c>
      <c r="E51" s="11">
        <v>0.53611111111111109</v>
      </c>
    </row>
    <row r="52" spans="1:9" ht="14.5" x14ac:dyDescent="0.35">
      <c r="A52" s="1" t="s">
        <v>22</v>
      </c>
      <c r="B52" s="1" t="s">
        <v>57</v>
      </c>
      <c r="C52" s="1" t="str">
        <f t="shared" si="1"/>
        <v>OL_11_23_WQ</v>
      </c>
      <c r="D52" s="10">
        <v>45259</v>
      </c>
      <c r="E52" s="11">
        <v>0.56388888888888888</v>
      </c>
    </row>
    <row r="53" spans="1:9" ht="14.5" x14ac:dyDescent="0.35">
      <c r="A53" s="1" t="s">
        <v>58</v>
      </c>
      <c r="B53" s="1" t="s">
        <v>57</v>
      </c>
      <c r="C53" s="1" t="str">
        <f t="shared" si="1"/>
        <v>TSH_11_23_WQ</v>
      </c>
      <c r="D53" s="10">
        <v>45259</v>
      </c>
      <c r="E53" s="11">
        <v>0.59166666666666667</v>
      </c>
    </row>
    <row r="54" spans="1:9" ht="14.5" x14ac:dyDescent="0.35">
      <c r="A54" s="1" t="s">
        <v>23</v>
      </c>
      <c r="B54" s="1" t="s">
        <v>57</v>
      </c>
      <c r="C54" s="1" t="str">
        <f t="shared" si="1"/>
        <v>R127_11_23_WQ</v>
      </c>
      <c r="D54" s="10">
        <v>45259</v>
      </c>
      <c r="E54" s="11">
        <v>0.6166666666666667</v>
      </c>
    </row>
    <row r="55" spans="1:9" ht="14.5" x14ac:dyDescent="0.35">
      <c r="A55" s="1" t="s">
        <v>49</v>
      </c>
      <c r="B55" s="2" t="s">
        <v>110</v>
      </c>
      <c r="C55" s="1" t="str">
        <f t="shared" si="1"/>
        <v>SBT2_1123E_WQ</v>
      </c>
      <c r="D55" s="10">
        <v>45260</v>
      </c>
      <c r="E55" s="11">
        <v>0.43611111111111112</v>
      </c>
      <c r="F55" s="1">
        <v>20.9</v>
      </c>
      <c r="G55" s="1">
        <v>136</v>
      </c>
      <c r="H55" s="1">
        <v>9.3000000000000007</v>
      </c>
      <c r="I55" s="1">
        <v>34.5</v>
      </c>
    </row>
    <row r="56" spans="1:9" ht="14.5" x14ac:dyDescent="0.35">
      <c r="A56" s="1" t="s">
        <v>35</v>
      </c>
      <c r="B56" s="2" t="s">
        <v>110</v>
      </c>
      <c r="C56" s="1" t="str">
        <f t="shared" si="1"/>
        <v>MCS1_1123E_WQ</v>
      </c>
      <c r="D56" s="10">
        <v>45260</v>
      </c>
      <c r="E56" s="11">
        <v>0.62638888888888888</v>
      </c>
      <c r="F56" s="1">
        <v>22.8</v>
      </c>
      <c r="G56" s="1">
        <v>99</v>
      </c>
      <c r="H56" s="1">
        <v>8.3000000000000007</v>
      </c>
      <c r="I56" s="1">
        <v>5</v>
      </c>
    </row>
    <row r="57" spans="1:9" ht="14.5" x14ac:dyDescent="0.35">
      <c r="A57" s="1" t="s">
        <v>41</v>
      </c>
      <c r="B57" s="2" t="s">
        <v>110</v>
      </c>
      <c r="C57" s="1" t="str">
        <f t="shared" si="1"/>
        <v>TB1_1123E_WQ</v>
      </c>
      <c r="D57" s="10">
        <v>45260</v>
      </c>
      <c r="E57" s="11">
        <v>0.59305555555555556</v>
      </c>
      <c r="F57" s="1">
        <v>22.8</v>
      </c>
      <c r="G57" s="1">
        <v>98</v>
      </c>
      <c r="H57" s="1">
        <v>8.1</v>
      </c>
      <c r="I57" s="1">
        <v>8.6</v>
      </c>
    </row>
    <row r="58" spans="1:9" ht="14.5" x14ac:dyDescent="0.35">
      <c r="A58" s="1" t="s">
        <v>42</v>
      </c>
      <c r="B58" s="2" t="s">
        <v>110</v>
      </c>
      <c r="C58" s="1" t="str">
        <f t="shared" si="1"/>
        <v>TB2_1123E_WQ</v>
      </c>
      <c r="D58" s="10">
        <v>45260</v>
      </c>
      <c r="E58" s="11">
        <v>0.57777777777777772</v>
      </c>
      <c r="F58" s="1">
        <v>22.5</v>
      </c>
      <c r="G58" s="1">
        <v>98</v>
      </c>
      <c r="H58" s="1">
        <v>7.6</v>
      </c>
      <c r="I58" s="1">
        <v>22.1</v>
      </c>
    </row>
    <row r="59" spans="1:9" ht="14.5" x14ac:dyDescent="0.35">
      <c r="A59" s="1" t="s">
        <v>43</v>
      </c>
      <c r="B59" s="2" t="s">
        <v>110</v>
      </c>
      <c r="C59" s="1" t="str">
        <f t="shared" si="1"/>
        <v>GB2_1123E_WQ</v>
      </c>
      <c r="D59" s="10">
        <v>45260</v>
      </c>
      <c r="E59" s="11">
        <v>0.37847222222222221</v>
      </c>
      <c r="F59" s="1">
        <v>19.899999999999999</v>
      </c>
      <c r="G59" s="1">
        <v>89</v>
      </c>
      <c r="H59" s="1">
        <v>7.2</v>
      </c>
      <c r="I59" s="1">
        <v>21.7</v>
      </c>
    </row>
    <row r="60" spans="1:9" ht="14.5" x14ac:dyDescent="0.35">
      <c r="A60" s="1" t="s">
        <v>44</v>
      </c>
      <c r="B60" s="2" t="s">
        <v>110</v>
      </c>
      <c r="C60" s="1" t="str">
        <f t="shared" si="1"/>
        <v>RB_1123E_WQ</v>
      </c>
      <c r="D60" s="10">
        <v>45260</v>
      </c>
      <c r="E60" s="11">
        <v>0.36249999999999999</v>
      </c>
      <c r="F60" s="1">
        <v>20.5</v>
      </c>
      <c r="G60" s="1">
        <v>77</v>
      </c>
      <c r="H60" s="1">
        <v>6</v>
      </c>
      <c r="I60" s="1">
        <v>29.2</v>
      </c>
    </row>
    <row r="61" spans="1:9" ht="14.5" x14ac:dyDescent="0.35">
      <c r="A61" s="1" t="s">
        <v>52</v>
      </c>
      <c r="B61" s="2" t="s">
        <v>110</v>
      </c>
      <c r="C61" s="1" t="str">
        <f t="shared" si="1"/>
        <v>WB1_1123E_WQ</v>
      </c>
      <c r="D61" s="10">
        <v>45260</v>
      </c>
      <c r="E61" s="11">
        <v>0.55694444444444446</v>
      </c>
      <c r="F61" s="1">
        <v>22.2</v>
      </c>
      <c r="G61" s="1">
        <v>95</v>
      </c>
      <c r="H61" s="1">
        <v>7.2</v>
      </c>
      <c r="I61" s="1">
        <v>26.2</v>
      </c>
    </row>
    <row r="62" spans="1:9" ht="14.5" x14ac:dyDescent="0.35">
      <c r="A62" s="1" t="s">
        <v>54</v>
      </c>
      <c r="B62" s="2" t="s">
        <v>110</v>
      </c>
      <c r="C62" s="1" t="str">
        <f t="shared" si="1"/>
        <v>TKB_1123E_WQ</v>
      </c>
      <c r="D62" s="10">
        <v>45260</v>
      </c>
      <c r="E62" s="11">
        <v>0.52916666666666667</v>
      </c>
      <c r="F62" s="1">
        <v>22.6</v>
      </c>
      <c r="G62" s="1">
        <v>101</v>
      </c>
      <c r="H62" s="1">
        <v>7.4</v>
      </c>
      <c r="I62" s="1">
        <v>30</v>
      </c>
    </row>
    <row r="63" spans="1:9" ht="14.5" x14ac:dyDescent="0.35">
      <c r="A63" s="1" t="s">
        <v>55</v>
      </c>
      <c r="B63" s="2" t="s">
        <v>110</v>
      </c>
      <c r="C63" s="1" t="str">
        <f t="shared" si="1"/>
        <v>JB_1123E_WQ</v>
      </c>
      <c r="D63" s="10">
        <v>45260</v>
      </c>
      <c r="E63" s="11">
        <v>0.47361111111111109</v>
      </c>
      <c r="F63" s="1">
        <v>20.9</v>
      </c>
      <c r="G63" s="1">
        <v>106</v>
      </c>
      <c r="H63" s="1">
        <v>7.7</v>
      </c>
      <c r="I63" s="1">
        <v>35.9</v>
      </c>
    </row>
    <row r="64" spans="1:9" ht="14.5" x14ac:dyDescent="0.35">
      <c r="A64" s="1" t="s">
        <v>49</v>
      </c>
      <c r="B64" s="2" t="s">
        <v>61</v>
      </c>
      <c r="C64" s="1" t="str">
        <f t="shared" si="1"/>
        <v>SBT2_1-24_WQ</v>
      </c>
      <c r="D64" s="10">
        <v>45297</v>
      </c>
      <c r="E64" s="11">
        <v>0.4236111111111111</v>
      </c>
      <c r="F64" s="1">
        <v>21.7</v>
      </c>
      <c r="G64" s="1">
        <v>59</v>
      </c>
      <c r="H64" s="1">
        <v>4.3</v>
      </c>
      <c r="I64" s="1">
        <v>31.2</v>
      </c>
    </row>
    <row r="65" spans="1:9" ht="14.5" x14ac:dyDescent="0.35">
      <c r="A65" s="1" t="s">
        <v>43</v>
      </c>
      <c r="B65" s="2" t="s">
        <v>61</v>
      </c>
      <c r="C65" s="1" t="str">
        <f t="shared" si="1"/>
        <v>GB2_1-24_WQ</v>
      </c>
      <c r="D65" s="10">
        <v>45297</v>
      </c>
      <c r="E65" s="11">
        <v>0.40625</v>
      </c>
      <c r="F65" s="1">
        <v>21.7</v>
      </c>
      <c r="G65" s="1">
        <v>92</v>
      </c>
      <c r="H65" s="1">
        <v>7</v>
      </c>
      <c r="I65" s="1">
        <v>24.6</v>
      </c>
    </row>
    <row r="66" spans="1:9" ht="14.5" x14ac:dyDescent="0.35">
      <c r="A66" s="1" t="s">
        <v>44</v>
      </c>
      <c r="B66" s="2" t="s">
        <v>61</v>
      </c>
      <c r="C66" s="1" t="str">
        <f t="shared" ref="C66:C97" si="2">A66&amp;"_"&amp;B66&amp;"_"&amp;"WQ"</f>
        <v>RB_1-24_WQ</v>
      </c>
      <c r="D66" s="10">
        <v>45297</v>
      </c>
      <c r="E66" s="11">
        <v>0.37013888888888891</v>
      </c>
      <c r="F66" s="1">
        <v>21.1</v>
      </c>
      <c r="G66" s="1">
        <v>87</v>
      </c>
      <c r="H66" s="1">
        <v>6.7</v>
      </c>
      <c r="I66" s="1">
        <v>26.4</v>
      </c>
    </row>
    <row r="67" spans="1:9" ht="14.5" x14ac:dyDescent="0.35">
      <c r="A67" s="1" t="s">
        <v>54</v>
      </c>
      <c r="B67" s="2" t="s">
        <v>61</v>
      </c>
      <c r="C67" s="1" t="str">
        <f t="shared" si="2"/>
        <v>TKB_1-24_WQ</v>
      </c>
      <c r="D67" s="10">
        <v>45297</v>
      </c>
      <c r="E67" s="11">
        <v>0.65833333333333333</v>
      </c>
      <c r="F67" s="1">
        <v>21.9</v>
      </c>
      <c r="G67" s="1">
        <v>115</v>
      </c>
      <c r="H67" s="1">
        <v>8.6999999999999993</v>
      </c>
      <c r="I67" s="1">
        <v>26.1</v>
      </c>
    </row>
    <row r="68" spans="1:9" ht="14.5" x14ac:dyDescent="0.35">
      <c r="A68" s="1" t="s">
        <v>55</v>
      </c>
      <c r="B68" s="2" t="s">
        <v>61</v>
      </c>
      <c r="C68" s="1" t="str">
        <f t="shared" si="2"/>
        <v>JB_1-24_WQ</v>
      </c>
      <c r="D68" s="10">
        <v>45297</v>
      </c>
      <c r="E68" s="11">
        <v>0.59513888888888888</v>
      </c>
      <c r="F68" s="1">
        <v>22.1</v>
      </c>
      <c r="G68" s="1">
        <v>108</v>
      </c>
      <c r="H68" s="1">
        <v>7.8</v>
      </c>
      <c r="I68" s="1">
        <v>33.1</v>
      </c>
    </row>
    <row r="69" spans="1:9" ht="14.5" x14ac:dyDescent="0.35">
      <c r="A69" s="1" t="s">
        <v>56</v>
      </c>
      <c r="B69" s="2" t="s">
        <v>61</v>
      </c>
      <c r="C69" s="1" t="str">
        <f t="shared" si="2"/>
        <v>CC_1-24_WQ</v>
      </c>
      <c r="D69" s="10">
        <v>45297</v>
      </c>
      <c r="E69" s="11">
        <v>0.4826388888888889</v>
      </c>
      <c r="F69" s="1">
        <v>20.8</v>
      </c>
      <c r="G69" s="1">
        <v>94</v>
      </c>
      <c r="H69" s="1">
        <v>7.1</v>
      </c>
      <c r="I69" s="1">
        <v>29.6</v>
      </c>
    </row>
    <row r="70" spans="1:9" ht="14.5" x14ac:dyDescent="0.35">
      <c r="A70" s="1" t="s">
        <v>35</v>
      </c>
      <c r="B70" s="2" t="s">
        <v>61</v>
      </c>
      <c r="C70" s="1" t="str">
        <f t="shared" si="2"/>
        <v>MCS1_1-24_WQ</v>
      </c>
      <c r="D70" s="10">
        <v>45298</v>
      </c>
      <c r="E70" s="11">
        <v>0.38819444444444445</v>
      </c>
      <c r="F70" s="1">
        <v>22</v>
      </c>
      <c r="G70" s="1">
        <v>94</v>
      </c>
      <c r="H70" s="1">
        <v>8</v>
      </c>
      <c r="I70" s="1">
        <v>3.2</v>
      </c>
    </row>
    <row r="71" spans="1:9" ht="14.5" x14ac:dyDescent="0.35">
      <c r="A71" s="1" t="s">
        <v>36</v>
      </c>
      <c r="B71" s="2" t="s">
        <v>61</v>
      </c>
      <c r="C71" s="1" t="str">
        <f t="shared" si="2"/>
        <v>MCS2_1-24_WQ</v>
      </c>
      <c r="D71" s="10">
        <v>45298</v>
      </c>
      <c r="E71" s="11">
        <v>0.40347222222222223</v>
      </c>
      <c r="F71" s="1">
        <v>22.2</v>
      </c>
      <c r="G71" s="1">
        <v>95</v>
      </c>
      <c r="H71" s="1">
        <v>8</v>
      </c>
      <c r="I71" s="1">
        <v>3.4</v>
      </c>
    </row>
    <row r="72" spans="1:9" ht="14.5" x14ac:dyDescent="0.35">
      <c r="A72" s="1" t="s">
        <v>37</v>
      </c>
      <c r="B72" s="2" t="s">
        <v>61</v>
      </c>
      <c r="C72" s="1" t="str">
        <f t="shared" si="2"/>
        <v>MCS3_1-24_WQ</v>
      </c>
      <c r="D72" s="10">
        <v>45298</v>
      </c>
      <c r="E72" s="11">
        <v>0.41875000000000001</v>
      </c>
      <c r="F72" s="1">
        <v>22.4</v>
      </c>
      <c r="G72" s="1">
        <v>108</v>
      </c>
      <c r="H72" s="1">
        <v>9</v>
      </c>
      <c r="I72" s="1">
        <v>5.7</v>
      </c>
    </row>
    <row r="73" spans="1:9" ht="14.5" x14ac:dyDescent="0.35">
      <c r="A73" s="1" t="s">
        <v>38</v>
      </c>
      <c r="B73" s="2" t="s">
        <v>61</v>
      </c>
      <c r="C73" s="1" t="str">
        <f t="shared" si="2"/>
        <v>MCS4_1-24_WQ</v>
      </c>
      <c r="D73" s="10">
        <v>45298</v>
      </c>
      <c r="E73" s="11">
        <v>0.43888888888888888</v>
      </c>
      <c r="F73" s="1">
        <v>22.6</v>
      </c>
      <c r="G73" s="1">
        <v>99</v>
      </c>
      <c r="H73" s="1">
        <v>8.1999999999999993</v>
      </c>
      <c r="I73" s="1">
        <v>5.7</v>
      </c>
    </row>
    <row r="74" spans="1:9" ht="14.5" x14ac:dyDescent="0.35">
      <c r="A74" s="1" t="s">
        <v>39</v>
      </c>
      <c r="B74" s="2" t="s">
        <v>61</v>
      </c>
      <c r="C74" s="1" t="str">
        <f t="shared" si="2"/>
        <v>TBHM_1-24_WQ</v>
      </c>
      <c r="D74" s="10">
        <v>45298</v>
      </c>
      <c r="E74" s="11">
        <v>0.45208333333333334</v>
      </c>
      <c r="F74" s="1">
        <v>21.9</v>
      </c>
      <c r="G74" s="1">
        <v>37</v>
      </c>
      <c r="H74" s="1">
        <v>3.1</v>
      </c>
      <c r="I74" s="1">
        <v>5.6</v>
      </c>
    </row>
    <row r="75" spans="1:9" ht="14.5" x14ac:dyDescent="0.35">
      <c r="A75" s="1" t="s">
        <v>51</v>
      </c>
      <c r="B75" s="2" t="s">
        <v>61</v>
      </c>
      <c r="C75" s="1" t="str">
        <f t="shared" si="2"/>
        <v>TBC_1-24_WQ</v>
      </c>
      <c r="D75" s="10">
        <v>45298</v>
      </c>
      <c r="E75" s="11">
        <v>0.48888888888888887</v>
      </c>
      <c r="F75" s="1">
        <v>23.4</v>
      </c>
      <c r="G75" s="1">
        <v>55</v>
      </c>
      <c r="H75" s="1">
        <v>4.5</v>
      </c>
      <c r="I75" s="1">
        <v>7.7</v>
      </c>
    </row>
    <row r="76" spans="1:9" ht="14.5" x14ac:dyDescent="0.35">
      <c r="A76" s="1" t="s">
        <v>40</v>
      </c>
      <c r="B76" s="2" t="s">
        <v>61</v>
      </c>
      <c r="C76" s="1" t="str">
        <f t="shared" si="2"/>
        <v>TBCM_1-24_WQ</v>
      </c>
      <c r="D76" s="10">
        <v>45298</v>
      </c>
      <c r="E76" s="11">
        <v>0.50069444444444444</v>
      </c>
      <c r="F76" s="1">
        <v>25.4</v>
      </c>
      <c r="G76" s="1">
        <v>92</v>
      </c>
      <c r="H76" s="1">
        <v>7.1</v>
      </c>
      <c r="I76" s="1">
        <v>7.4</v>
      </c>
    </row>
    <row r="77" spans="1:9" ht="14.5" x14ac:dyDescent="0.35">
      <c r="A77" s="1" t="s">
        <v>41</v>
      </c>
      <c r="B77" s="2" t="s">
        <v>61</v>
      </c>
      <c r="C77" s="1" t="str">
        <f t="shared" si="2"/>
        <v>TB1_1-24_WQ</v>
      </c>
      <c r="D77" s="10">
        <v>45298</v>
      </c>
      <c r="E77" s="11">
        <v>0.46875</v>
      </c>
      <c r="F77" s="1">
        <v>23.2</v>
      </c>
      <c r="G77" s="1">
        <v>97</v>
      </c>
      <c r="H77" s="1">
        <v>8</v>
      </c>
      <c r="I77" s="1">
        <v>8.6</v>
      </c>
    </row>
    <row r="78" spans="1:9" ht="14.5" x14ac:dyDescent="0.35">
      <c r="A78" s="1" t="s">
        <v>42</v>
      </c>
      <c r="B78" s="2" t="s">
        <v>61</v>
      </c>
      <c r="C78" s="1" t="str">
        <f t="shared" si="2"/>
        <v>TB2_1-24_WQ</v>
      </c>
      <c r="D78" s="10">
        <v>45298</v>
      </c>
      <c r="E78" s="11">
        <v>0.5229166666666667</v>
      </c>
      <c r="F78" s="1">
        <v>22.6</v>
      </c>
      <c r="G78" s="1">
        <v>99</v>
      </c>
      <c r="H78" s="1">
        <v>7.7</v>
      </c>
      <c r="I78" s="1">
        <v>18.8</v>
      </c>
    </row>
    <row r="79" spans="1:9" ht="14.5" x14ac:dyDescent="0.35">
      <c r="A79" s="1" t="s">
        <v>52</v>
      </c>
      <c r="B79" s="2" t="s">
        <v>61</v>
      </c>
      <c r="C79" s="1" t="str">
        <f t="shared" si="2"/>
        <v>WB1_1-24_WQ</v>
      </c>
      <c r="D79" s="10">
        <v>45298</v>
      </c>
      <c r="E79" s="11">
        <v>0.55138888888888893</v>
      </c>
      <c r="F79" s="1">
        <v>22.4</v>
      </c>
      <c r="G79" s="1">
        <v>105</v>
      </c>
      <c r="H79" s="1">
        <v>8</v>
      </c>
      <c r="I79" s="1">
        <v>23.5</v>
      </c>
    </row>
    <row r="80" spans="1:9" ht="14.5" x14ac:dyDescent="0.35">
      <c r="A80" s="1" t="s">
        <v>53</v>
      </c>
      <c r="B80" s="2" t="s">
        <v>61</v>
      </c>
      <c r="C80" s="1" t="str">
        <f t="shared" si="2"/>
        <v>WB2_1-24_WQ</v>
      </c>
      <c r="D80" s="10">
        <v>45298</v>
      </c>
      <c r="E80" s="11">
        <v>0.56805555555555554</v>
      </c>
      <c r="F80" s="1">
        <v>22.8</v>
      </c>
      <c r="G80" s="1">
        <v>101</v>
      </c>
      <c r="H80" s="1">
        <v>7.6</v>
      </c>
      <c r="I80" s="1">
        <v>23.4</v>
      </c>
    </row>
    <row r="81" spans="1:9" ht="14.5" x14ac:dyDescent="0.35">
      <c r="A81" s="1" t="s">
        <v>24</v>
      </c>
      <c r="B81" s="2" t="s">
        <v>61</v>
      </c>
      <c r="C81" s="1" t="str">
        <f t="shared" si="2"/>
        <v>ACS1_1-24_WQ</v>
      </c>
      <c r="D81" s="10">
        <v>45302</v>
      </c>
      <c r="E81" s="11">
        <v>0.66388888888888886</v>
      </c>
      <c r="F81" s="1">
        <v>22.2</v>
      </c>
      <c r="G81" s="1">
        <v>105</v>
      </c>
      <c r="H81" s="1">
        <v>8.6999999999999993</v>
      </c>
      <c r="I81" s="1">
        <v>8.9</v>
      </c>
    </row>
    <row r="82" spans="1:9" ht="15" customHeight="1" x14ac:dyDescent="0.35">
      <c r="A82" s="1" t="s">
        <v>25</v>
      </c>
      <c r="B82" s="2" t="s">
        <v>61</v>
      </c>
      <c r="C82" s="1" t="str">
        <f t="shared" si="2"/>
        <v>ACS2_1-24_WQ</v>
      </c>
      <c r="D82" s="10">
        <v>45302</v>
      </c>
      <c r="E82" s="11">
        <v>0.63472222222222219</v>
      </c>
      <c r="F82" s="1">
        <v>22.6</v>
      </c>
      <c r="G82" s="1">
        <v>105</v>
      </c>
      <c r="H82" s="1">
        <v>8.8000000000000007</v>
      </c>
      <c r="I82" s="1">
        <v>6.4</v>
      </c>
    </row>
    <row r="83" spans="1:9" ht="15" customHeight="1" x14ac:dyDescent="0.35">
      <c r="A83" s="1" t="s">
        <v>26</v>
      </c>
      <c r="B83" s="2" t="s">
        <v>61</v>
      </c>
      <c r="C83" s="1" t="str">
        <f t="shared" si="2"/>
        <v>ACS3_1-24_WQ</v>
      </c>
      <c r="D83" s="10">
        <v>45302</v>
      </c>
      <c r="E83" s="11">
        <v>0.61527777777777781</v>
      </c>
      <c r="F83" s="1">
        <v>22.3</v>
      </c>
      <c r="G83" s="1">
        <v>102</v>
      </c>
      <c r="H83" s="1">
        <v>8.6999999999999993</v>
      </c>
      <c r="I83" s="1">
        <v>4.2</v>
      </c>
    </row>
    <row r="84" spans="1:9" ht="15" customHeight="1" x14ac:dyDescent="0.35">
      <c r="A84" s="1" t="s">
        <v>27</v>
      </c>
      <c r="B84" s="2" t="s">
        <v>61</v>
      </c>
      <c r="C84" s="1" t="str">
        <f t="shared" si="2"/>
        <v>ACS4_1-24_WQ</v>
      </c>
      <c r="D84" s="10">
        <v>45302</v>
      </c>
      <c r="E84" s="11">
        <v>0.58611111111111114</v>
      </c>
      <c r="F84" s="1">
        <v>22.6</v>
      </c>
      <c r="G84" s="1">
        <v>104</v>
      </c>
      <c r="H84" s="1">
        <v>8.6999999999999993</v>
      </c>
      <c r="I84" s="1">
        <v>6.8</v>
      </c>
    </row>
    <row r="85" spans="1:9" ht="15" customHeight="1" x14ac:dyDescent="0.35">
      <c r="A85" s="1" t="s">
        <v>28</v>
      </c>
      <c r="B85" s="2" t="s">
        <v>61</v>
      </c>
      <c r="C85" s="1" t="str">
        <f t="shared" si="2"/>
        <v>ACS5_1-24_WQ</v>
      </c>
      <c r="D85" s="10">
        <v>45302</v>
      </c>
      <c r="E85" s="11">
        <v>0.5444444444444444</v>
      </c>
      <c r="F85" s="1">
        <v>22.4</v>
      </c>
      <c r="G85" s="1">
        <v>82</v>
      </c>
      <c r="H85" s="1">
        <v>6.8</v>
      </c>
      <c r="I85" s="1">
        <v>7</v>
      </c>
    </row>
    <row r="86" spans="1:9" ht="15" customHeight="1" x14ac:dyDescent="0.35">
      <c r="A86" s="1" t="s">
        <v>29</v>
      </c>
      <c r="B86" s="2" t="s">
        <v>61</v>
      </c>
      <c r="C86" s="1" t="str">
        <f t="shared" si="2"/>
        <v>GBHM_1-24_WQ</v>
      </c>
      <c r="D86" s="10">
        <v>45302</v>
      </c>
      <c r="E86" s="11">
        <v>0.5625</v>
      </c>
      <c r="F86" s="1">
        <v>22.1</v>
      </c>
      <c r="G86" s="1">
        <v>88</v>
      </c>
      <c r="H86" s="1">
        <v>7.2</v>
      </c>
      <c r="I86" s="1">
        <v>10.6</v>
      </c>
    </row>
    <row r="87" spans="1:9" ht="15" customHeight="1" x14ac:dyDescent="0.35">
      <c r="A87" s="1" t="s">
        <v>30</v>
      </c>
      <c r="B87" s="2" t="s">
        <v>61</v>
      </c>
      <c r="C87" s="1" t="str">
        <f t="shared" si="2"/>
        <v>DC1_1-24_WQ</v>
      </c>
      <c r="D87" s="10">
        <v>45302</v>
      </c>
      <c r="E87" s="11">
        <v>0.39583333333333331</v>
      </c>
      <c r="F87" s="1">
        <v>20.8</v>
      </c>
      <c r="G87" s="1">
        <v>57</v>
      </c>
      <c r="H87" s="1">
        <v>4.8</v>
      </c>
      <c r="I87" s="1">
        <v>8.6</v>
      </c>
    </row>
    <row r="88" spans="1:9" ht="15" customHeight="1" x14ac:dyDescent="0.35">
      <c r="A88" s="1" t="s">
        <v>31</v>
      </c>
      <c r="B88" s="2" t="s">
        <v>61</v>
      </c>
      <c r="C88" s="1" t="str">
        <f t="shared" si="2"/>
        <v>DCM1_1-24_WQ</v>
      </c>
      <c r="D88" s="10">
        <v>45302</v>
      </c>
      <c r="E88" s="11">
        <v>0.4152777777777778</v>
      </c>
      <c r="F88" s="1">
        <v>22.2</v>
      </c>
      <c r="G88" s="1">
        <v>101</v>
      </c>
      <c r="H88" s="1">
        <v>8.6</v>
      </c>
      <c r="I88" s="1">
        <v>2.6</v>
      </c>
    </row>
    <row r="89" spans="1:9" ht="15" customHeight="1" x14ac:dyDescent="0.35">
      <c r="A89" s="1" t="s">
        <v>32</v>
      </c>
      <c r="B89" s="2" t="s">
        <v>61</v>
      </c>
      <c r="C89" s="1" t="str">
        <f t="shared" si="2"/>
        <v>DC2_1-24_WQ</v>
      </c>
      <c r="D89" s="10">
        <v>45302</v>
      </c>
      <c r="E89" s="11">
        <v>0.44513888888888886</v>
      </c>
      <c r="F89" s="1">
        <v>21.1</v>
      </c>
      <c r="G89" s="1">
        <v>51</v>
      </c>
      <c r="H89" s="1">
        <v>4.3</v>
      </c>
      <c r="I89" s="1">
        <v>7.5</v>
      </c>
    </row>
    <row r="90" spans="1:9" ht="15" customHeight="1" x14ac:dyDescent="0.35">
      <c r="A90" s="1" t="s">
        <v>33</v>
      </c>
      <c r="B90" s="2" t="s">
        <v>61</v>
      </c>
      <c r="C90" s="1" t="str">
        <f t="shared" si="2"/>
        <v>DCM2_1-24_WQ</v>
      </c>
      <c r="D90" s="10">
        <v>45302</v>
      </c>
      <c r="E90" s="11">
        <v>0.4597222222222222</v>
      </c>
      <c r="F90" s="1">
        <v>22.1</v>
      </c>
      <c r="G90" s="1">
        <v>90</v>
      </c>
      <c r="H90" s="1">
        <v>7.6</v>
      </c>
      <c r="I90" s="1">
        <v>8.6</v>
      </c>
    </row>
    <row r="91" spans="1:9" ht="15" customHeight="1" x14ac:dyDescent="0.35">
      <c r="A91" s="1" t="s">
        <v>34</v>
      </c>
      <c r="B91" s="2" t="s">
        <v>61</v>
      </c>
      <c r="C91" s="1" t="str">
        <f t="shared" si="2"/>
        <v>GB1_1-24_WQ</v>
      </c>
      <c r="D91" s="10">
        <v>45302</v>
      </c>
      <c r="E91" s="11">
        <v>0.49305555555555558</v>
      </c>
      <c r="F91" s="1">
        <v>22.6</v>
      </c>
      <c r="G91" s="1">
        <v>93</v>
      </c>
      <c r="H91" s="1">
        <v>7.4</v>
      </c>
      <c r="I91" s="1">
        <v>15.1</v>
      </c>
    </row>
    <row r="92" spans="1:9" ht="15" customHeight="1" x14ac:dyDescent="0.35">
      <c r="A92" s="1" t="s">
        <v>45</v>
      </c>
      <c r="B92" s="2" t="s">
        <v>61</v>
      </c>
      <c r="C92" s="1" t="str">
        <f t="shared" si="2"/>
        <v>TSM1_1-24_WQ</v>
      </c>
      <c r="D92" s="10">
        <v>45324</v>
      </c>
      <c r="E92" s="11">
        <v>0.77083333333333337</v>
      </c>
      <c r="F92" s="1">
        <v>22.5</v>
      </c>
      <c r="G92" s="1">
        <v>78</v>
      </c>
      <c r="H92" s="1">
        <v>6.7</v>
      </c>
      <c r="I92" s="1">
        <v>0.3</v>
      </c>
    </row>
    <row r="93" spans="1:9" ht="15" customHeight="1" x14ac:dyDescent="0.35">
      <c r="A93" s="1" t="s">
        <v>46</v>
      </c>
      <c r="B93" s="2" t="s">
        <v>61</v>
      </c>
      <c r="C93" s="1" t="str">
        <f t="shared" si="2"/>
        <v>TSM3_1-24_WQ</v>
      </c>
      <c r="D93" s="10">
        <v>45324</v>
      </c>
      <c r="E93" s="11">
        <v>0.75</v>
      </c>
      <c r="F93" s="1">
        <v>21.8</v>
      </c>
      <c r="G93" s="1">
        <v>120</v>
      </c>
      <c r="H93" s="1">
        <v>10.9</v>
      </c>
      <c r="I93" s="1">
        <v>0.2</v>
      </c>
    </row>
    <row r="94" spans="1:9" ht="15" customHeight="1" x14ac:dyDescent="0.35">
      <c r="A94" s="1" t="s">
        <v>47</v>
      </c>
      <c r="B94" s="2" t="s">
        <v>61</v>
      </c>
      <c r="C94" s="1" t="str">
        <f t="shared" si="2"/>
        <v>TSM4_1-24_WQ</v>
      </c>
      <c r="D94" s="10">
        <v>45324</v>
      </c>
      <c r="E94" s="11">
        <v>0.73263888888888884</v>
      </c>
      <c r="F94" s="1">
        <v>19.899999999999999</v>
      </c>
      <c r="G94" s="1">
        <v>67</v>
      </c>
      <c r="H94" s="1">
        <v>6.2</v>
      </c>
      <c r="I94" s="1">
        <v>0.1</v>
      </c>
    </row>
    <row r="95" spans="1:9" ht="15" customHeight="1" x14ac:dyDescent="0.35">
      <c r="A95" s="1" t="s">
        <v>48</v>
      </c>
      <c r="B95" s="2" t="s">
        <v>61</v>
      </c>
      <c r="C95" s="1" t="str">
        <f t="shared" si="2"/>
        <v>SBT1_1-24_WQ</v>
      </c>
      <c r="D95" s="10">
        <v>45324</v>
      </c>
      <c r="E95" s="11">
        <v>0.69861111111111107</v>
      </c>
      <c r="F95" s="1">
        <v>22.7</v>
      </c>
      <c r="G95" s="1">
        <v>73</v>
      </c>
      <c r="H95" s="1">
        <v>6.4</v>
      </c>
      <c r="I95" s="1">
        <v>0.1</v>
      </c>
    </row>
    <row r="96" spans="1:9" ht="15" customHeight="1" x14ac:dyDescent="0.35">
      <c r="A96" s="1" t="s">
        <v>14</v>
      </c>
      <c r="B96" s="2" t="s">
        <v>62</v>
      </c>
      <c r="C96" s="1" t="str">
        <f t="shared" si="2"/>
        <v>P37_3-24_WQ</v>
      </c>
      <c r="D96" s="10">
        <v>45358</v>
      </c>
    </row>
    <row r="97" spans="1:13" ht="15" customHeight="1" x14ac:dyDescent="0.35">
      <c r="A97" s="1" t="s">
        <v>19</v>
      </c>
      <c r="B97" s="2" t="s">
        <v>62</v>
      </c>
      <c r="C97" s="1" t="str">
        <f t="shared" si="2"/>
        <v>NCL_3-24_WQ</v>
      </c>
      <c r="D97" s="10">
        <v>45358</v>
      </c>
    </row>
    <row r="98" spans="1:13" ht="15" customHeight="1" x14ac:dyDescent="0.35">
      <c r="A98" s="1" t="s">
        <v>20</v>
      </c>
      <c r="B98" s="2" t="s">
        <v>62</v>
      </c>
      <c r="C98" s="1" t="str">
        <f t="shared" ref="C98:C129" si="3">A98&amp;"_"&amp;B98&amp;"_"&amp;"WQ"</f>
        <v>CP_3-24_WQ</v>
      </c>
      <c r="D98" s="10">
        <v>45358</v>
      </c>
    </row>
    <row r="99" spans="1:13" ht="15" customHeight="1" x14ac:dyDescent="0.35">
      <c r="A99" s="1" t="s">
        <v>21</v>
      </c>
      <c r="B99" s="2" t="s">
        <v>62</v>
      </c>
      <c r="C99" s="1" t="str">
        <f t="shared" si="3"/>
        <v>EP146_3-24_WQ</v>
      </c>
      <c r="D99" s="10">
        <v>45358</v>
      </c>
    </row>
    <row r="100" spans="1:13" ht="15" customHeight="1" x14ac:dyDescent="0.35">
      <c r="A100" s="1" t="s">
        <v>22</v>
      </c>
      <c r="B100" s="2" t="s">
        <v>62</v>
      </c>
      <c r="C100" s="1" t="str">
        <f t="shared" si="3"/>
        <v>OL_3-24_WQ</v>
      </c>
      <c r="D100" s="10">
        <v>45358</v>
      </c>
    </row>
    <row r="101" spans="1:13" ht="15" customHeight="1" x14ac:dyDescent="0.35">
      <c r="A101" s="1" t="s">
        <v>58</v>
      </c>
      <c r="B101" s="2" t="s">
        <v>62</v>
      </c>
      <c r="C101" s="1" t="str">
        <f t="shared" si="3"/>
        <v>TSH_3-24_WQ</v>
      </c>
      <c r="D101" s="10">
        <v>45358</v>
      </c>
    </row>
    <row r="102" spans="1:13" ht="15" customHeight="1" x14ac:dyDescent="0.35">
      <c r="A102" s="1" t="s">
        <v>23</v>
      </c>
      <c r="B102" s="2" t="s">
        <v>62</v>
      </c>
      <c r="C102" s="1" t="str">
        <f t="shared" si="3"/>
        <v>R127_3-24_WQ</v>
      </c>
      <c r="D102" s="10">
        <v>45358</v>
      </c>
    </row>
    <row r="103" spans="1:13" ht="15" customHeight="1" x14ac:dyDescent="0.35">
      <c r="A103" s="1" t="s">
        <v>35</v>
      </c>
      <c r="B103" s="2" t="s">
        <v>63</v>
      </c>
      <c r="C103" s="1" t="str">
        <f t="shared" si="3"/>
        <v>MCS1_4-24_WQ</v>
      </c>
      <c r="D103" s="10">
        <v>45390</v>
      </c>
      <c r="E103" s="11">
        <v>0.5131944444444444</v>
      </c>
      <c r="F103" s="1">
        <v>24.6</v>
      </c>
      <c r="G103" s="1">
        <v>102.8</v>
      </c>
      <c r="H103" s="1">
        <v>8.32</v>
      </c>
      <c r="I103" s="1">
        <v>4.8899999999999997</v>
      </c>
      <c r="J103" s="1">
        <v>8.61</v>
      </c>
      <c r="K103" s="1">
        <v>5.5</v>
      </c>
      <c r="L103" s="1">
        <v>19.04</v>
      </c>
      <c r="M103" s="1">
        <v>57.96</v>
      </c>
    </row>
    <row r="104" spans="1:13" ht="15" customHeight="1" x14ac:dyDescent="0.35">
      <c r="A104" s="1" t="s">
        <v>36</v>
      </c>
      <c r="B104" s="2" t="s">
        <v>63</v>
      </c>
      <c r="C104" s="1" t="str">
        <f t="shared" si="3"/>
        <v>MCS2_4-24_WQ</v>
      </c>
      <c r="D104" s="10">
        <v>45390</v>
      </c>
      <c r="E104" s="11">
        <v>0.55972222222222223</v>
      </c>
      <c r="F104" s="1">
        <v>25</v>
      </c>
      <c r="G104" s="1">
        <v>105.5</v>
      </c>
      <c r="H104" s="1">
        <v>8.4</v>
      </c>
      <c r="I104" s="1">
        <v>6.95</v>
      </c>
      <c r="J104" s="1">
        <v>8.5</v>
      </c>
      <c r="K104" s="1">
        <v>9.3000000000000007</v>
      </c>
      <c r="L104" s="1">
        <v>18.829999999999998</v>
      </c>
      <c r="M104" s="1">
        <v>57.39</v>
      </c>
    </row>
    <row r="105" spans="1:13" ht="15" customHeight="1" x14ac:dyDescent="0.35">
      <c r="A105" s="1" t="s">
        <v>37</v>
      </c>
      <c r="B105" s="2" t="s">
        <v>63</v>
      </c>
      <c r="C105" s="1" t="str">
        <f t="shared" si="3"/>
        <v>MCS3_4-24_WQ</v>
      </c>
      <c r="D105" s="10">
        <v>45390</v>
      </c>
      <c r="E105" s="11">
        <v>0.57638888888888884</v>
      </c>
      <c r="F105" s="1">
        <v>25.1</v>
      </c>
      <c r="G105" s="1">
        <v>107.3</v>
      </c>
      <c r="H105" s="1">
        <v>8.35</v>
      </c>
      <c r="I105" s="1">
        <v>10.53</v>
      </c>
      <c r="J105" s="1">
        <v>8.4600000000000009</v>
      </c>
      <c r="K105" s="1">
        <v>8.11</v>
      </c>
      <c r="L105" s="1">
        <v>19.57</v>
      </c>
      <c r="M105" s="1">
        <v>59.56</v>
      </c>
    </row>
    <row r="106" spans="1:13" ht="15" customHeight="1" x14ac:dyDescent="0.35">
      <c r="A106" s="1" t="s">
        <v>38</v>
      </c>
      <c r="B106" s="2" t="s">
        <v>63</v>
      </c>
      <c r="C106" s="1" t="str">
        <f t="shared" si="3"/>
        <v>MCS4_4-24_WQ</v>
      </c>
      <c r="D106" s="10">
        <v>45390</v>
      </c>
      <c r="E106" s="11">
        <v>0.59583333333333333</v>
      </c>
      <c r="F106" s="1">
        <v>25.6</v>
      </c>
      <c r="G106" s="1">
        <v>95.6</v>
      </c>
      <c r="H106" s="1">
        <v>7.35</v>
      </c>
      <c r="I106" s="1">
        <v>10.74</v>
      </c>
      <c r="J106" s="1">
        <v>8.3800000000000008</v>
      </c>
      <c r="K106" s="1">
        <v>8.5399999999999991</v>
      </c>
      <c r="L106" s="1">
        <v>19.7</v>
      </c>
      <c r="M106" s="1">
        <v>59.95</v>
      </c>
    </row>
    <row r="107" spans="1:13" ht="15" customHeight="1" x14ac:dyDescent="0.35">
      <c r="A107" s="1" t="s">
        <v>39</v>
      </c>
      <c r="B107" s="2" t="s">
        <v>63</v>
      </c>
      <c r="C107" s="1" t="str">
        <f t="shared" si="3"/>
        <v>TBHM_4-24_WQ</v>
      </c>
      <c r="D107" s="10">
        <v>45390</v>
      </c>
      <c r="E107" s="11">
        <v>0.61041666666666672</v>
      </c>
      <c r="F107" s="1">
        <v>25.7</v>
      </c>
      <c r="G107" s="1">
        <v>92.4</v>
      </c>
      <c r="H107" s="1">
        <v>7.1</v>
      </c>
      <c r="I107" s="1">
        <v>10.67</v>
      </c>
      <c r="J107" s="1">
        <v>8.33</v>
      </c>
      <c r="K107" s="1">
        <v>31.78</v>
      </c>
      <c r="L107" s="1">
        <v>17.84</v>
      </c>
      <c r="M107" s="1">
        <v>54.27</v>
      </c>
    </row>
    <row r="108" spans="1:13" ht="15" customHeight="1" x14ac:dyDescent="0.35">
      <c r="A108" s="1" t="s">
        <v>51</v>
      </c>
      <c r="B108" s="2" t="s">
        <v>63</v>
      </c>
      <c r="C108" s="1" t="str">
        <f t="shared" si="3"/>
        <v>TBC_4-24_WQ</v>
      </c>
      <c r="D108" s="10">
        <v>45390</v>
      </c>
      <c r="E108" s="11">
        <v>0.45416666666666666</v>
      </c>
      <c r="F108" s="1">
        <v>23.9</v>
      </c>
      <c r="G108" s="1">
        <v>30.9</v>
      </c>
      <c r="H108" s="1">
        <v>2.2799999999999998</v>
      </c>
      <c r="I108" s="1">
        <v>21.64</v>
      </c>
      <c r="J108" s="1">
        <v>7.26</v>
      </c>
      <c r="K108" s="1">
        <v>16.149999999999999</v>
      </c>
      <c r="L108" s="1">
        <v>37.68</v>
      </c>
      <c r="M108" s="1">
        <v>114.36</v>
      </c>
    </row>
    <row r="109" spans="1:13" ht="15" customHeight="1" x14ac:dyDescent="0.35">
      <c r="A109" s="1" t="s">
        <v>40</v>
      </c>
      <c r="B109" s="2" t="s">
        <v>63</v>
      </c>
      <c r="C109" s="1" t="str">
        <f t="shared" si="3"/>
        <v>TBCM_4-24_WQ</v>
      </c>
      <c r="D109" s="10">
        <v>45390</v>
      </c>
      <c r="E109" s="11">
        <v>0.47291666666666665</v>
      </c>
      <c r="F109" s="1">
        <v>26.7</v>
      </c>
      <c r="G109" s="1">
        <v>125</v>
      </c>
      <c r="H109" s="1">
        <v>10</v>
      </c>
    </row>
    <row r="110" spans="1:13" ht="15" customHeight="1" x14ac:dyDescent="0.35">
      <c r="A110" s="1" t="s">
        <v>41</v>
      </c>
      <c r="B110" s="2" t="s">
        <v>63</v>
      </c>
      <c r="C110" s="1" t="str">
        <f t="shared" si="3"/>
        <v>TB1_4-24_WQ</v>
      </c>
      <c r="D110" s="10">
        <v>45390</v>
      </c>
      <c r="E110" s="11">
        <v>0.49305555555555558</v>
      </c>
      <c r="F110" s="1">
        <v>25</v>
      </c>
      <c r="G110" s="1">
        <v>103.2</v>
      </c>
      <c r="H110" s="1">
        <v>7.75</v>
      </c>
      <c r="I110" s="1">
        <v>16.96</v>
      </c>
      <c r="J110" s="1">
        <v>8.3000000000000007</v>
      </c>
      <c r="K110" s="1">
        <v>9.67</v>
      </c>
      <c r="L110" s="1">
        <v>15.29</v>
      </c>
      <c r="M110" s="1">
        <v>46.63</v>
      </c>
    </row>
    <row r="111" spans="1:13" ht="15" customHeight="1" x14ac:dyDescent="0.35">
      <c r="A111" s="1" t="s">
        <v>42</v>
      </c>
      <c r="B111" s="2" t="s">
        <v>63</v>
      </c>
      <c r="C111" s="1" t="str">
        <f t="shared" si="3"/>
        <v>TB2_4-24_WQ</v>
      </c>
      <c r="D111" s="10">
        <v>45390</v>
      </c>
      <c r="E111" s="11">
        <v>0.63541666666666663</v>
      </c>
      <c r="F111" s="1">
        <v>24.8</v>
      </c>
      <c r="G111" s="1">
        <v>111.9</v>
      </c>
      <c r="H111" s="1">
        <v>7.99</v>
      </c>
      <c r="I111" s="1">
        <v>27.02</v>
      </c>
      <c r="J111" s="1">
        <v>8.32</v>
      </c>
      <c r="K111" s="1">
        <v>2.06</v>
      </c>
      <c r="L111" s="1">
        <v>9.5299999999999994</v>
      </c>
      <c r="M111" s="1">
        <v>29.11</v>
      </c>
    </row>
    <row r="112" spans="1:13" ht="15" customHeight="1" x14ac:dyDescent="0.35">
      <c r="A112" s="1" t="s">
        <v>45</v>
      </c>
      <c r="B112" s="2" t="s">
        <v>63</v>
      </c>
      <c r="C112" s="1" t="str">
        <f t="shared" si="3"/>
        <v>TSM1_4-24_WQ</v>
      </c>
      <c r="D112" s="10">
        <v>45391</v>
      </c>
      <c r="E112" s="11">
        <v>0.52986111111111112</v>
      </c>
      <c r="F112" s="1">
        <v>25.2</v>
      </c>
      <c r="G112" s="1">
        <v>46</v>
      </c>
      <c r="H112" s="1">
        <v>3.8</v>
      </c>
      <c r="I112" s="1">
        <v>0.3</v>
      </c>
    </row>
    <row r="113" spans="1:13" ht="15" customHeight="1" x14ac:dyDescent="0.35">
      <c r="A113" s="1" t="s">
        <v>46</v>
      </c>
      <c r="B113" s="2" t="s">
        <v>63</v>
      </c>
      <c r="C113" s="1" t="str">
        <f t="shared" si="3"/>
        <v>TSM3_4-24_WQ</v>
      </c>
      <c r="D113" s="10">
        <v>45391</v>
      </c>
      <c r="E113" s="11">
        <v>0.49375000000000002</v>
      </c>
      <c r="F113" s="1">
        <v>25.6</v>
      </c>
      <c r="G113" s="1">
        <v>102</v>
      </c>
      <c r="H113" s="1">
        <v>8.6</v>
      </c>
      <c r="I113" s="1">
        <v>0.1</v>
      </c>
    </row>
    <row r="114" spans="1:13" ht="15" customHeight="1" x14ac:dyDescent="0.35">
      <c r="A114" s="1" t="s">
        <v>47</v>
      </c>
      <c r="B114" s="2" t="s">
        <v>63</v>
      </c>
      <c r="C114" s="1" t="str">
        <f t="shared" si="3"/>
        <v>TSM4_4-24_WQ</v>
      </c>
      <c r="D114" s="10">
        <v>45391</v>
      </c>
      <c r="E114" s="11">
        <v>0.47916666666666669</v>
      </c>
      <c r="F114" s="1">
        <v>23.2</v>
      </c>
      <c r="G114" s="1">
        <v>57</v>
      </c>
      <c r="H114" s="1">
        <v>4.9000000000000004</v>
      </c>
      <c r="I114" s="1">
        <v>0.1</v>
      </c>
    </row>
    <row r="115" spans="1:13" ht="15" customHeight="1" x14ac:dyDescent="0.35">
      <c r="A115" s="1" t="s">
        <v>48</v>
      </c>
      <c r="B115" s="2" t="s">
        <v>63</v>
      </c>
      <c r="C115" s="1" t="str">
        <f t="shared" si="3"/>
        <v>SBT1_4-24_WQ</v>
      </c>
      <c r="D115" s="10">
        <v>45391</v>
      </c>
      <c r="E115" s="11">
        <v>0.44236111111111109</v>
      </c>
      <c r="F115" s="1">
        <v>22.9</v>
      </c>
      <c r="G115" s="1">
        <v>36</v>
      </c>
      <c r="H115" s="1">
        <v>2.8</v>
      </c>
      <c r="I115" s="1">
        <v>25.8</v>
      </c>
    </row>
    <row r="116" spans="1:13" ht="15" customHeight="1" x14ac:dyDescent="0.35">
      <c r="A116" s="1" t="s">
        <v>24</v>
      </c>
      <c r="B116" s="2" t="s">
        <v>63</v>
      </c>
      <c r="C116" s="1" t="str">
        <f t="shared" si="3"/>
        <v>ACS1_4-24_WQ</v>
      </c>
      <c r="D116" s="10">
        <v>45392</v>
      </c>
      <c r="E116" s="11">
        <v>0.5805555555555556</v>
      </c>
      <c r="F116" s="1">
        <v>24.3</v>
      </c>
      <c r="G116" s="1">
        <v>105.9</v>
      </c>
      <c r="H116" s="1">
        <v>8.4700000000000006</v>
      </c>
      <c r="I116" s="1">
        <v>7.99</v>
      </c>
      <c r="J116" s="1">
        <v>8.76</v>
      </c>
      <c r="K116" s="1">
        <v>13.84</v>
      </c>
      <c r="L116" s="1">
        <v>29.35</v>
      </c>
      <c r="M116" s="1">
        <v>89.23</v>
      </c>
    </row>
    <row r="117" spans="1:13" ht="15" customHeight="1" x14ac:dyDescent="0.35">
      <c r="A117" s="1" t="s">
        <v>25</v>
      </c>
      <c r="B117" s="2" t="s">
        <v>63</v>
      </c>
      <c r="C117" s="1" t="str">
        <f t="shared" si="3"/>
        <v>ACS2_4-24_WQ</v>
      </c>
      <c r="D117" s="10">
        <v>45392</v>
      </c>
      <c r="E117" s="11">
        <v>0.54652777777777772</v>
      </c>
      <c r="F117" s="1">
        <v>25</v>
      </c>
      <c r="G117" s="1">
        <v>106.7</v>
      </c>
      <c r="H117" s="1">
        <v>8.51</v>
      </c>
      <c r="I117" s="1">
        <v>6.23</v>
      </c>
      <c r="J117" s="1">
        <v>8.4700000000000006</v>
      </c>
      <c r="K117" s="1">
        <v>10.92</v>
      </c>
      <c r="L117" s="1">
        <v>26.35</v>
      </c>
      <c r="M117" s="1">
        <v>80.06</v>
      </c>
    </row>
    <row r="118" spans="1:13" ht="15" customHeight="1" x14ac:dyDescent="0.35">
      <c r="A118" s="1" t="s">
        <v>26</v>
      </c>
      <c r="B118" s="2" t="s">
        <v>63</v>
      </c>
      <c r="C118" s="1" t="str">
        <f t="shared" si="3"/>
        <v>ACS3_4-24_WQ</v>
      </c>
      <c r="D118" s="10">
        <v>45392</v>
      </c>
      <c r="E118" s="11">
        <v>0.52708333333333335</v>
      </c>
      <c r="F118" s="1">
        <v>25</v>
      </c>
      <c r="G118" s="1">
        <v>102</v>
      </c>
      <c r="H118" s="1">
        <v>8.24</v>
      </c>
      <c r="I118" s="1">
        <v>3.96</v>
      </c>
      <c r="J118" s="1">
        <v>8.8000000000000007</v>
      </c>
      <c r="K118" s="1">
        <v>17.350000000000001</v>
      </c>
      <c r="L118" s="1">
        <v>22.11</v>
      </c>
      <c r="M118" s="1">
        <v>65.25</v>
      </c>
    </row>
    <row r="119" spans="1:13" ht="15" customHeight="1" x14ac:dyDescent="0.35">
      <c r="A119" s="1" t="s">
        <v>27</v>
      </c>
      <c r="B119" s="2" t="s">
        <v>63</v>
      </c>
      <c r="C119" s="1" t="str">
        <f t="shared" si="3"/>
        <v>ACS4_4-24_WQ</v>
      </c>
      <c r="D119" s="10">
        <v>45392</v>
      </c>
      <c r="E119" s="11">
        <v>0.4861111111111111</v>
      </c>
      <c r="F119" s="1">
        <v>24.7</v>
      </c>
      <c r="G119" s="1">
        <v>99.1</v>
      </c>
      <c r="H119" s="1">
        <v>7.74</v>
      </c>
      <c r="I119" s="1">
        <v>10.76</v>
      </c>
      <c r="J119" s="1">
        <v>8.27</v>
      </c>
      <c r="K119" s="1">
        <v>45.01</v>
      </c>
      <c r="L119" s="1">
        <v>28.67</v>
      </c>
      <c r="M119" s="1">
        <v>87.06</v>
      </c>
    </row>
    <row r="120" spans="1:13" ht="15" customHeight="1" x14ac:dyDescent="0.35">
      <c r="A120" s="1" t="s">
        <v>28</v>
      </c>
      <c r="B120" s="2" t="s">
        <v>63</v>
      </c>
      <c r="C120" s="1" t="str">
        <f t="shared" si="3"/>
        <v>ACS5_4-24_WQ</v>
      </c>
      <c r="D120" s="10">
        <v>45392</v>
      </c>
      <c r="E120" s="11">
        <v>0.45833333333333331</v>
      </c>
      <c r="F120" s="1">
        <v>24.5</v>
      </c>
      <c r="G120" s="1">
        <v>85.3</v>
      </c>
      <c r="H120" s="1">
        <v>6.59</v>
      </c>
      <c r="I120" s="1">
        <v>13.5</v>
      </c>
      <c r="J120" s="1">
        <v>8.3000000000000007</v>
      </c>
      <c r="K120" s="1">
        <v>22.34</v>
      </c>
      <c r="L120" s="1">
        <v>28.74</v>
      </c>
      <c r="M120" s="1">
        <v>87.29</v>
      </c>
    </row>
    <row r="121" spans="1:13" ht="15" customHeight="1" x14ac:dyDescent="0.35">
      <c r="A121" s="1" t="s">
        <v>29</v>
      </c>
      <c r="B121" s="2" t="s">
        <v>63</v>
      </c>
      <c r="C121" s="1" t="str">
        <f t="shared" si="3"/>
        <v>GBHM_4-24_WQ</v>
      </c>
      <c r="D121" s="10">
        <v>45392</v>
      </c>
      <c r="E121" s="11">
        <v>0.44583333333333336</v>
      </c>
    </row>
    <row r="122" spans="1:13" ht="15" customHeight="1" x14ac:dyDescent="0.35">
      <c r="A122" s="1" t="s">
        <v>30</v>
      </c>
      <c r="B122" s="2" t="s">
        <v>63</v>
      </c>
      <c r="C122" s="1" t="str">
        <f t="shared" si="3"/>
        <v>DC1_4-24_WQ</v>
      </c>
      <c r="D122" s="10">
        <v>45392</v>
      </c>
      <c r="E122" s="11">
        <v>0.35833333333333334</v>
      </c>
      <c r="F122" s="1">
        <v>23.1</v>
      </c>
      <c r="G122" s="1">
        <v>36.799999999999997</v>
      </c>
      <c r="H122" s="1">
        <v>2.73</v>
      </c>
      <c r="I122" s="1">
        <v>24.24</v>
      </c>
      <c r="J122" s="1">
        <v>8.08</v>
      </c>
      <c r="K122" s="1">
        <v>28.55</v>
      </c>
      <c r="L122" s="1">
        <v>43.09</v>
      </c>
      <c r="M122" s="1">
        <v>130.41</v>
      </c>
    </row>
    <row r="123" spans="1:13" ht="15" customHeight="1" x14ac:dyDescent="0.35">
      <c r="A123" s="1" t="s">
        <v>31</v>
      </c>
      <c r="B123" s="2" t="s">
        <v>63</v>
      </c>
      <c r="C123" s="1" t="str">
        <f t="shared" si="3"/>
        <v>DCM1_4-24_WQ</v>
      </c>
      <c r="D123" s="10">
        <v>45392</v>
      </c>
      <c r="E123" s="11">
        <v>0.37083333333333335</v>
      </c>
      <c r="F123" s="1">
        <v>23.3</v>
      </c>
      <c r="G123" s="1">
        <v>49</v>
      </c>
      <c r="H123" s="1">
        <v>4.2</v>
      </c>
      <c r="I123" s="1">
        <v>0.3</v>
      </c>
    </row>
    <row r="124" spans="1:13" ht="15" customHeight="1" x14ac:dyDescent="0.35">
      <c r="A124" s="1" t="s">
        <v>32</v>
      </c>
      <c r="B124" s="2" t="s">
        <v>63</v>
      </c>
      <c r="C124" s="1" t="str">
        <f t="shared" si="3"/>
        <v>DC2_4-24_WQ</v>
      </c>
      <c r="D124" s="10">
        <v>45392</v>
      </c>
      <c r="E124" s="11">
        <v>0.39583333333333331</v>
      </c>
      <c r="F124" s="1">
        <v>22.9</v>
      </c>
      <c r="G124" s="1">
        <v>22.6</v>
      </c>
      <c r="H124" s="1">
        <v>1.68</v>
      </c>
      <c r="I124" s="1">
        <v>23.79</v>
      </c>
      <c r="J124" s="1">
        <v>7.73</v>
      </c>
      <c r="K124" s="1">
        <v>29.08</v>
      </c>
      <c r="L124" s="1">
        <v>49.61</v>
      </c>
      <c r="M124" s="1">
        <v>150.52000000000001</v>
      </c>
    </row>
    <row r="125" spans="1:13" ht="15" customHeight="1" x14ac:dyDescent="0.35">
      <c r="A125" s="1" t="s">
        <v>33</v>
      </c>
      <c r="B125" s="2" t="s">
        <v>63</v>
      </c>
      <c r="C125" s="1" t="str">
        <f t="shared" si="3"/>
        <v>DCM2_4-24_WQ</v>
      </c>
      <c r="D125" s="10">
        <v>45392</v>
      </c>
      <c r="E125" s="11">
        <v>0.40833333333333333</v>
      </c>
    </row>
    <row r="126" spans="1:13" ht="15" customHeight="1" x14ac:dyDescent="0.35">
      <c r="A126" s="1" t="s">
        <v>34</v>
      </c>
      <c r="B126" s="2" t="s">
        <v>63</v>
      </c>
      <c r="C126" s="1" t="str">
        <f t="shared" si="3"/>
        <v>GB1_4-24_WQ</v>
      </c>
      <c r="D126" s="10">
        <v>45392</v>
      </c>
      <c r="E126" s="11">
        <v>0.42569444444444443</v>
      </c>
      <c r="F126" s="1">
        <v>24</v>
      </c>
      <c r="G126" s="1">
        <v>86.5</v>
      </c>
      <c r="H126" s="1">
        <v>6.23</v>
      </c>
      <c r="I126" s="1">
        <v>27.13</v>
      </c>
      <c r="J126" s="1">
        <v>8.27</v>
      </c>
      <c r="K126" s="1">
        <v>12.59</v>
      </c>
      <c r="L126" s="1">
        <v>17.46</v>
      </c>
      <c r="M126" s="1">
        <v>53.1</v>
      </c>
    </row>
    <row r="127" spans="1:13" ht="15" customHeight="1" x14ac:dyDescent="0.35">
      <c r="A127" s="1" t="s">
        <v>49</v>
      </c>
      <c r="B127" s="2" t="s">
        <v>63</v>
      </c>
      <c r="C127" s="1" t="str">
        <f t="shared" si="3"/>
        <v>SBT2_4-24_WQ</v>
      </c>
      <c r="D127" s="10">
        <v>45393</v>
      </c>
      <c r="E127" s="11">
        <v>0.39374999999999999</v>
      </c>
      <c r="F127" s="1">
        <v>25.2</v>
      </c>
      <c r="G127" s="1">
        <v>82.9</v>
      </c>
      <c r="H127" s="1">
        <v>5.61</v>
      </c>
      <c r="I127" s="1">
        <v>34.17</v>
      </c>
      <c r="J127" s="1">
        <v>8.51</v>
      </c>
      <c r="K127" s="1">
        <v>56.5</v>
      </c>
      <c r="L127" s="1">
        <v>13.02</v>
      </c>
      <c r="M127" s="1">
        <v>39.68</v>
      </c>
    </row>
    <row r="128" spans="1:13" ht="15" customHeight="1" x14ac:dyDescent="0.35">
      <c r="A128" s="1" t="s">
        <v>43</v>
      </c>
      <c r="B128" s="2" t="s">
        <v>63</v>
      </c>
      <c r="C128" s="1" t="str">
        <f t="shared" si="3"/>
        <v>GB2_4-24_WQ</v>
      </c>
      <c r="D128" s="10">
        <v>45393</v>
      </c>
      <c r="E128" s="11">
        <v>0.4375</v>
      </c>
      <c r="F128" s="1">
        <v>25.3</v>
      </c>
      <c r="G128" s="1">
        <v>93.6</v>
      </c>
      <c r="H128" s="1">
        <v>6.55</v>
      </c>
      <c r="I128" s="1">
        <v>28.2</v>
      </c>
      <c r="J128" s="1">
        <v>8.18</v>
      </c>
      <c r="K128" s="1">
        <v>32.03</v>
      </c>
      <c r="L128" s="1">
        <v>10.74</v>
      </c>
      <c r="M128" s="1">
        <v>32.700000000000003</v>
      </c>
    </row>
    <row r="129" spans="1:13" ht="15" customHeight="1" x14ac:dyDescent="0.35">
      <c r="A129" s="1" t="s">
        <v>44</v>
      </c>
      <c r="B129" s="2" t="s">
        <v>63</v>
      </c>
      <c r="C129" s="1" t="str">
        <f t="shared" si="3"/>
        <v>RB_4-24_WQ</v>
      </c>
      <c r="D129" s="10">
        <v>45393</v>
      </c>
      <c r="E129" s="11">
        <v>0.45763888888888887</v>
      </c>
      <c r="F129" s="1">
        <v>25.4</v>
      </c>
      <c r="G129" s="1">
        <v>97.6</v>
      </c>
      <c r="H129" s="1">
        <v>6.66</v>
      </c>
      <c r="I129" s="1">
        <v>32.700000000000003</v>
      </c>
      <c r="J129" s="1">
        <v>8.4700000000000006</v>
      </c>
      <c r="K129" s="1">
        <v>3.6</v>
      </c>
      <c r="L129" s="1">
        <v>13.42</v>
      </c>
      <c r="M129" s="1">
        <v>40.909999999999997</v>
      </c>
    </row>
    <row r="130" spans="1:13" ht="15" customHeight="1" x14ac:dyDescent="0.35">
      <c r="A130" s="1" t="s">
        <v>52</v>
      </c>
      <c r="B130" s="2" t="s">
        <v>63</v>
      </c>
      <c r="C130" s="1" t="str">
        <f t="shared" ref="C130:C141" si="4">A130&amp;"_"&amp;B130&amp;"_"&amp;"WQ"</f>
        <v>WB1_4-24_WQ</v>
      </c>
      <c r="D130" s="10">
        <v>45393</v>
      </c>
      <c r="E130" s="11">
        <v>0.48680555555555555</v>
      </c>
      <c r="F130" s="1">
        <v>25.2</v>
      </c>
      <c r="G130" s="1">
        <v>105.9</v>
      </c>
      <c r="H130" s="1">
        <v>7.32</v>
      </c>
      <c r="I130" s="1">
        <v>30.8</v>
      </c>
      <c r="J130" s="1">
        <v>8.42</v>
      </c>
      <c r="K130" s="1">
        <v>1.01</v>
      </c>
      <c r="L130" s="1">
        <v>9.4600000000000009</v>
      </c>
      <c r="M130" s="1">
        <v>28.12</v>
      </c>
    </row>
    <row r="131" spans="1:13" ht="15" customHeight="1" x14ac:dyDescent="0.35">
      <c r="A131" s="1" t="s">
        <v>53</v>
      </c>
      <c r="B131" s="2" t="s">
        <v>63</v>
      </c>
      <c r="C131" s="1" t="str">
        <f t="shared" si="4"/>
        <v>WB2_4-24_WQ</v>
      </c>
      <c r="D131" s="10">
        <v>45393</v>
      </c>
      <c r="E131" s="11">
        <v>0.50624999999999998</v>
      </c>
      <c r="F131" s="1">
        <v>25.4</v>
      </c>
      <c r="G131" s="1">
        <v>102.8</v>
      </c>
      <c r="H131" s="1">
        <v>7.11</v>
      </c>
      <c r="I131" s="1">
        <v>30.45</v>
      </c>
      <c r="J131" s="1">
        <v>8.39</v>
      </c>
      <c r="K131" s="1">
        <v>1.65</v>
      </c>
      <c r="L131" s="1">
        <v>7.4</v>
      </c>
      <c r="M131" s="1">
        <v>22.61</v>
      </c>
    </row>
    <row r="132" spans="1:13" ht="15" customHeight="1" x14ac:dyDescent="0.35">
      <c r="A132" s="1" t="s">
        <v>54</v>
      </c>
      <c r="B132" s="2" t="s">
        <v>63</v>
      </c>
      <c r="C132" s="1" t="str">
        <f t="shared" si="4"/>
        <v>TKB_4-24_WQ</v>
      </c>
      <c r="D132" s="10">
        <v>45393</v>
      </c>
      <c r="E132" s="11">
        <v>0.55000000000000004</v>
      </c>
      <c r="F132" s="1">
        <v>25.5</v>
      </c>
      <c r="G132" s="1">
        <v>106</v>
      </c>
      <c r="H132" s="1">
        <v>7.26</v>
      </c>
      <c r="I132" s="1">
        <v>31.97</v>
      </c>
      <c r="J132" s="1">
        <v>8.34</v>
      </c>
      <c r="K132" s="1">
        <v>1.59</v>
      </c>
      <c r="L132" s="1">
        <v>7.35</v>
      </c>
      <c r="M132" s="1">
        <v>22.44</v>
      </c>
    </row>
    <row r="133" spans="1:13" ht="15" customHeight="1" x14ac:dyDescent="0.35">
      <c r="A133" s="1" t="s">
        <v>55</v>
      </c>
      <c r="B133" s="2" t="s">
        <v>63</v>
      </c>
      <c r="C133" s="1" t="str">
        <f t="shared" si="4"/>
        <v>JB_4-24_WQ</v>
      </c>
      <c r="D133" s="10">
        <v>45393</v>
      </c>
      <c r="E133" s="11">
        <v>0.59583333333333333</v>
      </c>
      <c r="F133" s="1">
        <v>26.25</v>
      </c>
      <c r="G133" s="1">
        <v>122.1</v>
      </c>
      <c r="H133" s="1">
        <v>8.16</v>
      </c>
      <c r="I133" s="1">
        <v>34.26</v>
      </c>
      <c r="J133" s="1">
        <v>8.83</v>
      </c>
      <c r="K133" s="1">
        <v>0.22</v>
      </c>
      <c r="L133" s="1">
        <v>9.3800000000000008</v>
      </c>
      <c r="M133" s="1">
        <v>28.65</v>
      </c>
    </row>
    <row r="134" spans="1:13" ht="15" customHeight="1" x14ac:dyDescent="0.35">
      <c r="A134" s="1" t="s">
        <v>56</v>
      </c>
      <c r="B134" s="2" t="s">
        <v>63</v>
      </c>
      <c r="C134" s="1" t="str">
        <f t="shared" si="4"/>
        <v>CC_4-24_WQ</v>
      </c>
      <c r="D134" s="10">
        <v>45393</v>
      </c>
      <c r="E134" s="11">
        <v>0.63055555555555554</v>
      </c>
      <c r="F134" s="1">
        <v>25.4</v>
      </c>
      <c r="G134" s="1">
        <v>101.3</v>
      </c>
      <c r="H134" s="1">
        <v>6.85</v>
      </c>
      <c r="I134" s="1">
        <v>34.380000000000003</v>
      </c>
      <c r="J134" s="1">
        <v>8.0500000000000007</v>
      </c>
      <c r="K134" s="1">
        <v>43.15</v>
      </c>
      <c r="L134" s="1">
        <v>3.81</v>
      </c>
      <c r="M134" s="1">
        <v>11.87</v>
      </c>
    </row>
    <row r="135" spans="1:13" ht="15" customHeight="1" x14ac:dyDescent="0.35">
      <c r="A135" s="1" t="s">
        <v>14</v>
      </c>
      <c r="B135" s="2" t="s">
        <v>59</v>
      </c>
      <c r="C135" s="1" t="str">
        <f t="shared" si="4"/>
        <v>P37_7-24_WQ</v>
      </c>
      <c r="D135" s="10">
        <v>45476</v>
      </c>
    </row>
    <row r="136" spans="1:13" ht="15" customHeight="1" x14ac:dyDescent="0.35">
      <c r="A136" s="1" t="s">
        <v>19</v>
      </c>
      <c r="B136" s="2" t="s">
        <v>59</v>
      </c>
      <c r="C136" s="1" t="str">
        <f t="shared" si="4"/>
        <v>NCL_7-24_WQ</v>
      </c>
      <c r="D136" s="10">
        <v>45476</v>
      </c>
    </row>
    <row r="137" spans="1:13" ht="15" customHeight="1" x14ac:dyDescent="0.35">
      <c r="A137" s="1" t="s">
        <v>20</v>
      </c>
      <c r="B137" s="2" t="s">
        <v>59</v>
      </c>
      <c r="C137" s="1" t="str">
        <f t="shared" si="4"/>
        <v>CP_7-24_WQ</v>
      </c>
      <c r="D137" s="10">
        <v>45476</v>
      </c>
    </row>
    <row r="138" spans="1:13" ht="15" customHeight="1" x14ac:dyDescent="0.35">
      <c r="A138" s="1" t="s">
        <v>21</v>
      </c>
      <c r="B138" s="2" t="s">
        <v>59</v>
      </c>
      <c r="C138" s="1" t="str">
        <f t="shared" si="4"/>
        <v>EP146_7-24_WQ</v>
      </c>
      <c r="D138" s="10">
        <v>45476</v>
      </c>
    </row>
    <row r="139" spans="1:13" ht="15" customHeight="1" x14ac:dyDescent="0.35">
      <c r="A139" s="1" t="s">
        <v>22</v>
      </c>
      <c r="B139" s="2" t="s">
        <v>59</v>
      </c>
      <c r="C139" s="1" t="str">
        <f t="shared" si="4"/>
        <v>OL_7-24_WQ</v>
      </c>
      <c r="D139" s="10">
        <v>45476</v>
      </c>
    </row>
    <row r="140" spans="1:13" ht="15" customHeight="1" x14ac:dyDescent="0.35">
      <c r="A140" s="1" t="s">
        <v>58</v>
      </c>
      <c r="B140" s="2" t="s">
        <v>59</v>
      </c>
      <c r="C140" s="1" t="str">
        <f t="shared" si="4"/>
        <v>TSH_7-24_WQ</v>
      </c>
      <c r="D140" s="10">
        <v>45476</v>
      </c>
    </row>
    <row r="141" spans="1:13" ht="15" customHeight="1" x14ac:dyDescent="0.35">
      <c r="A141" s="1" t="s">
        <v>23</v>
      </c>
      <c r="B141" s="2" t="s">
        <v>59</v>
      </c>
      <c r="C141" s="1" t="str">
        <f t="shared" si="4"/>
        <v>R127_7-24_WQ</v>
      </c>
      <c r="D141" s="10">
        <v>45476</v>
      </c>
    </row>
  </sheetData>
  <autoFilter ref="A1:M141" xr:uid="{DBDD9896-36CA-4D40-83AC-359BA6207B4A}">
    <sortState xmlns:xlrd2="http://schemas.microsoft.com/office/spreadsheetml/2017/richdata2" ref="A2:M141">
      <sortCondition ref="D1:D1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EF5C-2B53-4A3C-AF77-8C34CCA15F95}">
  <dimension ref="A1:DX185"/>
  <sheetViews>
    <sheetView topLeftCell="F1" workbookViewId="0">
      <pane ySplit="1" topLeftCell="A122" activePane="bottomLeft" state="frozen"/>
      <selection pane="bottomLeft" activeCell="G133" sqref="G133"/>
    </sheetView>
  </sheetViews>
  <sheetFormatPr defaultRowHeight="14.5" x14ac:dyDescent="0.35"/>
  <cols>
    <col min="1" max="1" width="14.1796875" style="1" customWidth="1"/>
    <col min="2" max="2" width="16.81640625" style="2" customWidth="1"/>
    <col min="3" max="4" width="15" style="1" customWidth="1"/>
    <col min="5" max="7" width="15" customWidth="1"/>
    <col min="8" max="8" width="17.1796875" customWidth="1"/>
    <col min="9" max="9" width="18.54296875" customWidth="1"/>
    <col min="10" max="10" width="18.81640625" customWidth="1"/>
    <col min="11" max="12" width="20.7265625" customWidth="1"/>
    <col min="13" max="13" width="26.1796875" customWidth="1"/>
    <col min="14" max="14" width="22.81640625" customWidth="1"/>
    <col min="15" max="15" width="21.7265625" customWidth="1"/>
    <col min="16" max="16" width="22.453125" customWidth="1"/>
    <col min="17" max="17" width="1.1796875" customWidth="1"/>
    <col min="18" max="18" width="21.26953125" customWidth="1"/>
    <col min="19" max="19" width="19.1796875" customWidth="1"/>
    <col min="20" max="20" width="1.54296875" customWidth="1"/>
    <col min="21" max="21" width="24" customWidth="1"/>
    <col min="22" max="22" width="22.1796875" customWidth="1"/>
    <col min="23" max="23" width="10.81640625" customWidth="1"/>
    <col min="24" max="24" width="25.1796875" customWidth="1"/>
    <col min="25" max="25" width="17.1796875" customWidth="1"/>
    <col min="26" max="28" width="17.453125" customWidth="1"/>
    <col min="29" max="31" width="21.81640625" customWidth="1"/>
    <col min="32" max="32" width="27.453125" customWidth="1"/>
    <col min="33" max="33" width="28.453125" customWidth="1"/>
    <col min="34" max="34" width="21.54296875" customWidth="1"/>
    <col min="35" max="35" width="21.81640625" customWidth="1"/>
    <col min="36" max="36" width="27.1796875" customWidth="1"/>
    <col min="37" max="37" width="4.54296875" customWidth="1"/>
    <col min="38" max="39" width="17.1796875" customWidth="1"/>
    <col min="40" max="42" width="17.81640625" customWidth="1"/>
    <col min="43" max="43" width="21.54296875" customWidth="1"/>
    <col min="44" max="45" width="22" customWidth="1"/>
    <col min="46" max="46" width="3.453125" customWidth="1"/>
    <col min="47" max="48" width="17.1796875" customWidth="1"/>
    <col min="49" max="51" width="17.453125" customWidth="1"/>
    <col min="52" max="52" width="23.26953125" customWidth="1"/>
    <col min="53" max="53" width="17.54296875" customWidth="1"/>
    <col min="54" max="54" width="21.1796875" customWidth="1"/>
    <col min="55" max="55" width="3.7265625" customWidth="1"/>
    <col min="56" max="56" width="16.81640625" customWidth="1"/>
    <col min="57" max="57" width="17.54296875" customWidth="1"/>
    <col min="58" max="58" width="17.1796875" customWidth="1"/>
  </cols>
  <sheetData>
    <row r="1" spans="1:128" s="118" customFormat="1" ht="63" customHeight="1" thickBot="1" x14ac:dyDescent="0.4">
      <c r="A1" s="37" t="s">
        <v>0</v>
      </c>
      <c r="B1" s="38" t="s">
        <v>1</v>
      </c>
      <c r="C1" s="37" t="s">
        <v>3</v>
      </c>
      <c r="D1" s="37" t="s">
        <v>4</v>
      </c>
      <c r="E1" s="37" t="s">
        <v>122</v>
      </c>
      <c r="F1" s="37" t="s">
        <v>123</v>
      </c>
      <c r="G1" s="37" t="s">
        <v>124</v>
      </c>
      <c r="H1" s="37" t="s">
        <v>125</v>
      </c>
      <c r="I1" s="37" t="s">
        <v>126</v>
      </c>
      <c r="J1" s="51" t="s">
        <v>127</v>
      </c>
      <c r="K1" s="37" t="s">
        <v>128</v>
      </c>
      <c r="L1" s="37" t="s">
        <v>129</v>
      </c>
      <c r="M1" s="37" t="s">
        <v>130</v>
      </c>
      <c r="N1" s="122"/>
      <c r="O1" s="123"/>
      <c r="P1" s="124"/>
      <c r="Q1" s="124"/>
      <c r="R1" s="123"/>
      <c r="S1" s="124"/>
      <c r="T1" s="124"/>
      <c r="U1" s="123"/>
      <c r="V1" s="124"/>
      <c r="W1" s="124"/>
      <c r="X1" s="124"/>
      <c r="Y1" s="124"/>
      <c r="Z1" s="124"/>
      <c r="AA1" s="124"/>
      <c r="AB1" s="124"/>
      <c r="AC1" s="124"/>
      <c r="AD1" s="124"/>
      <c r="AE1" s="125"/>
      <c r="AF1" s="124"/>
      <c r="AG1" s="124"/>
      <c r="AH1" s="125"/>
      <c r="AI1" s="124"/>
      <c r="AJ1" s="124"/>
      <c r="AK1" s="126"/>
      <c r="AL1" s="126"/>
      <c r="AM1" s="126"/>
      <c r="AN1" s="126"/>
      <c r="AO1" s="123"/>
      <c r="AP1" s="123"/>
      <c r="AQ1" s="124"/>
      <c r="AR1" s="126"/>
      <c r="AS1" s="123"/>
      <c r="AT1" s="126"/>
      <c r="AU1" s="123"/>
      <c r="AV1" s="123"/>
      <c r="AW1" s="123"/>
      <c r="AX1" s="123"/>
      <c r="AY1" s="123"/>
      <c r="AZ1" s="124"/>
      <c r="BA1" s="127"/>
      <c r="BB1" s="123"/>
      <c r="BC1" s="126"/>
      <c r="BD1" s="126"/>
      <c r="BE1" s="126"/>
      <c r="BF1" s="126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8"/>
      <c r="DE1" s="128"/>
      <c r="DF1" s="128"/>
      <c r="DG1" s="128"/>
      <c r="DH1" s="128"/>
      <c r="DI1" s="128"/>
      <c r="DJ1" s="128"/>
      <c r="DK1" s="128"/>
      <c r="DL1" s="128"/>
      <c r="DM1" s="128"/>
      <c r="DN1" s="128"/>
      <c r="DO1" s="128"/>
      <c r="DP1" s="128"/>
      <c r="DQ1" s="128"/>
      <c r="DR1" s="128"/>
      <c r="DS1" s="128"/>
      <c r="DT1" s="128"/>
      <c r="DU1" s="128"/>
      <c r="DV1" s="128"/>
      <c r="DW1" s="128"/>
      <c r="DX1" s="128"/>
    </row>
    <row r="2" spans="1:128" x14ac:dyDescent="0.35">
      <c r="A2" s="1" t="s">
        <v>22</v>
      </c>
      <c r="B2" s="2" t="s">
        <v>15</v>
      </c>
      <c r="C2" s="1" t="str">
        <f>A2&amp;"_"&amp;B2&amp;"_WQ"</f>
        <v>OL_9-23_WQ</v>
      </c>
      <c r="D2" s="10">
        <v>45184</v>
      </c>
      <c r="E2" s="131">
        <v>0.55138888888888893</v>
      </c>
    </row>
    <row r="3" spans="1:128" x14ac:dyDescent="0.35">
      <c r="A3" s="1" t="s">
        <v>21</v>
      </c>
      <c r="B3" s="2" t="s">
        <v>15</v>
      </c>
      <c r="C3" s="1" t="str">
        <f t="shared" ref="C3:C66" si="0">A3&amp;"_"&amp;B3&amp;"_WQ"</f>
        <v>EP146_9-23_WQ</v>
      </c>
      <c r="D3" s="10">
        <v>45184</v>
      </c>
      <c r="E3" s="131">
        <v>0.52708333333333335</v>
      </c>
    </row>
    <row r="4" spans="1:128" x14ac:dyDescent="0.35">
      <c r="A4" s="1" t="s">
        <v>58</v>
      </c>
      <c r="B4" s="2" t="s">
        <v>15</v>
      </c>
      <c r="C4" s="1" t="str">
        <f t="shared" si="0"/>
        <v>TSH_9-23_WQ</v>
      </c>
      <c r="D4" s="10">
        <v>45184</v>
      </c>
      <c r="E4" s="131">
        <v>0.57986111111111116</v>
      </c>
    </row>
    <row r="5" spans="1:128" x14ac:dyDescent="0.35">
      <c r="A5" s="1" t="s">
        <v>20</v>
      </c>
      <c r="B5" s="2" t="s">
        <v>15</v>
      </c>
      <c r="C5" s="1" t="str">
        <f t="shared" si="0"/>
        <v>CP_9-23_WQ</v>
      </c>
      <c r="D5" s="10">
        <v>45184</v>
      </c>
      <c r="E5" s="131">
        <v>0.47569444444444442</v>
      </c>
    </row>
    <row r="6" spans="1:128" x14ac:dyDescent="0.35">
      <c r="A6" s="1" t="s">
        <v>23</v>
      </c>
      <c r="B6" s="2" t="s">
        <v>15</v>
      </c>
      <c r="C6" s="1" t="str">
        <f t="shared" si="0"/>
        <v>R127_9-23_WQ</v>
      </c>
      <c r="D6" s="10">
        <v>45184</v>
      </c>
      <c r="E6" s="131">
        <v>0.6020833333333333</v>
      </c>
    </row>
    <row r="7" spans="1:128" x14ac:dyDescent="0.35">
      <c r="A7" s="1" t="s">
        <v>14</v>
      </c>
      <c r="B7" s="2" t="s">
        <v>15</v>
      </c>
      <c r="C7" s="1" t="str">
        <f t="shared" si="0"/>
        <v>P37_9-23_WQ</v>
      </c>
      <c r="D7" s="10">
        <v>45184</v>
      </c>
      <c r="E7" s="131">
        <v>0.40069444444444446</v>
      </c>
    </row>
    <row r="8" spans="1:128" x14ac:dyDescent="0.35">
      <c r="A8" s="1" t="s">
        <v>19</v>
      </c>
      <c r="B8" s="2" t="s">
        <v>15</v>
      </c>
      <c r="C8" s="1" t="str">
        <f t="shared" si="0"/>
        <v>NCL_9-23_WQ</v>
      </c>
      <c r="D8" s="10">
        <v>45184</v>
      </c>
      <c r="E8" s="131">
        <v>0.44236111111111109</v>
      </c>
    </row>
    <row r="9" spans="1:128" x14ac:dyDescent="0.35">
      <c r="A9" s="1" t="s">
        <v>29</v>
      </c>
      <c r="B9" s="2" t="s">
        <v>15</v>
      </c>
      <c r="C9" s="1" t="str">
        <f t="shared" si="0"/>
        <v>GBHM_9-23_WQ</v>
      </c>
      <c r="D9" s="10">
        <v>45195</v>
      </c>
      <c r="E9" s="131">
        <v>0.62986111111111109</v>
      </c>
      <c r="I9">
        <v>14.6</v>
      </c>
    </row>
    <row r="10" spans="1:128" x14ac:dyDescent="0.35">
      <c r="A10" s="1" t="s">
        <v>25</v>
      </c>
      <c r="B10" s="2" t="s">
        <v>15</v>
      </c>
      <c r="C10" s="1" t="str">
        <f t="shared" si="0"/>
        <v>ACS2_9-23_WQ</v>
      </c>
      <c r="D10" s="10">
        <v>45195</v>
      </c>
      <c r="E10" s="131">
        <v>0.37013888888888891</v>
      </c>
      <c r="F10">
        <v>29.212</v>
      </c>
      <c r="G10">
        <v>81.2</v>
      </c>
      <c r="H10">
        <v>5.88</v>
      </c>
      <c r="I10">
        <v>11.73</v>
      </c>
      <c r="J10">
        <v>8</v>
      </c>
      <c r="K10">
        <v>3.91</v>
      </c>
      <c r="L10">
        <v>44.93</v>
      </c>
      <c r="M10">
        <v>134.80000000000001</v>
      </c>
    </row>
    <row r="11" spans="1:128" x14ac:dyDescent="0.35">
      <c r="A11" s="1" t="s">
        <v>26</v>
      </c>
      <c r="B11" s="2" t="s">
        <v>15</v>
      </c>
      <c r="C11" s="1" t="str">
        <f t="shared" si="0"/>
        <v>ACS3_9-23_WQ</v>
      </c>
      <c r="D11" s="10">
        <v>45195</v>
      </c>
      <c r="E11" s="131">
        <v>0.39513888888888887</v>
      </c>
      <c r="F11">
        <v>29.082000000000001</v>
      </c>
      <c r="G11">
        <v>92.5</v>
      </c>
      <c r="H11">
        <v>6.68</v>
      </c>
      <c r="I11">
        <v>10.63</v>
      </c>
      <c r="J11">
        <v>8.44</v>
      </c>
      <c r="K11">
        <v>6.53</v>
      </c>
      <c r="L11">
        <v>29.84</v>
      </c>
      <c r="M11">
        <v>89.59</v>
      </c>
    </row>
    <row r="12" spans="1:128" x14ac:dyDescent="0.35">
      <c r="A12" s="1" t="s">
        <v>28</v>
      </c>
      <c r="B12" s="2" t="s">
        <v>15</v>
      </c>
      <c r="C12" s="1" t="str">
        <f t="shared" si="0"/>
        <v>ACS5_9-23_WQ</v>
      </c>
      <c r="D12" s="10">
        <v>45195</v>
      </c>
      <c r="E12" s="131">
        <v>0.61736111111111114</v>
      </c>
      <c r="F12">
        <v>32.003999999999998</v>
      </c>
      <c r="G12">
        <v>78.099999999999994</v>
      </c>
      <c r="H12">
        <v>5.12</v>
      </c>
      <c r="I12">
        <v>20.12</v>
      </c>
      <c r="J12">
        <v>8</v>
      </c>
      <c r="K12">
        <v>20.55</v>
      </c>
      <c r="L12">
        <v>38.869999999999997</v>
      </c>
      <c r="M12">
        <v>116.6</v>
      </c>
    </row>
    <row r="13" spans="1:128" x14ac:dyDescent="0.35">
      <c r="A13" s="1" t="s">
        <v>34</v>
      </c>
      <c r="B13" s="2" t="s">
        <v>15</v>
      </c>
      <c r="C13" s="1" t="str">
        <f t="shared" si="0"/>
        <v>GB1_9-23_WQ</v>
      </c>
      <c r="D13" s="10">
        <v>45195</v>
      </c>
      <c r="E13" s="131">
        <v>0.60277777777777775</v>
      </c>
      <c r="F13">
        <v>30.731000000000002</v>
      </c>
      <c r="G13">
        <v>98.5</v>
      </c>
      <c r="H13">
        <v>6.32</v>
      </c>
      <c r="I13">
        <v>26.84</v>
      </c>
      <c r="J13">
        <v>8.18</v>
      </c>
      <c r="K13">
        <v>9.01</v>
      </c>
      <c r="L13">
        <v>29.6</v>
      </c>
      <c r="M13">
        <v>88.82</v>
      </c>
    </row>
    <row r="14" spans="1:128" x14ac:dyDescent="0.35">
      <c r="A14" s="1" t="s">
        <v>32</v>
      </c>
      <c r="B14" s="2" t="s">
        <v>15</v>
      </c>
      <c r="C14" s="1" t="str">
        <f t="shared" si="0"/>
        <v>DC2_9-23_WQ</v>
      </c>
      <c r="D14" s="10">
        <v>45195</v>
      </c>
      <c r="E14" s="131">
        <v>0.52430555555555558</v>
      </c>
      <c r="F14">
        <v>29.36</v>
      </c>
      <c r="G14">
        <v>29.3</v>
      </c>
      <c r="H14">
        <v>2.0299999999999998</v>
      </c>
      <c r="I14">
        <v>17.670000000000002</v>
      </c>
      <c r="J14">
        <v>7.67</v>
      </c>
      <c r="K14">
        <v>16.510000000000002</v>
      </c>
      <c r="L14">
        <v>45.42</v>
      </c>
      <c r="M14">
        <v>136.16999999999999</v>
      </c>
    </row>
    <row r="15" spans="1:128" x14ac:dyDescent="0.35">
      <c r="A15" s="1" t="s">
        <v>30</v>
      </c>
      <c r="B15" s="2" t="s">
        <v>15</v>
      </c>
      <c r="C15" s="1" t="str">
        <f t="shared" si="0"/>
        <v>DC1_9-23_WQ</v>
      </c>
      <c r="D15" s="10">
        <v>45195</v>
      </c>
      <c r="E15" s="131">
        <v>0.56180555555555556</v>
      </c>
      <c r="F15">
        <v>29.957999999999998</v>
      </c>
      <c r="G15">
        <v>34.6</v>
      </c>
      <c r="H15">
        <v>2.34</v>
      </c>
      <c r="I15">
        <v>19.77</v>
      </c>
      <c r="J15">
        <v>7.9</v>
      </c>
      <c r="K15">
        <v>20.100000000000001</v>
      </c>
      <c r="L15">
        <v>45.1</v>
      </c>
      <c r="M15">
        <v>135.27000000000001</v>
      </c>
    </row>
    <row r="16" spans="1:128" x14ac:dyDescent="0.35">
      <c r="A16" s="1" t="s">
        <v>24</v>
      </c>
      <c r="B16" s="2" t="s">
        <v>15</v>
      </c>
      <c r="C16" s="1" t="str">
        <f t="shared" si="0"/>
        <v>ACS1_9-23_WQ</v>
      </c>
      <c r="D16" s="10">
        <v>45195</v>
      </c>
      <c r="E16" s="131">
        <v>0.33124999999999999</v>
      </c>
      <c r="F16">
        <v>29.152999999999999</v>
      </c>
      <c r="G16">
        <v>84.3</v>
      </c>
      <c r="H16">
        <v>6.02</v>
      </c>
      <c r="I16">
        <v>12.97</v>
      </c>
      <c r="J16">
        <v>8.01</v>
      </c>
      <c r="K16">
        <v>3.82</v>
      </c>
      <c r="L16">
        <v>45.67</v>
      </c>
      <c r="M16">
        <v>137.03</v>
      </c>
    </row>
    <row r="17" spans="1:13" x14ac:dyDescent="0.35">
      <c r="A17" s="1" t="s">
        <v>31</v>
      </c>
      <c r="B17" s="2" t="s">
        <v>15</v>
      </c>
      <c r="C17" s="1" t="str">
        <f t="shared" si="0"/>
        <v>DCM1_9-23_WQ</v>
      </c>
      <c r="D17" s="10">
        <v>45195</v>
      </c>
      <c r="E17" s="131">
        <v>0.58263888888888893</v>
      </c>
      <c r="I17">
        <v>14.4</v>
      </c>
    </row>
    <row r="18" spans="1:13" x14ac:dyDescent="0.35">
      <c r="A18" s="1" t="s">
        <v>33</v>
      </c>
      <c r="B18" s="2" t="s">
        <v>15</v>
      </c>
      <c r="C18" s="1" t="str">
        <f t="shared" si="0"/>
        <v>DCM2_9-23_WQ</v>
      </c>
      <c r="D18" s="10">
        <v>45195</v>
      </c>
      <c r="E18" s="131">
        <v>0.54166666666666663</v>
      </c>
      <c r="I18">
        <v>6.6</v>
      </c>
    </row>
    <row r="19" spans="1:13" x14ac:dyDescent="0.35">
      <c r="A19" s="1" t="s">
        <v>27</v>
      </c>
      <c r="B19" s="2" t="s">
        <v>15</v>
      </c>
      <c r="C19" s="1" t="str">
        <f t="shared" si="0"/>
        <v>ACS4_9-23_WQ</v>
      </c>
      <c r="D19" s="10">
        <v>45195</v>
      </c>
      <c r="E19" s="131">
        <v>0.47083333333333333</v>
      </c>
      <c r="F19">
        <v>28.960999999999999</v>
      </c>
      <c r="G19">
        <v>62.5</v>
      </c>
      <c r="H19">
        <v>4.46</v>
      </c>
      <c r="I19">
        <v>12.86</v>
      </c>
      <c r="J19">
        <v>7.72</v>
      </c>
      <c r="K19">
        <v>4.1500000000000004</v>
      </c>
      <c r="L19">
        <v>45.63</v>
      </c>
      <c r="M19">
        <v>136.80000000000001</v>
      </c>
    </row>
    <row r="20" spans="1:13" x14ac:dyDescent="0.35">
      <c r="A20" s="1" t="s">
        <v>42</v>
      </c>
      <c r="B20" s="2" t="s">
        <v>15</v>
      </c>
      <c r="C20" s="1" t="str">
        <f t="shared" si="0"/>
        <v>TB2_9-23_WQ</v>
      </c>
      <c r="D20" s="10">
        <v>45196</v>
      </c>
      <c r="E20" s="131">
        <v>0.11041666666666666</v>
      </c>
      <c r="F20">
        <v>29.625</v>
      </c>
      <c r="G20">
        <v>93.9</v>
      </c>
      <c r="H20">
        <v>5.94</v>
      </c>
      <c r="I20">
        <v>34.17</v>
      </c>
      <c r="J20">
        <v>8.19</v>
      </c>
      <c r="K20">
        <v>5.36</v>
      </c>
      <c r="L20">
        <v>10.3</v>
      </c>
      <c r="M20">
        <v>31</v>
      </c>
    </row>
    <row r="21" spans="1:13" x14ac:dyDescent="0.35">
      <c r="A21" s="1" t="s">
        <v>51</v>
      </c>
      <c r="B21" s="2" t="s">
        <v>15</v>
      </c>
      <c r="C21" s="1" t="str">
        <f t="shared" si="0"/>
        <v>TBC_9-23_WQ</v>
      </c>
      <c r="D21" s="10">
        <v>45196</v>
      </c>
      <c r="E21" s="131">
        <v>0.56736111111111109</v>
      </c>
      <c r="F21">
        <v>29.954000000000001</v>
      </c>
      <c r="G21">
        <v>81.3</v>
      </c>
      <c r="H21">
        <v>5.19</v>
      </c>
      <c r="I21">
        <v>30.67</v>
      </c>
      <c r="J21">
        <v>7.9</v>
      </c>
      <c r="K21">
        <v>21.54</v>
      </c>
      <c r="L21">
        <v>16.07</v>
      </c>
      <c r="M21">
        <v>48.24</v>
      </c>
    </row>
    <row r="22" spans="1:13" x14ac:dyDescent="0.35">
      <c r="A22" s="1" t="s">
        <v>40</v>
      </c>
      <c r="B22" s="2" t="s">
        <v>15</v>
      </c>
      <c r="C22" s="1" t="str">
        <f t="shared" si="0"/>
        <v>TBCM_9-23_WQ</v>
      </c>
      <c r="D22" s="10">
        <v>45196</v>
      </c>
      <c r="E22" s="131">
        <v>0.59097222222222223</v>
      </c>
      <c r="I22">
        <v>28.2</v>
      </c>
    </row>
    <row r="23" spans="1:13" x14ac:dyDescent="0.35">
      <c r="A23" s="1" t="s">
        <v>43</v>
      </c>
      <c r="B23" s="2" t="s">
        <v>15</v>
      </c>
      <c r="C23" s="1" t="str">
        <f t="shared" si="0"/>
        <v>GB2_9-23_WQ</v>
      </c>
      <c r="D23" s="10">
        <v>45196</v>
      </c>
      <c r="E23" s="131">
        <v>0.15138888888888888</v>
      </c>
      <c r="F23">
        <v>29.896999999999998</v>
      </c>
      <c r="G23">
        <v>111.1</v>
      </c>
      <c r="H23">
        <v>6.99</v>
      </c>
      <c r="I23">
        <v>33.67</v>
      </c>
      <c r="J23">
        <v>8.24</v>
      </c>
      <c r="K23">
        <v>11.51</v>
      </c>
      <c r="L23">
        <v>13.43</v>
      </c>
      <c r="M23">
        <v>40.299999999999997</v>
      </c>
    </row>
    <row r="24" spans="1:13" x14ac:dyDescent="0.35">
      <c r="A24" s="1" t="s">
        <v>39</v>
      </c>
      <c r="B24" s="2" t="s">
        <v>15</v>
      </c>
      <c r="C24" s="1" t="str">
        <f t="shared" si="0"/>
        <v>TBHM_9-23_WQ</v>
      </c>
      <c r="D24" s="10">
        <v>45196</v>
      </c>
      <c r="E24" s="131">
        <v>0.52847222222222223</v>
      </c>
      <c r="I24">
        <v>12.6</v>
      </c>
    </row>
    <row r="25" spans="1:13" x14ac:dyDescent="0.35">
      <c r="A25" s="1" t="s">
        <v>44</v>
      </c>
      <c r="B25" s="2" t="s">
        <v>15</v>
      </c>
      <c r="C25" s="1" t="str">
        <f t="shared" si="0"/>
        <v>RB_9-23_WQ</v>
      </c>
      <c r="D25" s="10">
        <v>45196</v>
      </c>
      <c r="E25" s="131">
        <v>0.62916666666666665</v>
      </c>
      <c r="F25">
        <v>29.484999999999999</v>
      </c>
      <c r="G25">
        <v>111.3</v>
      </c>
      <c r="H25">
        <v>6.97</v>
      </c>
      <c r="I25">
        <v>35.770000000000003</v>
      </c>
      <c r="J25">
        <v>8.2100000000000009</v>
      </c>
      <c r="K25">
        <v>1.9</v>
      </c>
      <c r="L25">
        <v>14.37</v>
      </c>
      <c r="M25">
        <v>43.15</v>
      </c>
    </row>
    <row r="26" spans="1:13" x14ac:dyDescent="0.35">
      <c r="A26" s="1" t="s">
        <v>41</v>
      </c>
      <c r="B26" s="2" t="s">
        <v>15</v>
      </c>
      <c r="C26" s="1" t="str">
        <f t="shared" si="0"/>
        <v>TB1_9-23_WQ</v>
      </c>
      <c r="D26" s="10">
        <v>45196</v>
      </c>
      <c r="E26" s="131">
        <v>0.54374999999999996</v>
      </c>
      <c r="F26">
        <v>30.734000000000002</v>
      </c>
      <c r="G26">
        <v>65.400000000000006</v>
      </c>
      <c r="H26">
        <v>4.34</v>
      </c>
      <c r="I26">
        <v>21.43</v>
      </c>
      <c r="J26">
        <v>7.81</v>
      </c>
      <c r="K26">
        <v>8.73</v>
      </c>
      <c r="L26">
        <v>32.64</v>
      </c>
      <c r="M26">
        <v>97.94</v>
      </c>
    </row>
    <row r="27" spans="1:13" x14ac:dyDescent="0.35">
      <c r="A27" s="1" t="s">
        <v>37</v>
      </c>
      <c r="B27" s="2" t="s">
        <v>15</v>
      </c>
      <c r="C27" s="1" t="str">
        <f t="shared" si="0"/>
        <v>MCS3_9-23_WQ</v>
      </c>
      <c r="D27" s="10">
        <v>45196</v>
      </c>
      <c r="E27" s="131">
        <v>0.48541666666666666</v>
      </c>
      <c r="F27">
        <v>29.199000000000002</v>
      </c>
      <c r="G27">
        <v>89</v>
      </c>
      <c r="H27">
        <v>6.24</v>
      </c>
      <c r="I27">
        <v>15.8</v>
      </c>
      <c r="J27">
        <v>8</v>
      </c>
      <c r="K27">
        <v>3.96</v>
      </c>
      <c r="L27">
        <v>36.56</v>
      </c>
      <c r="M27">
        <v>109.7</v>
      </c>
    </row>
    <row r="28" spans="1:13" x14ac:dyDescent="0.35">
      <c r="A28" s="1" t="s">
        <v>38</v>
      </c>
      <c r="B28" s="2" t="s">
        <v>15</v>
      </c>
      <c r="C28" s="1" t="str">
        <f t="shared" si="0"/>
        <v>MCS4_9-23_WQ</v>
      </c>
      <c r="D28" s="10">
        <v>45196</v>
      </c>
      <c r="E28" s="131">
        <v>0.50624999999999998</v>
      </c>
      <c r="F28">
        <v>29.036000000000001</v>
      </c>
      <c r="G28">
        <v>65.5</v>
      </c>
      <c r="H28">
        <v>4.07</v>
      </c>
      <c r="I28">
        <v>17.45</v>
      </c>
      <c r="J28">
        <v>7.86</v>
      </c>
      <c r="K28">
        <v>8.49</v>
      </c>
      <c r="L28">
        <v>35.200000000000003</v>
      </c>
      <c r="M28">
        <v>105.13</v>
      </c>
    </row>
    <row r="29" spans="1:13" x14ac:dyDescent="0.35">
      <c r="A29" s="1" t="s">
        <v>35</v>
      </c>
      <c r="B29" s="2" t="s">
        <v>15</v>
      </c>
      <c r="C29" s="1" t="str">
        <f t="shared" si="0"/>
        <v>MCS1_9-23_WQ</v>
      </c>
      <c r="D29" s="10">
        <v>45196</v>
      </c>
      <c r="E29" s="131">
        <v>0.45069444444444445</v>
      </c>
      <c r="F29">
        <v>29.140999999999998</v>
      </c>
      <c r="G29">
        <v>95</v>
      </c>
      <c r="H29">
        <v>6.82</v>
      </c>
      <c r="I29">
        <v>12</v>
      </c>
      <c r="J29">
        <v>8.3699999999999992</v>
      </c>
      <c r="K29">
        <v>2.2799999999999998</v>
      </c>
      <c r="L29">
        <v>32.869999999999997</v>
      </c>
      <c r="M29">
        <v>98.63</v>
      </c>
    </row>
    <row r="30" spans="1:13" x14ac:dyDescent="0.35">
      <c r="A30" s="1" t="s">
        <v>36</v>
      </c>
      <c r="B30" s="2" t="s">
        <v>15</v>
      </c>
      <c r="C30" s="1" t="str">
        <f t="shared" si="0"/>
        <v>MCS2_9-23_WQ</v>
      </c>
      <c r="D30" s="10">
        <v>45196</v>
      </c>
      <c r="E30" s="131">
        <v>0.46944444444444444</v>
      </c>
      <c r="F30">
        <v>29.341000000000001</v>
      </c>
      <c r="G30">
        <v>94.4</v>
      </c>
      <c r="H30">
        <v>6.72</v>
      </c>
      <c r="I30">
        <v>12.96</v>
      </c>
      <c r="J30">
        <v>8.1300000000000008</v>
      </c>
      <c r="K30">
        <v>3.99</v>
      </c>
      <c r="L30">
        <v>32.28</v>
      </c>
      <c r="M30">
        <v>96.88</v>
      </c>
    </row>
    <row r="31" spans="1:13" x14ac:dyDescent="0.35">
      <c r="A31" s="1" t="s">
        <v>47</v>
      </c>
      <c r="B31" s="2" t="s">
        <v>15</v>
      </c>
      <c r="C31" s="1" t="str">
        <f t="shared" si="0"/>
        <v>TSM4_9-23_WQ</v>
      </c>
      <c r="D31" s="10">
        <v>45199</v>
      </c>
      <c r="E31" s="131">
        <v>0.38194444444444442</v>
      </c>
    </row>
    <row r="32" spans="1:13" x14ac:dyDescent="0.35">
      <c r="A32" s="1" t="s">
        <v>48</v>
      </c>
      <c r="B32" s="2" t="s">
        <v>15</v>
      </c>
      <c r="C32" s="1" t="str">
        <f t="shared" si="0"/>
        <v>SBT1_9-23_WQ</v>
      </c>
      <c r="D32" s="10">
        <v>45199</v>
      </c>
      <c r="E32" s="131">
        <v>0.34375</v>
      </c>
      <c r="I32">
        <v>28.3</v>
      </c>
    </row>
    <row r="33" spans="1:13" x14ac:dyDescent="0.35">
      <c r="A33" s="1" t="s">
        <v>46</v>
      </c>
      <c r="B33" s="2" t="s">
        <v>15</v>
      </c>
      <c r="C33" s="1" t="str">
        <f t="shared" si="0"/>
        <v>TSM3_9-23_WQ</v>
      </c>
      <c r="D33" s="10">
        <v>45199</v>
      </c>
      <c r="E33" s="131">
        <v>0.39930555555555558</v>
      </c>
    </row>
    <row r="34" spans="1:13" x14ac:dyDescent="0.35">
      <c r="A34" s="1" t="s">
        <v>45</v>
      </c>
      <c r="B34" s="2" t="s">
        <v>15</v>
      </c>
      <c r="C34" s="1" t="str">
        <f t="shared" si="0"/>
        <v>TSM1_9-23_WQ</v>
      </c>
      <c r="D34" s="10">
        <v>45199</v>
      </c>
      <c r="E34" s="131">
        <v>0.44444444444444442</v>
      </c>
    </row>
    <row r="35" spans="1:13" x14ac:dyDescent="0.35">
      <c r="A35" s="1" t="s">
        <v>55</v>
      </c>
      <c r="B35" s="2" t="s">
        <v>15</v>
      </c>
      <c r="C35" s="1" t="str">
        <f t="shared" si="0"/>
        <v>JB_9-23_WQ</v>
      </c>
      <c r="D35" s="10">
        <v>45204</v>
      </c>
      <c r="E35" s="131">
        <v>5.6250000000000001E-2</v>
      </c>
      <c r="F35">
        <v>28.937000000000001</v>
      </c>
      <c r="G35">
        <v>115.4</v>
      </c>
      <c r="H35">
        <v>7.54</v>
      </c>
      <c r="I35">
        <v>37.19</v>
      </c>
      <c r="J35">
        <v>8.56</v>
      </c>
      <c r="K35">
        <v>-0.1</v>
      </c>
      <c r="L35">
        <v>6.44</v>
      </c>
      <c r="M35">
        <v>19.32</v>
      </c>
    </row>
    <row r="36" spans="1:13" x14ac:dyDescent="0.35">
      <c r="A36" s="1" t="s">
        <v>54</v>
      </c>
      <c r="B36" s="2" t="s">
        <v>15</v>
      </c>
      <c r="C36" s="1" t="str">
        <f t="shared" si="0"/>
        <v>TKB_9-23_WQ</v>
      </c>
      <c r="D36" s="10">
        <v>45204</v>
      </c>
      <c r="E36" s="131">
        <v>0.5</v>
      </c>
      <c r="F36">
        <v>28.866</v>
      </c>
      <c r="G36">
        <v>104.5</v>
      </c>
      <c r="H36">
        <v>6.53</v>
      </c>
      <c r="I36">
        <v>38.15</v>
      </c>
      <c r="J36">
        <v>8.3000000000000007</v>
      </c>
      <c r="K36">
        <v>0.24</v>
      </c>
      <c r="L36">
        <v>6.84</v>
      </c>
      <c r="M36">
        <v>20.57</v>
      </c>
    </row>
    <row r="37" spans="1:13" x14ac:dyDescent="0.35">
      <c r="A37" s="1" t="s">
        <v>49</v>
      </c>
      <c r="B37" s="2" t="s">
        <v>15</v>
      </c>
      <c r="C37" s="1" t="str">
        <f t="shared" si="0"/>
        <v>SBT2_9-23_WQ</v>
      </c>
      <c r="D37" s="10">
        <v>45204</v>
      </c>
      <c r="E37" s="131">
        <v>0.37847222222222221</v>
      </c>
      <c r="F37">
        <v>28.196999999999999</v>
      </c>
      <c r="G37">
        <v>72.599999999999994</v>
      </c>
      <c r="H37">
        <v>4.5999999999999996</v>
      </c>
      <c r="I37">
        <v>36.89</v>
      </c>
      <c r="J37">
        <v>8.0399999999999991</v>
      </c>
      <c r="K37">
        <v>7.5</v>
      </c>
      <c r="L37">
        <v>11.51</v>
      </c>
      <c r="M37">
        <v>34.479999999999997</v>
      </c>
    </row>
    <row r="38" spans="1:13" x14ac:dyDescent="0.35">
      <c r="A38" s="1" t="s">
        <v>56</v>
      </c>
      <c r="B38" s="2" t="s">
        <v>15</v>
      </c>
      <c r="C38" s="1" t="str">
        <f t="shared" si="0"/>
        <v>CC_9-23_WQ</v>
      </c>
      <c r="D38" s="10">
        <v>45204</v>
      </c>
      <c r="E38" s="131">
        <v>0.10069444444444445</v>
      </c>
      <c r="F38">
        <v>29.215</v>
      </c>
      <c r="G38">
        <v>109.7</v>
      </c>
      <c r="H38">
        <v>6.84</v>
      </c>
      <c r="I38">
        <v>37.15</v>
      </c>
      <c r="J38">
        <v>8.16</v>
      </c>
      <c r="K38">
        <v>6.37</v>
      </c>
      <c r="L38">
        <v>4.21</v>
      </c>
      <c r="M38">
        <v>12.65</v>
      </c>
    </row>
    <row r="39" spans="1:13" x14ac:dyDescent="0.35">
      <c r="A39" s="1" t="s">
        <v>53</v>
      </c>
      <c r="B39" s="2" t="s">
        <v>15</v>
      </c>
      <c r="C39" s="1" t="str">
        <f t="shared" si="0"/>
        <v>WB2_9-23_WQ</v>
      </c>
      <c r="D39" s="10">
        <v>45204</v>
      </c>
      <c r="E39" s="131">
        <v>0.4513888888888889</v>
      </c>
      <c r="F39">
        <v>29.382000000000001</v>
      </c>
      <c r="G39">
        <v>104.8</v>
      </c>
      <c r="H39">
        <v>6.62</v>
      </c>
      <c r="I39">
        <v>37.409999999999997</v>
      </c>
      <c r="J39">
        <v>8.24</v>
      </c>
      <c r="K39">
        <v>0.98</v>
      </c>
      <c r="L39">
        <v>8.9499999999999993</v>
      </c>
      <c r="M39">
        <v>26.89</v>
      </c>
    </row>
    <row r="40" spans="1:13" x14ac:dyDescent="0.35">
      <c r="A40" s="1" t="s">
        <v>52</v>
      </c>
      <c r="B40" s="2" t="s">
        <v>15</v>
      </c>
      <c r="C40" s="1" t="str">
        <f t="shared" si="0"/>
        <v>WB1_9-23_WQ</v>
      </c>
      <c r="D40" s="10">
        <v>45204</v>
      </c>
      <c r="E40" s="131">
        <v>0.42777777777777776</v>
      </c>
      <c r="F40">
        <v>28.192</v>
      </c>
      <c r="G40">
        <v>85.6</v>
      </c>
      <c r="H40">
        <v>5.48</v>
      </c>
      <c r="I40">
        <v>35.619999999999997</v>
      </c>
      <c r="J40">
        <v>8.0399999999999991</v>
      </c>
      <c r="K40">
        <v>1.56</v>
      </c>
      <c r="L40">
        <v>12.05</v>
      </c>
      <c r="M40">
        <v>36.14</v>
      </c>
    </row>
    <row r="41" spans="1:13" x14ac:dyDescent="0.35">
      <c r="A41" s="1" t="s">
        <v>34</v>
      </c>
      <c r="B41" s="2" t="s">
        <v>110</v>
      </c>
      <c r="C41" s="1" t="str">
        <f t="shared" si="0"/>
        <v>GB1_1123E_WQ</v>
      </c>
      <c r="D41" s="10">
        <v>45258</v>
      </c>
      <c r="E41" s="131">
        <v>0.34027777777777779</v>
      </c>
      <c r="F41">
        <v>23.2</v>
      </c>
      <c r="G41">
        <v>64</v>
      </c>
      <c r="H41">
        <v>5</v>
      </c>
      <c r="I41">
        <v>16.899999999999999</v>
      </c>
    </row>
    <row r="42" spans="1:13" x14ac:dyDescent="0.35">
      <c r="A42" s="1" t="s">
        <v>24</v>
      </c>
      <c r="B42" s="2" t="s">
        <v>110</v>
      </c>
      <c r="C42" s="1" t="str">
        <f t="shared" si="0"/>
        <v>ACS1_1123E_WQ</v>
      </c>
      <c r="D42" s="10">
        <v>45258</v>
      </c>
      <c r="E42" s="131">
        <v>0.44513888888888886</v>
      </c>
      <c r="F42">
        <v>25.2</v>
      </c>
      <c r="G42">
        <v>97</v>
      </c>
      <c r="H42">
        <v>7.6</v>
      </c>
      <c r="I42">
        <v>10</v>
      </c>
    </row>
    <row r="43" spans="1:13" x14ac:dyDescent="0.35">
      <c r="A43" s="1" t="s">
        <v>46</v>
      </c>
      <c r="B43" s="2" t="s">
        <v>110</v>
      </c>
      <c r="C43" s="1" t="str">
        <f t="shared" si="0"/>
        <v>TSM3_1123E_WQ</v>
      </c>
      <c r="D43" s="10">
        <v>45258</v>
      </c>
      <c r="E43" s="131">
        <v>0.55069444444444449</v>
      </c>
      <c r="F43">
        <v>25.2</v>
      </c>
      <c r="G43">
        <v>75</v>
      </c>
      <c r="H43">
        <v>6.3</v>
      </c>
      <c r="I43">
        <v>0.2</v>
      </c>
    </row>
    <row r="44" spans="1:13" x14ac:dyDescent="0.35">
      <c r="A44" s="1" t="s">
        <v>47</v>
      </c>
      <c r="B44" s="2" t="s">
        <v>110</v>
      </c>
      <c r="C44" s="1" t="str">
        <f t="shared" si="0"/>
        <v>TSM4_1123E_WQ</v>
      </c>
      <c r="D44" s="10">
        <v>45258</v>
      </c>
      <c r="E44" s="131">
        <v>0.53819444444444442</v>
      </c>
      <c r="F44">
        <v>24.4</v>
      </c>
      <c r="G44">
        <v>55</v>
      </c>
      <c r="H44">
        <v>4.7</v>
      </c>
      <c r="I44">
        <v>0.2</v>
      </c>
    </row>
    <row r="45" spans="1:13" x14ac:dyDescent="0.35">
      <c r="A45" s="1" t="s">
        <v>48</v>
      </c>
      <c r="B45" s="2" t="s">
        <v>110</v>
      </c>
      <c r="C45" s="1" t="str">
        <f t="shared" si="0"/>
        <v>SBT1_1123E_WQ</v>
      </c>
      <c r="D45" s="10">
        <v>45258</v>
      </c>
      <c r="E45" s="131">
        <v>0.50763888888888886</v>
      </c>
      <c r="F45">
        <v>23.5</v>
      </c>
      <c r="G45">
        <v>11</v>
      </c>
      <c r="H45">
        <v>1.04</v>
      </c>
      <c r="I45">
        <v>10.5</v>
      </c>
    </row>
    <row r="46" spans="1:13" x14ac:dyDescent="0.35">
      <c r="A46" s="1" t="s">
        <v>30</v>
      </c>
      <c r="B46" s="2" t="s">
        <v>110</v>
      </c>
      <c r="C46" s="1" t="str">
        <f t="shared" si="0"/>
        <v>DC1_1123E_WQ</v>
      </c>
      <c r="D46" s="10">
        <v>45258</v>
      </c>
      <c r="E46" s="131">
        <v>0.36388888888888887</v>
      </c>
      <c r="F46">
        <v>20.2</v>
      </c>
      <c r="G46">
        <v>9</v>
      </c>
      <c r="H46">
        <v>0.8</v>
      </c>
      <c r="I46">
        <v>14.4</v>
      </c>
    </row>
    <row r="47" spans="1:13" x14ac:dyDescent="0.35">
      <c r="A47" s="1" t="s">
        <v>31</v>
      </c>
      <c r="B47" s="2" t="s">
        <v>110</v>
      </c>
      <c r="C47" s="1" t="str">
        <f t="shared" si="0"/>
        <v>DCM1_1123E_WQ</v>
      </c>
      <c r="D47" s="10">
        <v>45258</v>
      </c>
      <c r="E47" s="131">
        <v>0.37291666666666667</v>
      </c>
      <c r="F47">
        <v>20</v>
      </c>
      <c r="G47">
        <v>55</v>
      </c>
      <c r="H47">
        <v>4.7</v>
      </c>
      <c r="I47">
        <v>3.6</v>
      </c>
    </row>
    <row r="48" spans="1:13" x14ac:dyDescent="0.35">
      <c r="A48" s="1" t="s">
        <v>14</v>
      </c>
      <c r="B48" s="2" t="s">
        <v>57</v>
      </c>
      <c r="C48" s="1" t="str">
        <f t="shared" si="0"/>
        <v>P37_11_23_WQ</v>
      </c>
      <c r="D48" s="10">
        <v>45259</v>
      </c>
    </row>
    <row r="49" spans="1:9" x14ac:dyDescent="0.35">
      <c r="A49" s="1" t="s">
        <v>21</v>
      </c>
      <c r="B49" s="2" t="s">
        <v>57</v>
      </c>
      <c r="C49" s="1" t="str">
        <f t="shared" si="0"/>
        <v>EP146_11_23_WQ</v>
      </c>
      <c r="D49" s="10">
        <v>45259</v>
      </c>
    </row>
    <row r="50" spans="1:9" x14ac:dyDescent="0.35">
      <c r="A50" s="1" t="s">
        <v>20</v>
      </c>
      <c r="B50" s="2" t="s">
        <v>57</v>
      </c>
      <c r="C50" s="1" t="str">
        <f t="shared" si="0"/>
        <v>CP_11_23_WQ</v>
      </c>
      <c r="D50" s="10">
        <v>45259</v>
      </c>
    </row>
    <row r="51" spans="1:9" x14ac:dyDescent="0.35">
      <c r="A51" s="1" t="s">
        <v>22</v>
      </c>
      <c r="B51" s="2" t="s">
        <v>57</v>
      </c>
      <c r="C51" s="1" t="str">
        <f t="shared" si="0"/>
        <v>OL_11_23_WQ</v>
      </c>
      <c r="D51" s="10">
        <v>45259</v>
      </c>
    </row>
    <row r="52" spans="1:9" x14ac:dyDescent="0.35">
      <c r="A52" s="1" t="s">
        <v>23</v>
      </c>
      <c r="B52" s="2" t="s">
        <v>57</v>
      </c>
      <c r="C52" s="1" t="str">
        <f t="shared" si="0"/>
        <v>R127_11_23_WQ</v>
      </c>
      <c r="D52" s="10">
        <v>45259</v>
      </c>
    </row>
    <row r="53" spans="1:9" x14ac:dyDescent="0.35">
      <c r="A53" s="1" t="s">
        <v>58</v>
      </c>
      <c r="B53" s="2" t="s">
        <v>57</v>
      </c>
      <c r="C53" s="1" t="str">
        <f t="shared" si="0"/>
        <v>TSH_11_23_WQ</v>
      </c>
      <c r="D53" s="10">
        <v>45259</v>
      </c>
    </row>
    <row r="54" spans="1:9" x14ac:dyDescent="0.35">
      <c r="A54" s="1" t="s">
        <v>19</v>
      </c>
      <c r="B54" s="2" t="s">
        <v>57</v>
      </c>
      <c r="C54" s="1" t="str">
        <f t="shared" si="0"/>
        <v>NCL_11_23_WQ</v>
      </c>
      <c r="D54" s="10">
        <v>45259</v>
      </c>
    </row>
    <row r="55" spans="1:9" x14ac:dyDescent="0.35">
      <c r="A55" s="1" t="s">
        <v>49</v>
      </c>
      <c r="B55" s="2" t="s">
        <v>110</v>
      </c>
      <c r="C55" s="1" t="str">
        <f t="shared" si="0"/>
        <v>SBT2_1123E_WQ</v>
      </c>
      <c r="D55" s="10">
        <v>45260</v>
      </c>
      <c r="E55" s="131">
        <v>0.43611111111111112</v>
      </c>
      <c r="F55">
        <v>20.9</v>
      </c>
      <c r="G55">
        <v>136</v>
      </c>
      <c r="H55">
        <v>9.3000000000000007</v>
      </c>
      <c r="I55">
        <v>34.5</v>
      </c>
    </row>
    <row r="56" spans="1:9" x14ac:dyDescent="0.35">
      <c r="A56" s="1" t="s">
        <v>55</v>
      </c>
      <c r="B56" s="2" t="s">
        <v>110</v>
      </c>
      <c r="C56" s="1" t="str">
        <f t="shared" si="0"/>
        <v>JB_1123E_WQ</v>
      </c>
      <c r="D56" s="10">
        <v>45260</v>
      </c>
      <c r="E56" s="131">
        <v>0.47361111111111109</v>
      </c>
      <c r="F56">
        <v>20.9</v>
      </c>
      <c r="G56">
        <v>106</v>
      </c>
      <c r="H56">
        <v>7.7</v>
      </c>
      <c r="I56">
        <v>35.9</v>
      </c>
    </row>
    <row r="57" spans="1:9" x14ac:dyDescent="0.35">
      <c r="A57" s="1" t="s">
        <v>44</v>
      </c>
      <c r="B57" s="2" t="s">
        <v>110</v>
      </c>
      <c r="C57" s="1" t="str">
        <f t="shared" si="0"/>
        <v>RB_1123E_WQ</v>
      </c>
      <c r="D57" s="10">
        <v>45260</v>
      </c>
      <c r="E57" s="131">
        <v>0.36249999999999999</v>
      </c>
      <c r="F57">
        <v>20.5</v>
      </c>
      <c r="G57">
        <v>77</v>
      </c>
      <c r="H57">
        <v>6</v>
      </c>
      <c r="I57">
        <v>29.2</v>
      </c>
    </row>
    <row r="58" spans="1:9" x14ac:dyDescent="0.35">
      <c r="A58" s="1" t="s">
        <v>54</v>
      </c>
      <c r="B58" s="2" t="s">
        <v>110</v>
      </c>
      <c r="C58" s="1" t="str">
        <f t="shared" si="0"/>
        <v>TKB_1123E_WQ</v>
      </c>
      <c r="D58" s="10">
        <v>45260</v>
      </c>
      <c r="E58" s="131">
        <v>0.52916666666666667</v>
      </c>
      <c r="F58">
        <v>22.6</v>
      </c>
      <c r="G58">
        <v>101</v>
      </c>
      <c r="H58">
        <v>7.4</v>
      </c>
      <c r="I58">
        <v>30</v>
      </c>
    </row>
    <row r="59" spans="1:9" x14ac:dyDescent="0.35">
      <c r="A59" s="1" t="s">
        <v>52</v>
      </c>
      <c r="B59" s="2" t="s">
        <v>110</v>
      </c>
      <c r="C59" s="1" t="str">
        <f t="shared" si="0"/>
        <v>WB1_1123E_WQ</v>
      </c>
      <c r="D59" s="10">
        <v>45260</v>
      </c>
      <c r="E59" s="131">
        <v>5.6944444444444443E-2</v>
      </c>
      <c r="F59">
        <v>22.2</v>
      </c>
      <c r="G59">
        <v>96</v>
      </c>
      <c r="H59">
        <v>7.2</v>
      </c>
      <c r="I59">
        <v>26.2</v>
      </c>
    </row>
    <row r="60" spans="1:9" x14ac:dyDescent="0.35">
      <c r="A60" s="1" t="s">
        <v>43</v>
      </c>
      <c r="B60" s="2" t="s">
        <v>110</v>
      </c>
      <c r="C60" s="1" t="str">
        <f t="shared" si="0"/>
        <v>GB2_1123E_WQ</v>
      </c>
      <c r="D60" s="10">
        <v>45260</v>
      </c>
      <c r="E60" s="131">
        <v>0.37847222222222221</v>
      </c>
      <c r="F60">
        <v>19.899999999999999</v>
      </c>
      <c r="G60">
        <v>89</v>
      </c>
      <c r="H60">
        <v>7.2</v>
      </c>
      <c r="I60">
        <v>21.7</v>
      </c>
    </row>
    <row r="61" spans="1:9" x14ac:dyDescent="0.35">
      <c r="A61" s="1" t="s">
        <v>42</v>
      </c>
      <c r="B61" s="2" t="s">
        <v>110</v>
      </c>
      <c r="C61" s="1" t="str">
        <f t="shared" si="0"/>
        <v>TB2_1123E_WQ</v>
      </c>
      <c r="D61" s="10">
        <v>45260</v>
      </c>
      <c r="E61" s="131">
        <v>7.7777777777777779E-2</v>
      </c>
      <c r="F61">
        <v>22.5</v>
      </c>
      <c r="G61">
        <v>98</v>
      </c>
      <c r="H61">
        <v>7.6</v>
      </c>
      <c r="I61">
        <v>22.1</v>
      </c>
    </row>
    <row r="62" spans="1:9" x14ac:dyDescent="0.35">
      <c r="A62" s="1" t="s">
        <v>41</v>
      </c>
      <c r="B62" s="2" t="s">
        <v>110</v>
      </c>
      <c r="C62" s="1" t="str">
        <f t="shared" si="0"/>
        <v>TB1_1123E_WQ</v>
      </c>
      <c r="D62" s="10">
        <v>45260</v>
      </c>
      <c r="E62" s="131">
        <v>9.3055555555555558E-2</v>
      </c>
      <c r="F62">
        <v>22.8</v>
      </c>
      <c r="G62">
        <v>98</v>
      </c>
      <c r="H62">
        <v>8.1</v>
      </c>
      <c r="I62">
        <v>8.6</v>
      </c>
    </row>
    <row r="63" spans="1:9" x14ac:dyDescent="0.35">
      <c r="A63" s="1" t="s">
        <v>35</v>
      </c>
      <c r="B63" s="2" t="s">
        <v>110</v>
      </c>
      <c r="C63" s="1" t="str">
        <f t="shared" si="0"/>
        <v>MCS1_1123E_WQ</v>
      </c>
      <c r="D63" s="10">
        <v>45260</v>
      </c>
      <c r="E63" s="131">
        <v>0.12638888888888888</v>
      </c>
      <c r="F63">
        <v>22.8</v>
      </c>
      <c r="G63">
        <v>99</v>
      </c>
      <c r="H63">
        <v>8.3000000000000007</v>
      </c>
      <c r="I63">
        <v>5</v>
      </c>
    </row>
    <row r="64" spans="1:9" x14ac:dyDescent="0.35">
      <c r="A64" s="1" t="s">
        <v>43</v>
      </c>
      <c r="B64" s="2" t="s">
        <v>61</v>
      </c>
      <c r="C64" s="1" t="str">
        <f t="shared" si="0"/>
        <v>GB2_1-24_WQ</v>
      </c>
      <c r="D64" s="10">
        <v>45297</v>
      </c>
      <c r="E64" s="131">
        <v>0.375</v>
      </c>
      <c r="F64">
        <v>21.7</v>
      </c>
      <c r="G64">
        <v>92</v>
      </c>
      <c r="H64">
        <v>7</v>
      </c>
      <c r="I64">
        <v>24.6</v>
      </c>
    </row>
    <row r="65" spans="1:9" x14ac:dyDescent="0.35">
      <c r="A65" s="1" t="s">
        <v>44</v>
      </c>
      <c r="B65" s="2" t="s">
        <v>61</v>
      </c>
      <c r="C65" s="1" t="str">
        <f t="shared" si="0"/>
        <v>RB_1-24_WQ</v>
      </c>
      <c r="D65" s="10">
        <v>45297</v>
      </c>
      <c r="E65" s="131">
        <v>0.37013888888888891</v>
      </c>
      <c r="F65">
        <v>21.1</v>
      </c>
      <c r="G65">
        <v>87</v>
      </c>
      <c r="H65">
        <v>6.7</v>
      </c>
      <c r="I65">
        <v>26.4</v>
      </c>
    </row>
    <row r="66" spans="1:9" x14ac:dyDescent="0.35">
      <c r="A66" s="1" t="s">
        <v>49</v>
      </c>
      <c r="B66" s="2" t="s">
        <v>61</v>
      </c>
      <c r="C66" s="1" t="str">
        <f t="shared" si="0"/>
        <v>SBT2_1-24_WQ</v>
      </c>
      <c r="D66" s="10">
        <v>45297</v>
      </c>
      <c r="E66" s="131">
        <v>0.4236111111111111</v>
      </c>
      <c r="F66">
        <v>21.7</v>
      </c>
      <c r="G66">
        <v>59</v>
      </c>
      <c r="H66">
        <v>4.3</v>
      </c>
      <c r="I66">
        <v>31.2</v>
      </c>
    </row>
    <row r="67" spans="1:9" x14ac:dyDescent="0.35">
      <c r="A67" s="1" t="s">
        <v>55</v>
      </c>
      <c r="B67" s="2" t="s">
        <v>61</v>
      </c>
      <c r="C67" s="1" t="str">
        <f t="shared" ref="C67:C130" si="1">A67&amp;"_"&amp;B67&amp;"_WQ"</f>
        <v>JB_1-24_WQ</v>
      </c>
      <c r="D67" s="10">
        <v>45297</v>
      </c>
      <c r="E67" s="131">
        <v>0.59513888888888888</v>
      </c>
      <c r="F67">
        <v>22.1</v>
      </c>
      <c r="G67">
        <v>108</v>
      </c>
      <c r="H67">
        <v>7.8</v>
      </c>
      <c r="I67">
        <v>33.1</v>
      </c>
    </row>
    <row r="68" spans="1:9" x14ac:dyDescent="0.35">
      <c r="A68" s="1" t="s">
        <v>56</v>
      </c>
      <c r="B68" s="2" t="s">
        <v>61</v>
      </c>
      <c r="C68" s="1" t="str">
        <f t="shared" si="1"/>
        <v>CC_1-24_WQ</v>
      </c>
      <c r="D68" s="10">
        <v>45297</v>
      </c>
      <c r="E68" s="131">
        <v>0.4826388888888889</v>
      </c>
      <c r="F68">
        <v>20.8</v>
      </c>
      <c r="G68">
        <v>94</v>
      </c>
      <c r="H68">
        <v>7.1</v>
      </c>
      <c r="I68">
        <v>29.6</v>
      </c>
    </row>
    <row r="69" spans="1:9" x14ac:dyDescent="0.35">
      <c r="A69" s="121" t="s">
        <v>54</v>
      </c>
      <c r="B69" s="129" t="s">
        <v>61</v>
      </c>
      <c r="C69" s="1" t="str">
        <f t="shared" si="1"/>
        <v>TKB_1-24_WQ</v>
      </c>
      <c r="D69" s="130">
        <v>45297</v>
      </c>
      <c r="E69" s="131">
        <v>0.65833333333333333</v>
      </c>
      <c r="F69">
        <v>21.9</v>
      </c>
      <c r="G69">
        <v>115</v>
      </c>
      <c r="H69">
        <v>8.6999999999999993</v>
      </c>
      <c r="I69">
        <v>26.1</v>
      </c>
    </row>
    <row r="70" spans="1:9" x14ac:dyDescent="0.35">
      <c r="A70" s="1" t="s">
        <v>52</v>
      </c>
      <c r="B70" s="2" t="s">
        <v>61</v>
      </c>
      <c r="C70" s="1" t="str">
        <f t="shared" si="1"/>
        <v>WB1_1-24_WQ</v>
      </c>
      <c r="D70" s="10">
        <v>45298</v>
      </c>
      <c r="E70" s="131">
        <v>0.56805555555555554</v>
      </c>
      <c r="F70">
        <v>22.8</v>
      </c>
      <c r="G70">
        <v>101</v>
      </c>
      <c r="H70">
        <v>7.6</v>
      </c>
      <c r="I70">
        <v>23.4</v>
      </c>
    </row>
    <row r="71" spans="1:9" x14ac:dyDescent="0.35">
      <c r="A71" s="1" t="s">
        <v>41</v>
      </c>
      <c r="B71" s="2" t="s">
        <v>61</v>
      </c>
      <c r="C71" s="1" t="str">
        <f t="shared" si="1"/>
        <v>TB1_1-24_WQ</v>
      </c>
      <c r="D71" s="10">
        <v>45298</v>
      </c>
      <c r="E71" s="131">
        <v>0.46875</v>
      </c>
      <c r="F71">
        <v>23.2</v>
      </c>
      <c r="G71">
        <v>97</v>
      </c>
      <c r="H71">
        <v>8</v>
      </c>
      <c r="I71">
        <v>8.6</v>
      </c>
    </row>
    <row r="72" spans="1:9" x14ac:dyDescent="0.35">
      <c r="A72" s="1" t="s">
        <v>36</v>
      </c>
      <c r="B72" s="2" t="s">
        <v>61</v>
      </c>
      <c r="C72" s="1" t="str">
        <f t="shared" si="1"/>
        <v>MCS2_1-24_WQ</v>
      </c>
      <c r="D72" s="10">
        <v>45298</v>
      </c>
      <c r="E72" s="131">
        <v>0.40347222222222223</v>
      </c>
      <c r="F72">
        <v>22.2</v>
      </c>
      <c r="G72">
        <v>95</v>
      </c>
      <c r="H72">
        <v>8</v>
      </c>
      <c r="I72">
        <v>3.4</v>
      </c>
    </row>
    <row r="73" spans="1:9" x14ac:dyDescent="0.35">
      <c r="A73" s="1" t="s">
        <v>37</v>
      </c>
      <c r="B73" s="2" t="s">
        <v>61</v>
      </c>
      <c r="C73" s="1" t="str">
        <f t="shared" si="1"/>
        <v>MCS3_1-24_WQ</v>
      </c>
      <c r="D73" s="10">
        <v>45298</v>
      </c>
      <c r="E73" s="131">
        <v>0.41875000000000001</v>
      </c>
      <c r="F73">
        <v>22.4</v>
      </c>
      <c r="G73">
        <v>108</v>
      </c>
      <c r="H73">
        <v>9</v>
      </c>
      <c r="I73">
        <v>5.7</v>
      </c>
    </row>
    <row r="74" spans="1:9" x14ac:dyDescent="0.35">
      <c r="A74" s="1" t="s">
        <v>39</v>
      </c>
      <c r="B74" s="2" t="s">
        <v>61</v>
      </c>
      <c r="C74" s="1" t="str">
        <f t="shared" si="1"/>
        <v>TBHM_1-24_WQ</v>
      </c>
      <c r="D74" s="10">
        <v>45298</v>
      </c>
      <c r="E74" s="131">
        <v>0.45208333333333334</v>
      </c>
      <c r="F74">
        <v>21.9</v>
      </c>
      <c r="G74">
        <v>37</v>
      </c>
      <c r="H74">
        <v>3.1</v>
      </c>
      <c r="I74">
        <v>5.6</v>
      </c>
    </row>
    <row r="75" spans="1:9" x14ac:dyDescent="0.35">
      <c r="A75" s="1" t="s">
        <v>40</v>
      </c>
      <c r="B75" s="2" t="s">
        <v>61</v>
      </c>
      <c r="C75" s="1" t="str">
        <f t="shared" si="1"/>
        <v>TBCM_1-24_WQ</v>
      </c>
      <c r="D75" s="10">
        <v>45298</v>
      </c>
      <c r="E75" s="131">
        <v>0.50069444444444444</v>
      </c>
      <c r="F75">
        <v>25.4</v>
      </c>
      <c r="G75">
        <v>92</v>
      </c>
      <c r="H75">
        <v>7.1</v>
      </c>
      <c r="I75">
        <v>7.4</v>
      </c>
    </row>
    <row r="76" spans="1:9" x14ac:dyDescent="0.35">
      <c r="A76" s="1" t="s">
        <v>35</v>
      </c>
      <c r="B76" s="2" t="s">
        <v>61</v>
      </c>
      <c r="C76" s="1" t="str">
        <f t="shared" si="1"/>
        <v>MCS1_1-24_WQ</v>
      </c>
      <c r="D76" s="10">
        <v>45298</v>
      </c>
      <c r="E76" s="131">
        <v>0.38819444444444445</v>
      </c>
      <c r="F76">
        <v>22</v>
      </c>
      <c r="G76">
        <v>94</v>
      </c>
      <c r="H76">
        <v>8</v>
      </c>
      <c r="I76">
        <v>3.2</v>
      </c>
    </row>
    <row r="77" spans="1:9" x14ac:dyDescent="0.35">
      <c r="A77" s="1" t="s">
        <v>38</v>
      </c>
      <c r="B77" s="2" t="s">
        <v>61</v>
      </c>
      <c r="C77" s="1" t="str">
        <f t="shared" si="1"/>
        <v>MCS4_1-24_WQ</v>
      </c>
      <c r="D77" s="10">
        <v>45298</v>
      </c>
      <c r="E77" s="131">
        <v>0.43888888888888888</v>
      </c>
      <c r="F77">
        <v>22.6</v>
      </c>
      <c r="G77">
        <v>99</v>
      </c>
      <c r="H77">
        <v>8.1999999999999993</v>
      </c>
      <c r="I77">
        <v>5.7</v>
      </c>
    </row>
    <row r="78" spans="1:9" x14ac:dyDescent="0.35">
      <c r="A78" s="1" t="s">
        <v>51</v>
      </c>
      <c r="B78" s="2" t="s">
        <v>61</v>
      </c>
      <c r="C78" s="1" t="str">
        <f t="shared" si="1"/>
        <v>TBC_1-24_WQ</v>
      </c>
      <c r="D78" s="10">
        <v>45298</v>
      </c>
      <c r="E78" s="131">
        <v>0.48888888888888887</v>
      </c>
      <c r="F78">
        <v>23.4</v>
      </c>
      <c r="G78">
        <v>55</v>
      </c>
      <c r="H78">
        <v>4.5</v>
      </c>
      <c r="I78">
        <v>7.7</v>
      </c>
    </row>
    <row r="79" spans="1:9" x14ac:dyDescent="0.35">
      <c r="A79" s="1" t="s">
        <v>42</v>
      </c>
      <c r="B79" s="2" t="s">
        <v>61</v>
      </c>
      <c r="C79" s="1" t="str">
        <f t="shared" si="1"/>
        <v>TB2_1-24_WQ</v>
      </c>
      <c r="D79" s="10">
        <v>45298</v>
      </c>
      <c r="E79" s="131">
        <v>0.5229166666666667</v>
      </c>
      <c r="F79">
        <v>22.6</v>
      </c>
      <c r="G79">
        <v>99</v>
      </c>
      <c r="H79">
        <v>7.7</v>
      </c>
      <c r="I79">
        <v>18.8</v>
      </c>
    </row>
    <row r="80" spans="1:9" x14ac:dyDescent="0.35">
      <c r="A80" s="1" t="s">
        <v>53</v>
      </c>
      <c r="B80" s="2" t="s">
        <v>61</v>
      </c>
      <c r="C80" s="1" t="str">
        <f t="shared" si="1"/>
        <v>WB2_1-24_WQ</v>
      </c>
      <c r="D80" s="10">
        <v>45298</v>
      </c>
      <c r="E80" s="131">
        <v>0.55138888888888893</v>
      </c>
      <c r="F80">
        <v>22.4</v>
      </c>
      <c r="G80">
        <v>105</v>
      </c>
      <c r="H80">
        <v>8</v>
      </c>
      <c r="I80">
        <v>23.5</v>
      </c>
    </row>
    <row r="81" spans="1:9" x14ac:dyDescent="0.35">
      <c r="A81" s="1" t="s">
        <v>28</v>
      </c>
      <c r="B81" s="2" t="s">
        <v>61</v>
      </c>
      <c r="C81" s="1" t="str">
        <f t="shared" si="1"/>
        <v>ACS5_1-24_WQ</v>
      </c>
      <c r="D81" s="10">
        <v>45302</v>
      </c>
      <c r="E81" s="131">
        <v>0.5444444444444444</v>
      </c>
      <c r="F81">
        <v>22.4</v>
      </c>
      <c r="G81">
        <v>82</v>
      </c>
      <c r="H81">
        <v>6.8</v>
      </c>
      <c r="I81">
        <v>7</v>
      </c>
    </row>
    <row r="82" spans="1:9" x14ac:dyDescent="0.35">
      <c r="A82" s="1" t="s">
        <v>34</v>
      </c>
      <c r="B82" s="2" t="s">
        <v>61</v>
      </c>
      <c r="C82" s="1" t="str">
        <f t="shared" si="1"/>
        <v>GB1_1-24_WQ</v>
      </c>
      <c r="D82" s="10">
        <v>45302</v>
      </c>
      <c r="E82" s="131">
        <v>0.49305555555555558</v>
      </c>
      <c r="F82">
        <v>22.6</v>
      </c>
      <c r="G82">
        <v>93</v>
      </c>
      <c r="H82">
        <v>7.4</v>
      </c>
      <c r="I82">
        <v>15.1</v>
      </c>
    </row>
    <row r="83" spans="1:9" x14ac:dyDescent="0.35">
      <c r="A83" s="1" t="s">
        <v>26</v>
      </c>
      <c r="B83" s="2" t="s">
        <v>61</v>
      </c>
      <c r="C83" s="1" t="str">
        <f t="shared" si="1"/>
        <v>ACS3_1-24_WQ</v>
      </c>
      <c r="D83" s="10">
        <v>45302</v>
      </c>
      <c r="E83" s="131">
        <v>0.61527777777777781</v>
      </c>
      <c r="F83">
        <v>22.3</v>
      </c>
      <c r="G83">
        <v>102</v>
      </c>
      <c r="H83">
        <v>8.6999999999999993</v>
      </c>
      <c r="I83">
        <v>4.2</v>
      </c>
    </row>
    <row r="84" spans="1:9" x14ac:dyDescent="0.35">
      <c r="A84" s="1" t="s">
        <v>33</v>
      </c>
      <c r="B84" s="2" t="s">
        <v>61</v>
      </c>
      <c r="C84" s="1" t="str">
        <f t="shared" si="1"/>
        <v>DCM2_1-24_WQ</v>
      </c>
      <c r="D84" s="10">
        <v>45302</v>
      </c>
      <c r="E84" s="131">
        <v>0.4597222222222222</v>
      </c>
      <c r="F84">
        <v>22.1</v>
      </c>
      <c r="G84">
        <v>90</v>
      </c>
      <c r="H84">
        <v>7.6</v>
      </c>
      <c r="I84">
        <v>8.6</v>
      </c>
    </row>
    <row r="85" spans="1:9" x14ac:dyDescent="0.35">
      <c r="A85" s="1" t="s">
        <v>29</v>
      </c>
      <c r="B85" s="2" t="s">
        <v>61</v>
      </c>
      <c r="C85" s="1" t="str">
        <f t="shared" si="1"/>
        <v>GBHM_1-24_WQ</v>
      </c>
      <c r="D85" s="10">
        <v>45302</v>
      </c>
      <c r="E85" s="131">
        <v>0.5625</v>
      </c>
      <c r="F85">
        <v>22.1</v>
      </c>
      <c r="G85">
        <v>88</v>
      </c>
      <c r="H85">
        <v>7.2</v>
      </c>
      <c r="I85">
        <v>10.6</v>
      </c>
    </row>
    <row r="86" spans="1:9" x14ac:dyDescent="0.35">
      <c r="A86" s="1" t="s">
        <v>24</v>
      </c>
      <c r="B86" s="2" t="s">
        <v>61</v>
      </c>
      <c r="C86" s="1" t="str">
        <f t="shared" si="1"/>
        <v>ACS1_1-24_WQ</v>
      </c>
      <c r="D86" s="10">
        <v>45302</v>
      </c>
      <c r="E86" s="131">
        <v>0.66388888888888886</v>
      </c>
      <c r="F86">
        <v>22.2</v>
      </c>
      <c r="G86">
        <v>105</v>
      </c>
      <c r="H86">
        <v>8.6999999999999993</v>
      </c>
      <c r="I86">
        <v>8.9</v>
      </c>
    </row>
    <row r="87" spans="1:9" x14ac:dyDescent="0.35">
      <c r="A87" s="1" t="s">
        <v>27</v>
      </c>
      <c r="B87" s="2" t="s">
        <v>61</v>
      </c>
      <c r="C87" s="1" t="str">
        <f t="shared" si="1"/>
        <v>ACS4_1-24_WQ</v>
      </c>
      <c r="D87" s="10">
        <v>45302</v>
      </c>
      <c r="E87" s="131">
        <v>0.58611111111111114</v>
      </c>
      <c r="F87">
        <v>22.6</v>
      </c>
      <c r="G87">
        <v>104</v>
      </c>
      <c r="H87">
        <v>8.6999999999999993</v>
      </c>
      <c r="I87">
        <v>6.8</v>
      </c>
    </row>
    <row r="88" spans="1:9" x14ac:dyDescent="0.35">
      <c r="A88" s="1" t="s">
        <v>32</v>
      </c>
      <c r="B88" s="2" t="s">
        <v>61</v>
      </c>
      <c r="C88" s="1" t="str">
        <f t="shared" si="1"/>
        <v>DC2_1-24_WQ</v>
      </c>
      <c r="D88" s="10">
        <v>45302</v>
      </c>
      <c r="E88" s="131">
        <v>0.44513888888888886</v>
      </c>
      <c r="F88">
        <v>21.1</v>
      </c>
      <c r="G88">
        <v>51</v>
      </c>
      <c r="H88">
        <v>4.3</v>
      </c>
      <c r="I88">
        <v>7.5</v>
      </c>
    </row>
    <row r="89" spans="1:9" x14ac:dyDescent="0.35">
      <c r="A89" s="1" t="s">
        <v>25</v>
      </c>
      <c r="B89" s="2" t="s">
        <v>61</v>
      </c>
      <c r="C89" s="1" t="str">
        <f t="shared" si="1"/>
        <v>ACS2_1-24_WQ</v>
      </c>
      <c r="D89" s="10">
        <v>45302</v>
      </c>
      <c r="E89" s="131">
        <v>0.63472222222222219</v>
      </c>
      <c r="F89">
        <v>22.6</v>
      </c>
      <c r="G89">
        <v>105</v>
      </c>
      <c r="H89">
        <v>8.8000000000000007</v>
      </c>
      <c r="I89">
        <v>6.4</v>
      </c>
    </row>
    <row r="90" spans="1:9" x14ac:dyDescent="0.35">
      <c r="A90" s="1" t="s">
        <v>30</v>
      </c>
      <c r="B90" s="2" t="s">
        <v>61</v>
      </c>
      <c r="C90" s="1" t="str">
        <f t="shared" si="1"/>
        <v>DC1_1-24_WQ</v>
      </c>
      <c r="D90" s="10">
        <v>45302</v>
      </c>
      <c r="E90" s="131">
        <v>0.39583333333333331</v>
      </c>
      <c r="F90">
        <v>20.8</v>
      </c>
      <c r="G90">
        <v>57</v>
      </c>
      <c r="H90">
        <v>4.8</v>
      </c>
      <c r="I90">
        <v>8.6</v>
      </c>
    </row>
    <row r="91" spans="1:9" x14ac:dyDescent="0.35">
      <c r="A91" s="1" t="s">
        <v>31</v>
      </c>
      <c r="B91" s="2" t="s">
        <v>61</v>
      </c>
      <c r="C91" s="1" t="str">
        <f t="shared" si="1"/>
        <v>DCM1_1-24_WQ</v>
      </c>
      <c r="D91" s="10">
        <v>45302</v>
      </c>
      <c r="E91" s="131">
        <v>0.4152777777777778</v>
      </c>
      <c r="F91">
        <v>22.2</v>
      </c>
      <c r="G91">
        <v>101</v>
      </c>
      <c r="H91">
        <v>8.6</v>
      </c>
      <c r="I91">
        <v>2.6</v>
      </c>
    </row>
    <row r="92" spans="1:9" x14ac:dyDescent="0.35">
      <c r="A92" s="1" t="s">
        <v>48</v>
      </c>
      <c r="B92" s="2" t="s">
        <v>61</v>
      </c>
      <c r="C92" s="1" t="str">
        <f t="shared" si="1"/>
        <v>SBT1_1-24_WQ</v>
      </c>
      <c r="D92" s="10">
        <v>45324</v>
      </c>
      <c r="E92" s="131">
        <v>0.1986111111111111</v>
      </c>
      <c r="F92">
        <v>22.7</v>
      </c>
      <c r="G92">
        <v>73</v>
      </c>
      <c r="H92">
        <v>6.4</v>
      </c>
      <c r="I92">
        <v>0.1</v>
      </c>
    </row>
    <row r="93" spans="1:9" x14ac:dyDescent="0.35">
      <c r="A93" s="1" t="s">
        <v>45</v>
      </c>
      <c r="B93" s="2" t="s">
        <v>61</v>
      </c>
      <c r="C93" s="1" t="str">
        <f t="shared" si="1"/>
        <v>TSM1_1-24_WQ</v>
      </c>
      <c r="D93" s="10">
        <v>45324</v>
      </c>
      <c r="E93" s="131">
        <v>0.27083333333333331</v>
      </c>
      <c r="F93">
        <v>22.5</v>
      </c>
      <c r="G93">
        <v>67</v>
      </c>
      <c r="H93">
        <v>7.8</v>
      </c>
      <c r="I93">
        <v>0.3</v>
      </c>
    </row>
    <row r="94" spans="1:9" x14ac:dyDescent="0.35">
      <c r="A94" s="1" t="s">
        <v>47</v>
      </c>
      <c r="B94" s="2" t="s">
        <v>61</v>
      </c>
      <c r="C94" s="1" t="str">
        <f t="shared" si="1"/>
        <v>TSM4_1-24_WQ</v>
      </c>
      <c r="D94" s="10">
        <v>45324</v>
      </c>
      <c r="E94" s="131">
        <v>0.2326388888888889</v>
      </c>
      <c r="F94">
        <v>19.899999999999999</v>
      </c>
      <c r="G94">
        <v>67</v>
      </c>
      <c r="H94">
        <v>6.2</v>
      </c>
      <c r="I94">
        <v>0.1</v>
      </c>
    </row>
    <row r="95" spans="1:9" x14ac:dyDescent="0.35">
      <c r="A95" s="1" t="s">
        <v>46</v>
      </c>
      <c r="B95" s="2" t="s">
        <v>61</v>
      </c>
      <c r="C95" s="1" t="str">
        <f t="shared" si="1"/>
        <v>TSM3_1-24_WQ</v>
      </c>
      <c r="D95" s="10">
        <v>45324</v>
      </c>
      <c r="E95" s="131">
        <v>0.25</v>
      </c>
      <c r="F95">
        <v>21.8</v>
      </c>
      <c r="G95">
        <v>120</v>
      </c>
      <c r="H95">
        <v>10.9</v>
      </c>
      <c r="I95">
        <v>0.2</v>
      </c>
    </row>
    <row r="96" spans="1:9" x14ac:dyDescent="0.35">
      <c r="A96" s="1" t="s">
        <v>22</v>
      </c>
      <c r="B96" s="2" t="s">
        <v>62</v>
      </c>
      <c r="C96" s="1" t="str">
        <f t="shared" si="1"/>
        <v>OL_3-24_WQ</v>
      </c>
      <c r="D96" s="10">
        <v>45358</v>
      </c>
    </row>
    <row r="97" spans="1:13" x14ac:dyDescent="0.35">
      <c r="A97" s="1" t="s">
        <v>58</v>
      </c>
      <c r="B97" s="2" t="s">
        <v>62</v>
      </c>
      <c r="C97" s="1" t="str">
        <f t="shared" si="1"/>
        <v>TSH_3-24_WQ</v>
      </c>
      <c r="D97" s="10">
        <v>45358</v>
      </c>
    </row>
    <row r="98" spans="1:13" x14ac:dyDescent="0.35">
      <c r="A98" s="1" t="s">
        <v>19</v>
      </c>
      <c r="B98" s="2" t="s">
        <v>62</v>
      </c>
      <c r="C98" s="1" t="str">
        <f t="shared" si="1"/>
        <v>NCL_3-24_WQ</v>
      </c>
      <c r="D98" s="10">
        <v>45358</v>
      </c>
    </row>
    <row r="99" spans="1:13" x14ac:dyDescent="0.35">
      <c r="A99" s="1" t="s">
        <v>14</v>
      </c>
      <c r="B99" s="2" t="s">
        <v>62</v>
      </c>
      <c r="C99" s="1" t="str">
        <f t="shared" si="1"/>
        <v>P37_3-24_WQ</v>
      </c>
      <c r="D99" s="10">
        <v>45358</v>
      </c>
    </row>
    <row r="100" spans="1:13" x14ac:dyDescent="0.35">
      <c r="A100" s="1" t="s">
        <v>20</v>
      </c>
      <c r="B100" s="2" t="s">
        <v>62</v>
      </c>
      <c r="C100" s="1" t="str">
        <f t="shared" si="1"/>
        <v>CP_3-24_WQ</v>
      </c>
      <c r="D100" s="10">
        <v>45358</v>
      </c>
    </row>
    <row r="101" spans="1:13" x14ac:dyDescent="0.35">
      <c r="A101" s="1" t="s">
        <v>21</v>
      </c>
      <c r="B101" s="2" t="s">
        <v>62</v>
      </c>
      <c r="C101" s="1" t="str">
        <f t="shared" si="1"/>
        <v>EP146_3-24_WQ</v>
      </c>
      <c r="D101" s="10">
        <v>45358</v>
      </c>
    </row>
    <row r="102" spans="1:13" x14ac:dyDescent="0.35">
      <c r="A102" s="1" t="s">
        <v>23</v>
      </c>
      <c r="B102" s="2" t="s">
        <v>62</v>
      </c>
      <c r="C102" s="1" t="str">
        <f t="shared" si="1"/>
        <v>R127_3-24_WQ</v>
      </c>
      <c r="D102" s="10">
        <v>45358</v>
      </c>
    </row>
    <row r="103" spans="1:13" x14ac:dyDescent="0.35">
      <c r="A103" s="1" t="s">
        <v>51</v>
      </c>
      <c r="B103" s="2" t="s">
        <v>63</v>
      </c>
      <c r="C103" s="1" t="str">
        <f t="shared" si="1"/>
        <v>TBC_4-24_WQ</v>
      </c>
      <c r="D103" s="10">
        <v>45390</v>
      </c>
      <c r="E103" s="131">
        <v>0.45416666666666666</v>
      </c>
      <c r="F103">
        <v>23.9</v>
      </c>
      <c r="G103">
        <v>30.9</v>
      </c>
      <c r="H103">
        <v>2.2799999999999998</v>
      </c>
      <c r="I103">
        <v>21.64</v>
      </c>
      <c r="J103">
        <v>7.26</v>
      </c>
      <c r="K103">
        <v>16.149999999999999</v>
      </c>
      <c r="L103">
        <v>37.68</v>
      </c>
      <c r="M103">
        <v>114.36</v>
      </c>
    </row>
    <row r="104" spans="1:13" x14ac:dyDescent="0.35">
      <c r="A104" s="1" t="s">
        <v>40</v>
      </c>
      <c r="B104" s="2" t="s">
        <v>63</v>
      </c>
      <c r="C104" s="1" t="str">
        <f t="shared" si="1"/>
        <v>TBCM_4-24_WQ</v>
      </c>
      <c r="D104" s="10">
        <v>45390</v>
      </c>
      <c r="E104" s="131">
        <v>0.47291666666666665</v>
      </c>
      <c r="F104">
        <v>26.7</v>
      </c>
      <c r="G104">
        <v>125</v>
      </c>
      <c r="H104">
        <v>10</v>
      </c>
      <c r="I104">
        <v>63.6</v>
      </c>
    </row>
    <row r="105" spans="1:13" x14ac:dyDescent="0.35">
      <c r="A105" s="1" t="s">
        <v>39</v>
      </c>
      <c r="B105" s="2" t="s">
        <v>63</v>
      </c>
      <c r="C105" s="1" t="str">
        <f t="shared" si="1"/>
        <v>TBHM_4-24_WQ</v>
      </c>
      <c r="D105" s="10">
        <v>45390</v>
      </c>
      <c r="F105">
        <v>25.7</v>
      </c>
      <c r="G105">
        <v>92.4</v>
      </c>
      <c r="H105">
        <v>7.1</v>
      </c>
      <c r="I105">
        <v>10.67</v>
      </c>
      <c r="J105">
        <v>8.33</v>
      </c>
      <c r="K105">
        <v>31.78</v>
      </c>
      <c r="L105">
        <v>17.84</v>
      </c>
      <c r="M105">
        <v>54.27</v>
      </c>
    </row>
    <row r="106" spans="1:13" x14ac:dyDescent="0.35">
      <c r="A106" s="1" t="s">
        <v>38</v>
      </c>
      <c r="B106" s="2" t="s">
        <v>63</v>
      </c>
      <c r="C106" s="1" t="str">
        <f t="shared" si="1"/>
        <v>MCS4_4-24_WQ</v>
      </c>
      <c r="D106" s="10">
        <v>45390</v>
      </c>
      <c r="E106" s="131">
        <v>0.59583333333333333</v>
      </c>
      <c r="F106">
        <v>25.6</v>
      </c>
      <c r="G106">
        <v>95.6</v>
      </c>
      <c r="H106">
        <v>7.35</v>
      </c>
      <c r="I106">
        <v>10.74</v>
      </c>
      <c r="J106">
        <v>8.3800000000000008</v>
      </c>
      <c r="K106">
        <v>8.5399999999999991</v>
      </c>
      <c r="L106">
        <v>19.7</v>
      </c>
      <c r="M106">
        <v>59.95</v>
      </c>
    </row>
    <row r="107" spans="1:13" x14ac:dyDescent="0.35">
      <c r="A107" s="1" t="s">
        <v>41</v>
      </c>
      <c r="B107" s="2" t="s">
        <v>63</v>
      </c>
      <c r="C107" s="1" t="str">
        <f t="shared" si="1"/>
        <v>TB1_4-24_WQ</v>
      </c>
      <c r="D107" s="10">
        <v>45390</v>
      </c>
      <c r="E107" s="131">
        <v>0.49305555555555558</v>
      </c>
      <c r="F107">
        <v>25</v>
      </c>
      <c r="G107">
        <v>103.2</v>
      </c>
      <c r="H107">
        <v>7.75</v>
      </c>
      <c r="I107">
        <v>161.96</v>
      </c>
      <c r="J107">
        <v>8.3000000000000007</v>
      </c>
      <c r="K107">
        <v>9.67</v>
      </c>
      <c r="L107">
        <v>15.29</v>
      </c>
      <c r="M107">
        <v>46.63</v>
      </c>
    </row>
    <row r="108" spans="1:13" x14ac:dyDescent="0.35">
      <c r="A108" s="1" t="s">
        <v>35</v>
      </c>
      <c r="B108" s="2" t="s">
        <v>63</v>
      </c>
      <c r="C108" s="1" t="str">
        <f t="shared" si="1"/>
        <v>MCS1_4-24_WQ</v>
      </c>
      <c r="D108" s="10">
        <v>45390</v>
      </c>
      <c r="E108" s="131">
        <v>0.5131944444444444</v>
      </c>
      <c r="F108">
        <v>24.6</v>
      </c>
      <c r="G108">
        <v>102.8</v>
      </c>
      <c r="H108">
        <v>8.32</v>
      </c>
      <c r="I108">
        <v>4.8899999999999997</v>
      </c>
      <c r="J108">
        <v>8.61</v>
      </c>
      <c r="K108">
        <v>5.5</v>
      </c>
      <c r="L108">
        <v>19.04</v>
      </c>
      <c r="M108">
        <v>57.96</v>
      </c>
    </row>
    <row r="109" spans="1:13" x14ac:dyDescent="0.35">
      <c r="A109" s="1" t="s">
        <v>36</v>
      </c>
      <c r="B109" s="2" t="s">
        <v>63</v>
      </c>
      <c r="C109" s="1" t="str">
        <f t="shared" si="1"/>
        <v>MCS2_4-24_WQ</v>
      </c>
      <c r="D109" s="10">
        <v>45390</v>
      </c>
      <c r="E109" s="131">
        <v>0.55972222222222223</v>
      </c>
      <c r="F109">
        <v>25</v>
      </c>
      <c r="G109">
        <v>105.5</v>
      </c>
      <c r="H109">
        <v>8.4</v>
      </c>
      <c r="I109">
        <v>6.95</v>
      </c>
      <c r="J109">
        <v>8.5</v>
      </c>
      <c r="K109">
        <v>9.3000000000000007</v>
      </c>
      <c r="L109">
        <v>18.829999999999998</v>
      </c>
      <c r="M109">
        <v>57.39</v>
      </c>
    </row>
    <row r="110" spans="1:13" x14ac:dyDescent="0.35">
      <c r="A110" s="1" t="s">
        <v>37</v>
      </c>
      <c r="B110" s="2" t="s">
        <v>63</v>
      </c>
      <c r="C110" s="1" t="str">
        <f t="shared" si="1"/>
        <v>MCS3_4-24_WQ</v>
      </c>
      <c r="D110" s="10">
        <v>45390</v>
      </c>
      <c r="E110" s="131">
        <v>0.57638888888888884</v>
      </c>
      <c r="F110">
        <v>25.1</v>
      </c>
      <c r="G110">
        <v>107.3</v>
      </c>
      <c r="H110">
        <v>8.35</v>
      </c>
      <c r="I110">
        <v>10.53</v>
      </c>
      <c r="J110">
        <v>8.4600000000000009</v>
      </c>
      <c r="K110">
        <v>8.11</v>
      </c>
      <c r="L110">
        <v>19.57</v>
      </c>
      <c r="M110">
        <v>59.56</v>
      </c>
    </row>
    <row r="111" spans="1:13" x14ac:dyDescent="0.35">
      <c r="A111" s="1" t="s">
        <v>42</v>
      </c>
      <c r="B111" s="2" t="s">
        <v>63</v>
      </c>
      <c r="C111" s="1" t="str">
        <f t="shared" si="1"/>
        <v>TB2_4-24_WQ</v>
      </c>
      <c r="D111" s="10">
        <v>45390</v>
      </c>
      <c r="E111" s="131">
        <v>0.63541666666666663</v>
      </c>
      <c r="F111">
        <v>24.8</v>
      </c>
      <c r="G111">
        <v>111.9</v>
      </c>
      <c r="H111">
        <v>7.99</v>
      </c>
      <c r="I111">
        <v>27.02</v>
      </c>
      <c r="J111">
        <v>8.32</v>
      </c>
      <c r="K111">
        <v>2.06</v>
      </c>
      <c r="L111">
        <v>9.5299999999999994</v>
      </c>
      <c r="M111">
        <v>29.11</v>
      </c>
    </row>
    <row r="112" spans="1:13" x14ac:dyDescent="0.35">
      <c r="A112" s="1" t="s">
        <v>45</v>
      </c>
      <c r="B112" s="2" t="s">
        <v>63</v>
      </c>
      <c r="C112" s="1" t="str">
        <f t="shared" si="1"/>
        <v>TSM1_4-24_WQ</v>
      </c>
      <c r="D112" s="10">
        <v>45391</v>
      </c>
      <c r="E112" s="131">
        <v>0.52986111111111112</v>
      </c>
      <c r="F112">
        <v>25.2</v>
      </c>
      <c r="G112">
        <v>46</v>
      </c>
      <c r="H112">
        <v>3.8</v>
      </c>
      <c r="I112">
        <v>0.3</v>
      </c>
    </row>
    <row r="113" spans="1:13" x14ac:dyDescent="0.35">
      <c r="A113" s="1" t="s">
        <v>46</v>
      </c>
      <c r="B113" s="2" t="s">
        <v>63</v>
      </c>
      <c r="C113" s="1" t="str">
        <f t="shared" si="1"/>
        <v>TSM3_4-24_WQ</v>
      </c>
      <c r="D113" s="10">
        <v>45391</v>
      </c>
      <c r="E113" s="131">
        <v>0.49375000000000002</v>
      </c>
      <c r="F113">
        <v>25.6</v>
      </c>
      <c r="G113">
        <v>8.6</v>
      </c>
      <c r="H113">
        <v>0.02</v>
      </c>
      <c r="I113">
        <v>0.1</v>
      </c>
    </row>
    <row r="114" spans="1:13" x14ac:dyDescent="0.35">
      <c r="A114" s="1" t="s">
        <v>48</v>
      </c>
      <c r="B114" s="2" t="s">
        <v>63</v>
      </c>
      <c r="C114" s="1" t="str">
        <f t="shared" si="1"/>
        <v>SBT1_4-24_WQ</v>
      </c>
      <c r="D114" s="10">
        <v>45391</v>
      </c>
      <c r="E114" s="131">
        <v>0.44236111111111109</v>
      </c>
      <c r="F114">
        <v>22.9</v>
      </c>
      <c r="G114">
        <v>36</v>
      </c>
      <c r="H114">
        <v>2.8</v>
      </c>
      <c r="I114">
        <v>25.8</v>
      </c>
    </row>
    <row r="115" spans="1:13" x14ac:dyDescent="0.35">
      <c r="A115" s="1" t="s">
        <v>47</v>
      </c>
      <c r="B115" s="2" t="s">
        <v>63</v>
      </c>
      <c r="C115" s="1" t="str">
        <f t="shared" si="1"/>
        <v>TSM4_4-24_WQ</v>
      </c>
      <c r="D115" s="10">
        <v>45391</v>
      </c>
      <c r="E115" s="131">
        <v>0.47916666666666669</v>
      </c>
      <c r="F115">
        <v>23.2</v>
      </c>
      <c r="G115">
        <v>57</v>
      </c>
      <c r="H115">
        <v>4.9000000000000004</v>
      </c>
      <c r="I115">
        <v>0.1</v>
      </c>
    </row>
    <row r="116" spans="1:13" x14ac:dyDescent="0.35">
      <c r="A116" s="1" t="s">
        <v>31</v>
      </c>
      <c r="B116" s="2" t="s">
        <v>63</v>
      </c>
      <c r="C116" s="1" t="str">
        <f t="shared" si="1"/>
        <v>DCM1_4-24_WQ</v>
      </c>
      <c r="D116" s="10">
        <v>45392</v>
      </c>
      <c r="E116" s="131">
        <v>0.37083333333333335</v>
      </c>
      <c r="F116">
        <v>23.3</v>
      </c>
      <c r="G116">
        <v>49</v>
      </c>
      <c r="H116">
        <v>4.2</v>
      </c>
      <c r="I116">
        <v>0.3</v>
      </c>
    </row>
    <row r="117" spans="1:13" x14ac:dyDescent="0.35">
      <c r="A117" s="1" t="s">
        <v>25</v>
      </c>
      <c r="B117" s="2" t="s">
        <v>63</v>
      </c>
      <c r="C117" s="1" t="str">
        <f t="shared" si="1"/>
        <v>ACS2_4-24_WQ</v>
      </c>
      <c r="D117" s="10">
        <v>45392</v>
      </c>
      <c r="E117" s="131">
        <v>0.54652777777777772</v>
      </c>
      <c r="F117">
        <v>25</v>
      </c>
      <c r="G117">
        <v>106.7</v>
      </c>
      <c r="H117">
        <v>8.51</v>
      </c>
      <c r="I117">
        <v>6.23</v>
      </c>
      <c r="J117">
        <v>8.4700000000000006</v>
      </c>
      <c r="K117">
        <v>10.92</v>
      </c>
      <c r="L117">
        <v>26.35</v>
      </c>
      <c r="M117">
        <v>80.06</v>
      </c>
    </row>
    <row r="118" spans="1:13" x14ac:dyDescent="0.35">
      <c r="A118" s="1" t="s">
        <v>34</v>
      </c>
      <c r="B118" s="2" t="s">
        <v>63</v>
      </c>
      <c r="C118" s="1" t="str">
        <f t="shared" si="1"/>
        <v>GB1_4-24_WQ</v>
      </c>
      <c r="D118" s="10">
        <v>45392</v>
      </c>
      <c r="E118" s="131">
        <v>0.42569444444444443</v>
      </c>
      <c r="F118">
        <v>24</v>
      </c>
      <c r="G118">
        <v>86.5</v>
      </c>
      <c r="H118">
        <v>6.23</v>
      </c>
      <c r="I118">
        <v>27.13</v>
      </c>
      <c r="J118">
        <v>8.27</v>
      </c>
      <c r="K118">
        <v>12.59</v>
      </c>
      <c r="L118">
        <v>17.46</v>
      </c>
      <c r="M118">
        <v>53.2</v>
      </c>
    </row>
    <row r="119" spans="1:13" x14ac:dyDescent="0.35">
      <c r="A119" s="1" t="s">
        <v>28</v>
      </c>
      <c r="B119" s="2" t="s">
        <v>63</v>
      </c>
      <c r="C119" s="1" t="str">
        <f t="shared" si="1"/>
        <v>ACS5_4-24_WQ</v>
      </c>
      <c r="D119" s="10">
        <v>45392</v>
      </c>
      <c r="E119" s="131">
        <v>0.45833333333333331</v>
      </c>
      <c r="F119">
        <v>24.5</v>
      </c>
      <c r="G119">
        <v>85.3</v>
      </c>
      <c r="H119">
        <v>6.59</v>
      </c>
      <c r="I119">
        <v>13.5</v>
      </c>
      <c r="J119">
        <v>8.3000000000000007</v>
      </c>
      <c r="K119">
        <v>22.34</v>
      </c>
      <c r="L119">
        <v>28.74</v>
      </c>
      <c r="M119">
        <v>87.29</v>
      </c>
    </row>
    <row r="120" spans="1:13" x14ac:dyDescent="0.35">
      <c r="A120" s="1" t="s">
        <v>30</v>
      </c>
      <c r="B120" s="2" t="s">
        <v>63</v>
      </c>
      <c r="C120" s="1" t="str">
        <f t="shared" si="1"/>
        <v>DC1_4-24_WQ</v>
      </c>
      <c r="D120" s="10">
        <v>45392</v>
      </c>
      <c r="E120" s="131">
        <v>0.35833333333333334</v>
      </c>
      <c r="F120">
        <v>23.1</v>
      </c>
      <c r="G120">
        <v>36.799999999999997</v>
      </c>
      <c r="H120">
        <v>2.73</v>
      </c>
      <c r="I120">
        <v>24.24</v>
      </c>
      <c r="J120">
        <v>8.08</v>
      </c>
      <c r="K120">
        <v>28.55</v>
      </c>
      <c r="L120">
        <v>43.09</v>
      </c>
      <c r="M120">
        <v>130.41</v>
      </c>
    </row>
    <row r="121" spans="1:13" x14ac:dyDescent="0.35">
      <c r="A121" s="1" t="s">
        <v>27</v>
      </c>
      <c r="B121" s="2" t="s">
        <v>63</v>
      </c>
      <c r="C121" s="1" t="str">
        <f t="shared" si="1"/>
        <v>ACS4_4-24_WQ</v>
      </c>
      <c r="D121" s="10">
        <v>45392</v>
      </c>
      <c r="E121" s="131">
        <v>0.4861111111111111</v>
      </c>
      <c r="F121">
        <v>24.7</v>
      </c>
      <c r="G121">
        <v>99.1</v>
      </c>
      <c r="H121">
        <v>7.74</v>
      </c>
      <c r="I121">
        <v>10.76</v>
      </c>
      <c r="J121">
        <v>8.27</v>
      </c>
      <c r="K121">
        <v>45.01</v>
      </c>
      <c r="L121">
        <v>28.67</v>
      </c>
      <c r="M121">
        <v>87.06</v>
      </c>
    </row>
    <row r="122" spans="1:13" x14ac:dyDescent="0.35">
      <c r="A122" s="1" t="s">
        <v>32</v>
      </c>
      <c r="B122" s="2" t="s">
        <v>63</v>
      </c>
      <c r="C122" s="1" t="str">
        <f t="shared" si="1"/>
        <v>DC2_4-24_WQ</v>
      </c>
      <c r="D122" s="10">
        <v>45392</v>
      </c>
      <c r="E122" s="131">
        <v>0.39583333333333331</v>
      </c>
      <c r="F122">
        <v>22.9</v>
      </c>
      <c r="G122">
        <v>22.6</v>
      </c>
      <c r="H122">
        <v>1.68</v>
      </c>
      <c r="I122">
        <v>23.79</v>
      </c>
      <c r="J122">
        <v>7.73</v>
      </c>
      <c r="K122">
        <v>29.08</v>
      </c>
      <c r="L122">
        <v>49.61</v>
      </c>
      <c r="M122">
        <v>150.52000000000001</v>
      </c>
    </row>
    <row r="123" spans="1:13" x14ac:dyDescent="0.35">
      <c r="A123" s="1" t="s">
        <v>29</v>
      </c>
      <c r="B123" s="2" t="s">
        <v>63</v>
      </c>
      <c r="C123" s="1" t="str">
        <f t="shared" si="1"/>
        <v>GBHM_4-24_WQ</v>
      </c>
      <c r="D123" s="10">
        <v>45392</v>
      </c>
    </row>
    <row r="124" spans="1:13" x14ac:dyDescent="0.35">
      <c r="A124" s="1" t="s">
        <v>33</v>
      </c>
      <c r="B124" s="2" t="s">
        <v>63</v>
      </c>
      <c r="C124" s="1" t="str">
        <f t="shared" si="1"/>
        <v>DCM2_4-24_WQ</v>
      </c>
      <c r="D124" s="10">
        <v>45392</v>
      </c>
    </row>
    <row r="125" spans="1:13" x14ac:dyDescent="0.35">
      <c r="A125" s="1" t="s">
        <v>24</v>
      </c>
      <c r="B125" s="2" t="s">
        <v>63</v>
      </c>
      <c r="C125" s="1" t="str">
        <f t="shared" si="1"/>
        <v>ACS1_4-24_WQ</v>
      </c>
      <c r="D125" s="10">
        <v>45392</v>
      </c>
      <c r="E125" s="131">
        <v>0.5805555555555556</v>
      </c>
      <c r="F125">
        <v>24.3</v>
      </c>
      <c r="G125">
        <v>105.9</v>
      </c>
      <c r="H125">
        <v>8.4700000000000006</v>
      </c>
      <c r="I125">
        <v>7.99</v>
      </c>
      <c r="J125">
        <v>8.76</v>
      </c>
      <c r="K125">
        <v>13.84</v>
      </c>
      <c r="L125">
        <v>29.35</v>
      </c>
      <c r="M125">
        <v>89.23</v>
      </c>
    </row>
    <row r="126" spans="1:13" x14ac:dyDescent="0.35">
      <c r="A126" s="1" t="s">
        <v>26</v>
      </c>
      <c r="B126" s="2" t="s">
        <v>63</v>
      </c>
      <c r="C126" s="1" t="str">
        <f t="shared" si="1"/>
        <v>ACS3_4-24_WQ</v>
      </c>
      <c r="D126" s="10">
        <v>45392</v>
      </c>
      <c r="E126" s="131">
        <v>0.52708333333333335</v>
      </c>
      <c r="F126">
        <v>25</v>
      </c>
      <c r="G126">
        <v>102</v>
      </c>
      <c r="H126">
        <v>8.24</v>
      </c>
      <c r="I126">
        <v>3.96</v>
      </c>
      <c r="J126">
        <v>8.8000000000000007</v>
      </c>
      <c r="K126">
        <v>17.350000000000001</v>
      </c>
      <c r="L126">
        <v>22.11</v>
      </c>
      <c r="M126">
        <v>65.25</v>
      </c>
    </row>
    <row r="127" spans="1:13" x14ac:dyDescent="0.35">
      <c r="A127" s="1" t="s">
        <v>49</v>
      </c>
      <c r="B127" s="2" t="s">
        <v>63</v>
      </c>
      <c r="C127" s="1" t="str">
        <f t="shared" si="1"/>
        <v>SBT2_4-24_WQ</v>
      </c>
      <c r="D127" s="10">
        <v>45393</v>
      </c>
      <c r="E127" s="131">
        <v>0.39374999999999999</v>
      </c>
      <c r="F127">
        <v>25.2</v>
      </c>
      <c r="G127">
        <v>82.9</v>
      </c>
      <c r="H127">
        <v>5.61</v>
      </c>
      <c r="I127">
        <v>34.17</v>
      </c>
      <c r="J127">
        <v>8.51</v>
      </c>
      <c r="K127">
        <v>56.5</v>
      </c>
      <c r="L127">
        <v>13.02</v>
      </c>
      <c r="M127">
        <v>39.68</v>
      </c>
    </row>
    <row r="128" spans="1:13" x14ac:dyDescent="0.35">
      <c r="A128" s="1" t="s">
        <v>56</v>
      </c>
      <c r="B128" s="2" t="s">
        <v>63</v>
      </c>
      <c r="C128" s="1" t="str">
        <f t="shared" si="1"/>
        <v>CC_4-24_WQ</v>
      </c>
      <c r="D128" s="10">
        <v>45393</v>
      </c>
      <c r="E128" s="131">
        <v>0.63055555555555554</v>
      </c>
      <c r="F128">
        <v>25.4</v>
      </c>
      <c r="G128">
        <v>101.3</v>
      </c>
      <c r="H128">
        <v>6.85</v>
      </c>
      <c r="I128">
        <v>34.380000000000003</v>
      </c>
      <c r="J128">
        <v>8.0500000000000007</v>
      </c>
      <c r="K128">
        <v>43.15</v>
      </c>
      <c r="L128">
        <v>3.81</v>
      </c>
      <c r="M128">
        <v>11.87</v>
      </c>
    </row>
    <row r="129" spans="1:13" x14ac:dyDescent="0.35">
      <c r="A129" s="1" t="s">
        <v>53</v>
      </c>
      <c r="B129" s="2" t="s">
        <v>63</v>
      </c>
      <c r="C129" s="1" t="str">
        <f t="shared" si="1"/>
        <v>WB2_4-24_WQ</v>
      </c>
      <c r="D129" s="10">
        <v>45393</v>
      </c>
      <c r="E129" s="131">
        <v>0.50624999999999998</v>
      </c>
      <c r="F129">
        <v>25.4</v>
      </c>
      <c r="G129">
        <v>102.8</v>
      </c>
      <c r="H129">
        <v>7.11</v>
      </c>
      <c r="I129">
        <v>30.45</v>
      </c>
      <c r="J129">
        <v>8.39</v>
      </c>
      <c r="K129">
        <v>1.65</v>
      </c>
      <c r="L129">
        <v>7.4</v>
      </c>
      <c r="M129">
        <v>22.61</v>
      </c>
    </row>
    <row r="130" spans="1:13" x14ac:dyDescent="0.35">
      <c r="A130" s="1" t="s">
        <v>43</v>
      </c>
      <c r="B130" s="2" t="s">
        <v>63</v>
      </c>
      <c r="C130" s="1" t="str">
        <f t="shared" si="1"/>
        <v>GB2_4-24_WQ</v>
      </c>
      <c r="D130" s="10">
        <v>45393</v>
      </c>
      <c r="E130" s="131">
        <v>0.4375</v>
      </c>
      <c r="F130">
        <v>25.3</v>
      </c>
      <c r="G130">
        <v>93.6</v>
      </c>
      <c r="H130">
        <v>6.55</v>
      </c>
      <c r="I130">
        <v>28.2</v>
      </c>
      <c r="J130">
        <v>8.18</v>
      </c>
      <c r="K130">
        <v>32.03</v>
      </c>
      <c r="L130">
        <v>10.74</v>
      </c>
      <c r="M130">
        <v>32.700000000000003</v>
      </c>
    </row>
    <row r="131" spans="1:13" x14ac:dyDescent="0.35">
      <c r="A131" s="1" t="s">
        <v>52</v>
      </c>
      <c r="B131" s="2" t="s">
        <v>63</v>
      </c>
      <c r="C131" s="1" t="str">
        <f t="shared" ref="C131:C185" si="2">A131&amp;"_"&amp;B131&amp;"_WQ"</f>
        <v>WB1_4-24_WQ</v>
      </c>
      <c r="D131" s="10">
        <v>45393</v>
      </c>
      <c r="E131" s="131">
        <v>0.48680555555555555</v>
      </c>
      <c r="F131">
        <v>25.2</v>
      </c>
      <c r="G131">
        <v>105.9</v>
      </c>
      <c r="H131">
        <v>7.32</v>
      </c>
      <c r="I131">
        <v>30.8</v>
      </c>
      <c r="J131">
        <v>8.42</v>
      </c>
      <c r="K131">
        <v>1.01</v>
      </c>
      <c r="L131">
        <v>9.4600000000000009</v>
      </c>
      <c r="M131">
        <v>28.12</v>
      </c>
    </row>
    <row r="132" spans="1:13" x14ac:dyDescent="0.35">
      <c r="A132" s="1" t="s">
        <v>55</v>
      </c>
      <c r="B132" s="2" t="s">
        <v>63</v>
      </c>
      <c r="C132" s="1" t="str">
        <f t="shared" si="2"/>
        <v>JB_4-24_WQ</v>
      </c>
      <c r="D132" s="10">
        <v>45393</v>
      </c>
      <c r="E132" s="131">
        <v>0.59583333333333333</v>
      </c>
      <c r="F132">
        <v>26.25</v>
      </c>
      <c r="G132">
        <v>122.1</v>
      </c>
      <c r="H132">
        <v>8.16</v>
      </c>
      <c r="I132">
        <v>34.26</v>
      </c>
      <c r="J132">
        <v>8.83</v>
      </c>
      <c r="K132">
        <v>0.22</v>
      </c>
      <c r="L132">
        <v>9.3800000000000008</v>
      </c>
      <c r="M132">
        <v>28.65</v>
      </c>
    </row>
    <row r="133" spans="1:13" x14ac:dyDescent="0.35">
      <c r="A133" s="1" t="s">
        <v>54</v>
      </c>
      <c r="B133" s="2" t="s">
        <v>63</v>
      </c>
      <c r="C133" s="1" t="str">
        <f t="shared" si="2"/>
        <v>TKB_4-24_WQ</v>
      </c>
      <c r="D133" s="10">
        <v>45393</v>
      </c>
      <c r="E133" s="131">
        <v>0.55000000000000004</v>
      </c>
      <c r="F133">
        <v>25.5</v>
      </c>
      <c r="G133">
        <v>106</v>
      </c>
      <c r="H133">
        <v>7.26</v>
      </c>
      <c r="I133">
        <v>31.97</v>
      </c>
      <c r="J133">
        <v>8.34</v>
      </c>
      <c r="K133">
        <v>1.59</v>
      </c>
      <c r="L133">
        <v>7.35</v>
      </c>
      <c r="M133">
        <v>22.44</v>
      </c>
    </row>
    <row r="134" spans="1:13" x14ac:dyDescent="0.35">
      <c r="A134" s="1" t="s">
        <v>44</v>
      </c>
      <c r="B134" s="2" t="s">
        <v>63</v>
      </c>
      <c r="C134" s="1" t="str">
        <f t="shared" si="2"/>
        <v>RB_4-24_WQ</v>
      </c>
      <c r="D134" s="10">
        <v>45393</v>
      </c>
      <c r="E134" s="131">
        <v>0.45763888888888887</v>
      </c>
      <c r="F134">
        <v>25.4</v>
      </c>
      <c r="G134">
        <v>97.6</v>
      </c>
      <c r="H134">
        <v>6.66</v>
      </c>
      <c r="I134">
        <v>32.700000000000003</v>
      </c>
      <c r="J134">
        <v>8.4700000000000006</v>
      </c>
      <c r="K134">
        <v>3.6</v>
      </c>
      <c r="L134">
        <v>13.42</v>
      </c>
      <c r="M134">
        <v>40.909999999999997</v>
      </c>
    </row>
    <row r="135" spans="1:13" x14ac:dyDescent="0.35">
      <c r="A135" s="1" t="s">
        <v>14</v>
      </c>
      <c r="B135" s="2" t="s">
        <v>59</v>
      </c>
      <c r="C135" s="1" t="str">
        <f t="shared" si="2"/>
        <v>P37_7-24_WQ</v>
      </c>
      <c r="D135" s="10">
        <v>45476</v>
      </c>
    </row>
    <row r="136" spans="1:13" x14ac:dyDescent="0.35">
      <c r="A136" s="1" t="s">
        <v>21</v>
      </c>
      <c r="B136" s="2" t="s">
        <v>59</v>
      </c>
      <c r="C136" s="1" t="str">
        <f t="shared" si="2"/>
        <v>EP146_7-24_WQ</v>
      </c>
      <c r="D136" s="10">
        <v>45476</v>
      </c>
    </row>
    <row r="137" spans="1:13" x14ac:dyDescent="0.35">
      <c r="A137" s="1" t="s">
        <v>23</v>
      </c>
      <c r="B137" s="2" t="s">
        <v>59</v>
      </c>
      <c r="C137" s="1" t="str">
        <f t="shared" si="2"/>
        <v>R127_7-24_WQ</v>
      </c>
      <c r="D137" s="10">
        <v>45476</v>
      </c>
    </row>
    <row r="138" spans="1:13" x14ac:dyDescent="0.35">
      <c r="A138" s="1" t="s">
        <v>20</v>
      </c>
      <c r="B138" s="2" t="s">
        <v>59</v>
      </c>
      <c r="C138" s="1" t="str">
        <f t="shared" si="2"/>
        <v>CP_7-24_WQ</v>
      </c>
      <c r="D138" s="10">
        <v>45476</v>
      </c>
    </row>
    <row r="139" spans="1:13" x14ac:dyDescent="0.35">
      <c r="A139" s="1" t="s">
        <v>22</v>
      </c>
      <c r="B139" s="2" t="s">
        <v>59</v>
      </c>
      <c r="C139" s="1" t="str">
        <f t="shared" si="2"/>
        <v>OL_7-24_WQ</v>
      </c>
      <c r="D139" s="10">
        <v>45476</v>
      </c>
    </row>
    <row r="140" spans="1:13" x14ac:dyDescent="0.35">
      <c r="A140" s="1" t="s">
        <v>19</v>
      </c>
      <c r="B140" s="2" t="s">
        <v>59</v>
      </c>
      <c r="C140" s="1" t="str">
        <f t="shared" si="2"/>
        <v>NCL_7-24_WQ</v>
      </c>
      <c r="D140" s="10">
        <v>45476</v>
      </c>
    </row>
    <row r="141" spans="1:13" x14ac:dyDescent="0.35">
      <c r="A141" s="1" t="s">
        <v>58</v>
      </c>
      <c r="B141" s="2" t="s">
        <v>59</v>
      </c>
      <c r="C141" s="1" t="str">
        <f t="shared" si="2"/>
        <v>TSH_7-24_WQ</v>
      </c>
      <c r="D141" s="10">
        <v>45476</v>
      </c>
    </row>
    <row r="142" spans="1:13" x14ac:dyDescent="0.35">
      <c r="A142" s="1" t="s">
        <v>30</v>
      </c>
      <c r="B142" s="2" t="s">
        <v>64</v>
      </c>
      <c r="C142" s="1" t="str">
        <f t="shared" si="2"/>
        <v>DC1_8-24_WQ</v>
      </c>
      <c r="D142" s="10">
        <v>45505</v>
      </c>
      <c r="E142" s="131">
        <v>0.39097222222222222</v>
      </c>
      <c r="F142">
        <v>29.103999999999999</v>
      </c>
      <c r="G142">
        <v>3.7</v>
      </c>
      <c r="H142">
        <v>0.23</v>
      </c>
      <c r="I142">
        <v>35.799999999999997</v>
      </c>
      <c r="J142">
        <v>8.11</v>
      </c>
      <c r="K142">
        <v>22.42</v>
      </c>
      <c r="L142">
        <v>3.71</v>
      </c>
      <c r="M142">
        <v>54.34</v>
      </c>
    </row>
    <row r="143" spans="1:13" x14ac:dyDescent="0.35">
      <c r="A143" s="1" t="s">
        <v>34</v>
      </c>
      <c r="B143" s="2" t="s">
        <v>64</v>
      </c>
      <c r="C143" s="1" t="str">
        <f t="shared" si="2"/>
        <v>GB1_8-24_WQ</v>
      </c>
      <c r="D143" s="10">
        <v>45505</v>
      </c>
      <c r="E143" s="131">
        <v>0.44930555555555557</v>
      </c>
      <c r="F143">
        <v>30.382999999999999</v>
      </c>
      <c r="G143">
        <v>86</v>
      </c>
      <c r="H143">
        <v>5.36</v>
      </c>
      <c r="I143">
        <v>33.770000000000003</v>
      </c>
      <c r="J143">
        <v>7.9</v>
      </c>
      <c r="K143">
        <v>11.94</v>
      </c>
      <c r="L143">
        <v>1.58</v>
      </c>
      <c r="M143">
        <v>32.200000000000003</v>
      </c>
    </row>
    <row r="144" spans="1:13" x14ac:dyDescent="0.35">
      <c r="A144" s="1" t="s">
        <v>38</v>
      </c>
      <c r="B144" s="2" t="s">
        <v>64</v>
      </c>
      <c r="C144" s="1" t="str">
        <f t="shared" si="2"/>
        <v>MCS4_8-24_WQ</v>
      </c>
      <c r="D144" s="10">
        <v>45505</v>
      </c>
      <c r="E144" s="131">
        <v>0.45347222222222222</v>
      </c>
      <c r="F144">
        <v>29.681000000000001</v>
      </c>
      <c r="G144">
        <v>69.2</v>
      </c>
      <c r="H144">
        <v>4.6399999999999997</v>
      </c>
      <c r="I144">
        <v>22.66</v>
      </c>
      <c r="J144">
        <v>7.8</v>
      </c>
      <c r="K144">
        <v>10.44</v>
      </c>
      <c r="L144">
        <v>1.1399999999999999</v>
      </c>
      <c r="M144">
        <v>20.71</v>
      </c>
    </row>
    <row r="145" spans="1:13" x14ac:dyDescent="0.35">
      <c r="A145" s="1" t="s">
        <v>39</v>
      </c>
      <c r="B145" s="2" t="s">
        <v>64</v>
      </c>
      <c r="C145" s="1" t="str">
        <f t="shared" si="2"/>
        <v>TBHM_8-24_WQ</v>
      </c>
      <c r="D145" s="10">
        <v>45505</v>
      </c>
      <c r="E145" s="131">
        <v>0.46319444444444446</v>
      </c>
      <c r="F145">
        <v>29.928000000000001</v>
      </c>
      <c r="G145">
        <v>61.8</v>
      </c>
      <c r="H145">
        <v>4.12</v>
      </c>
      <c r="I145">
        <v>23.47</v>
      </c>
      <c r="J145">
        <v>7.76</v>
      </c>
      <c r="K145">
        <v>12.14</v>
      </c>
      <c r="L145">
        <v>1.04</v>
      </c>
      <c r="M145">
        <v>19.5</v>
      </c>
    </row>
    <row r="146" spans="1:13" x14ac:dyDescent="0.35">
      <c r="A146" s="1" t="s">
        <v>42</v>
      </c>
      <c r="B146" s="2" t="s">
        <v>64</v>
      </c>
      <c r="C146" s="1" t="str">
        <f t="shared" si="2"/>
        <v>TB2_8-24_WQ</v>
      </c>
      <c r="D146" s="10">
        <v>45505</v>
      </c>
      <c r="E146" s="131">
        <v>0.55138888888888893</v>
      </c>
      <c r="F146">
        <v>30.242999999999999</v>
      </c>
      <c r="G146">
        <v>95.1</v>
      </c>
      <c r="H146">
        <v>6.05</v>
      </c>
      <c r="I146">
        <v>30.68</v>
      </c>
      <c r="J146">
        <v>7.76</v>
      </c>
      <c r="K146">
        <v>14.26</v>
      </c>
      <c r="L146">
        <v>0.26</v>
      </c>
      <c r="M146">
        <v>8.9600000000000009</v>
      </c>
    </row>
    <row r="147" spans="1:13" x14ac:dyDescent="0.35">
      <c r="A147" s="1" t="s">
        <v>43</v>
      </c>
      <c r="B147" s="2" t="s">
        <v>64</v>
      </c>
      <c r="C147" s="1" t="str">
        <f t="shared" si="2"/>
        <v>GB2_8-24_WQ</v>
      </c>
      <c r="D147" s="10">
        <v>45505</v>
      </c>
      <c r="E147" s="131">
        <v>0.39513888888888887</v>
      </c>
      <c r="F147">
        <v>29.824999999999999</v>
      </c>
      <c r="G147">
        <v>86.3</v>
      </c>
      <c r="H147">
        <v>5.32</v>
      </c>
      <c r="I147">
        <v>37.729999999999997</v>
      </c>
      <c r="J147">
        <v>8.14</v>
      </c>
      <c r="K147">
        <v>6.01</v>
      </c>
      <c r="L147">
        <v>0.5</v>
      </c>
      <c r="M147">
        <v>15.63</v>
      </c>
    </row>
    <row r="148" spans="1:13" x14ac:dyDescent="0.35">
      <c r="A148" s="1" t="s">
        <v>49</v>
      </c>
      <c r="B148" s="2" t="s">
        <v>64</v>
      </c>
      <c r="C148" s="1" t="str">
        <f t="shared" si="2"/>
        <v>SBT2_8-24_WQ</v>
      </c>
      <c r="D148" s="10">
        <v>45505</v>
      </c>
    </row>
    <row r="149" spans="1:13" x14ac:dyDescent="0.35">
      <c r="A149" s="1" t="s">
        <v>51</v>
      </c>
      <c r="B149" s="2" t="s">
        <v>64</v>
      </c>
      <c r="C149" s="1" t="str">
        <f t="shared" si="2"/>
        <v>TBC_8-24_WQ</v>
      </c>
      <c r="D149" s="10">
        <v>45505</v>
      </c>
      <c r="E149" s="131">
        <v>0.50694444444444442</v>
      </c>
      <c r="F149">
        <v>30.015999999999998</v>
      </c>
      <c r="G149">
        <v>40.4</v>
      </c>
      <c r="H149">
        <v>2.6</v>
      </c>
      <c r="I149">
        <v>27.72</v>
      </c>
      <c r="J149">
        <v>7.33</v>
      </c>
      <c r="K149">
        <v>6.2</v>
      </c>
      <c r="L149">
        <v>0.72</v>
      </c>
      <c r="M149">
        <v>24.67</v>
      </c>
    </row>
    <row r="150" spans="1:13" x14ac:dyDescent="0.35">
      <c r="A150" s="1" t="s">
        <v>33</v>
      </c>
      <c r="B150" s="2" t="s">
        <v>64</v>
      </c>
      <c r="C150" s="1" t="str">
        <f t="shared" si="2"/>
        <v>DCM2_8-24_WQ</v>
      </c>
      <c r="D150" s="10">
        <v>45505</v>
      </c>
    </row>
    <row r="151" spans="1:13" x14ac:dyDescent="0.35">
      <c r="A151" s="1" t="s">
        <v>24</v>
      </c>
      <c r="B151" s="2" t="s">
        <v>64</v>
      </c>
      <c r="C151" s="1" t="str">
        <f t="shared" si="2"/>
        <v>ACS1_8-24_WQ</v>
      </c>
      <c r="D151" s="10">
        <v>45505</v>
      </c>
      <c r="E151" s="131">
        <v>0.60069444444444442</v>
      </c>
      <c r="F151">
        <v>32.261000000000003</v>
      </c>
      <c r="G151">
        <v>116.2</v>
      </c>
      <c r="H151">
        <v>8</v>
      </c>
      <c r="I151">
        <v>10.26</v>
      </c>
      <c r="J151">
        <v>8.34</v>
      </c>
      <c r="K151">
        <v>5.89</v>
      </c>
      <c r="L151">
        <v>1.92</v>
      </c>
      <c r="M151">
        <v>25.48</v>
      </c>
    </row>
    <row r="152" spans="1:13" x14ac:dyDescent="0.35">
      <c r="A152" s="1" t="s">
        <v>44</v>
      </c>
      <c r="B152" s="2" t="s">
        <v>64</v>
      </c>
      <c r="C152" s="1" t="str">
        <f t="shared" si="2"/>
        <v>RB_8-24_WQ</v>
      </c>
      <c r="D152" s="10">
        <v>45505</v>
      </c>
      <c r="E152" s="131">
        <v>0.38124999999999998</v>
      </c>
      <c r="F152">
        <v>30.259</v>
      </c>
      <c r="G152">
        <v>98.5</v>
      </c>
      <c r="H152">
        <v>6.02</v>
      </c>
      <c r="I152">
        <v>38.04</v>
      </c>
      <c r="J152">
        <v>8.08</v>
      </c>
      <c r="K152">
        <v>5.28</v>
      </c>
      <c r="L152">
        <v>0.64</v>
      </c>
      <c r="M152">
        <v>14.91</v>
      </c>
    </row>
    <row r="153" spans="1:13" x14ac:dyDescent="0.35">
      <c r="A153" s="1" t="s">
        <v>27</v>
      </c>
      <c r="B153" s="2" t="s">
        <v>64</v>
      </c>
      <c r="C153" s="1" t="str">
        <f t="shared" si="2"/>
        <v>ACS4_8-24_WQ</v>
      </c>
      <c r="D153" s="10">
        <v>45505</v>
      </c>
      <c r="E153" s="131">
        <v>0.50486111111111109</v>
      </c>
      <c r="F153">
        <v>31.408000000000001</v>
      </c>
      <c r="G153">
        <v>95</v>
      </c>
      <c r="H153">
        <v>5.97</v>
      </c>
      <c r="I153">
        <v>29.74</v>
      </c>
      <c r="J153">
        <v>7.88</v>
      </c>
      <c r="K153">
        <v>13.01</v>
      </c>
      <c r="L153">
        <v>1.89</v>
      </c>
      <c r="M153">
        <v>31.76</v>
      </c>
    </row>
    <row r="154" spans="1:13" x14ac:dyDescent="0.35">
      <c r="A154" s="1" t="s">
        <v>28</v>
      </c>
      <c r="B154" s="2" t="s">
        <v>64</v>
      </c>
      <c r="C154" s="1" t="str">
        <f t="shared" si="2"/>
        <v>ACS5_8-24_WQ</v>
      </c>
      <c r="D154" s="10">
        <v>45505</v>
      </c>
      <c r="E154" s="131">
        <v>0.46458333333333335</v>
      </c>
      <c r="F154">
        <v>30.712</v>
      </c>
      <c r="G154">
        <v>86.8</v>
      </c>
      <c r="H154">
        <v>5.39</v>
      </c>
      <c r="I154">
        <v>33.53</v>
      </c>
      <c r="J154">
        <v>8.0299999999999994</v>
      </c>
      <c r="K154">
        <v>20.69</v>
      </c>
      <c r="L154">
        <v>1.28</v>
      </c>
      <c r="M154">
        <v>24.06</v>
      </c>
    </row>
    <row r="155" spans="1:13" x14ac:dyDescent="0.35">
      <c r="A155" s="1" t="s">
        <v>56</v>
      </c>
      <c r="B155" s="2" t="s">
        <v>64</v>
      </c>
      <c r="C155" s="1" t="str">
        <f t="shared" si="2"/>
        <v>CC_8-24_WQ</v>
      </c>
      <c r="D155" s="10">
        <v>45505</v>
      </c>
      <c r="E155" s="131">
        <v>0.45277777777777778</v>
      </c>
      <c r="F155">
        <v>29.696000000000002</v>
      </c>
      <c r="G155">
        <v>89.7</v>
      </c>
      <c r="H155">
        <v>5.52</v>
      </c>
      <c r="I155">
        <v>38.32</v>
      </c>
      <c r="J155">
        <v>7.86</v>
      </c>
      <c r="K155">
        <v>45.6</v>
      </c>
      <c r="L155">
        <v>1.21</v>
      </c>
      <c r="M155">
        <v>6.99</v>
      </c>
    </row>
    <row r="156" spans="1:13" x14ac:dyDescent="0.35">
      <c r="A156" s="1" t="s">
        <v>31</v>
      </c>
      <c r="B156" s="2" t="s">
        <v>64</v>
      </c>
      <c r="C156" s="1" t="str">
        <f t="shared" si="2"/>
        <v>DCM1_8-24_WQ</v>
      </c>
      <c r="D156" s="10">
        <v>45505</v>
      </c>
    </row>
    <row r="157" spans="1:13" x14ac:dyDescent="0.35">
      <c r="A157" s="1" t="s">
        <v>25</v>
      </c>
      <c r="B157" s="2" t="s">
        <v>64</v>
      </c>
      <c r="C157" s="1" t="str">
        <f t="shared" si="2"/>
        <v>ACS2_8-24_WQ</v>
      </c>
      <c r="D157" s="10">
        <v>45505</v>
      </c>
      <c r="E157" s="131">
        <v>0.57777777777777772</v>
      </c>
      <c r="F157">
        <v>32.392000000000003</v>
      </c>
      <c r="G157">
        <v>106.1</v>
      </c>
      <c r="H157">
        <v>7.21</v>
      </c>
      <c r="I157">
        <v>14.68</v>
      </c>
      <c r="J157">
        <v>8.14</v>
      </c>
      <c r="K157">
        <v>7.23</v>
      </c>
      <c r="L157">
        <v>1.61</v>
      </c>
      <c r="M157">
        <v>24.08</v>
      </c>
    </row>
    <row r="158" spans="1:13" x14ac:dyDescent="0.35">
      <c r="A158" s="1" t="s">
        <v>48</v>
      </c>
      <c r="B158" s="2" t="s">
        <v>64</v>
      </c>
      <c r="C158" s="1" t="str">
        <f t="shared" si="2"/>
        <v>SBT1_8-24_WQ</v>
      </c>
      <c r="D158" s="10">
        <v>45505</v>
      </c>
      <c r="E158" s="131"/>
      <c r="F158">
        <v>27.491</v>
      </c>
      <c r="G158">
        <v>14.5</v>
      </c>
      <c r="H158">
        <v>0.99</v>
      </c>
      <c r="I158">
        <v>33.03</v>
      </c>
      <c r="J158">
        <v>7.12</v>
      </c>
      <c r="K158">
        <v>15.59</v>
      </c>
      <c r="L158">
        <v>55.46</v>
      </c>
      <c r="M158">
        <v>169.55</v>
      </c>
    </row>
    <row r="159" spans="1:13" x14ac:dyDescent="0.35">
      <c r="A159" s="1" t="s">
        <v>54</v>
      </c>
      <c r="B159" s="2" t="s">
        <v>64</v>
      </c>
      <c r="C159" s="1" t="str">
        <f t="shared" si="2"/>
        <v>TKB_8-24_WQ</v>
      </c>
      <c r="D159" s="10">
        <v>45505</v>
      </c>
      <c r="E159" s="131">
        <v>0.55694444444444446</v>
      </c>
      <c r="F159">
        <v>30.808</v>
      </c>
      <c r="G159">
        <v>109.4</v>
      </c>
      <c r="H159">
        <v>6.63</v>
      </c>
      <c r="I159">
        <v>38.049999999999997</v>
      </c>
      <c r="J159">
        <v>7.91</v>
      </c>
      <c r="K159">
        <v>0.95</v>
      </c>
      <c r="L159">
        <v>0.22</v>
      </c>
      <c r="M159">
        <v>10.11</v>
      </c>
    </row>
    <row r="160" spans="1:13" x14ac:dyDescent="0.35">
      <c r="A160" s="1" t="s">
        <v>45</v>
      </c>
      <c r="B160" s="2" t="s">
        <v>64</v>
      </c>
      <c r="C160" s="1" t="str">
        <f t="shared" si="2"/>
        <v>TSM1_8-24_WQ</v>
      </c>
      <c r="D160" s="10">
        <v>45505</v>
      </c>
      <c r="F160">
        <v>29.524999999999999</v>
      </c>
      <c r="G160">
        <v>68.3</v>
      </c>
      <c r="H160">
        <v>5.19</v>
      </c>
      <c r="I160">
        <v>0.21</v>
      </c>
      <c r="J160">
        <v>7.64</v>
      </c>
      <c r="K160">
        <v>0.1</v>
      </c>
      <c r="L160">
        <v>28.83</v>
      </c>
      <c r="M160">
        <v>86.48</v>
      </c>
    </row>
    <row r="161" spans="1:13" x14ac:dyDescent="0.35">
      <c r="A161" s="1" t="s">
        <v>32</v>
      </c>
      <c r="B161" s="2" t="s">
        <v>64</v>
      </c>
      <c r="C161" s="1" t="str">
        <f t="shared" si="2"/>
        <v>DC2_8-24_WQ</v>
      </c>
      <c r="D161" s="10">
        <v>45505</v>
      </c>
      <c r="E161" s="131">
        <v>0.41666666666666669</v>
      </c>
      <c r="F161">
        <v>30.001999999999999</v>
      </c>
      <c r="G161">
        <v>5.4</v>
      </c>
      <c r="H161">
        <v>0.33</v>
      </c>
      <c r="I161">
        <v>29.07</v>
      </c>
      <c r="J161">
        <v>7.39</v>
      </c>
      <c r="K161">
        <v>22.45</v>
      </c>
      <c r="L161">
        <v>4.92</v>
      </c>
      <c r="M161">
        <v>67.239999999999995</v>
      </c>
    </row>
    <row r="162" spans="1:13" x14ac:dyDescent="0.35">
      <c r="A162" s="1" t="s">
        <v>53</v>
      </c>
      <c r="B162" s="2" t="s">
        <v>64</v>
      </c>
      <c r="C162" s="1" t="str">
        <f t="shared" si="2"/>
        <v>WB2_8-24_WQ</v>
      </c>
      <c r="D162" s="10">
        <v>45505</v>
      </c>
      <c r="E162" s="131">
        <v>0.58125000000000004</v>
      </c>
      <c r="F162">
        <v>31.443999999999999</v>
      </c>
      <c r="G162">
        <v>132.6</v>
      </c>
      <c r="H162">
        <v>8</v>
      </c>
      <c r="I162">
        <v>36.729999999999997</v>
      </c>
      <c r="J162">
        <v>8.08</v>
      </c>
      <c r="K162">
        <v>0.7</v>
      </c>
      <c r="L162">
        <v>0.12</v>
      </c>
      <c r="M162">
        <v>9.1999999999999993</v>
      </c>
    </row>
    <row r="163" spans="1:13" x14ac:dyDescent="0.35">
      <c r="A163" s="1" t="s">
        <v>40</v>
      </c>
      <c r="B163" s="2" t="s">
        <v>64</v>
      </c>
      <c r="C163" s="1" t="str">
        <f t="shared" si="2"/>
        <v>TBCM_8-24_WQ</v>
      </c>
      <c r="D163" s="10">
        <v>45505</v>
      </c>
      <c r="E163" s="131">
        <v>0.52222222222222225</v>
      </c>
      <c r="F163">
        <v>33.314999999999998</v>
      </c>
      <c r="G163">
        <v>124.1</v>
      </c>
      <c r="H163">
        <v>7.69</v>
      </c>
      <c r="I163">
        <v>27.91</v>
      </c>
      <c r="J163">
        <v>8</v>
      </c>
      <c r="K163">
        <v>29.3</v>
      </c>
      <c r="L163">
        <v>2.29</v>
      </c>
      <c r="M163">
        <v>20.96</v>
      </c>
    </row>
    <row r="164" spans="1:13" x14ac:dyDescent="0.35">
      <c r="A164" s="1" t="s">
        <v>26</v>
      </c>
      <c r="B164" s="2" t="s">
        <v>64</v>
      </c>
      <c r="C164" s="1" t="str">
        <f t="shared" si="2"/>
        <v>ACS3_8-24_WQ</v>
      </c>
      <c r="D164" s="10">
        <v>45505</v>
      </c>
      <c r="E164" s="131">
        <v>0.55486111111111114</v>
      </c>
      <c r="F164">
        <v>31.94</v>
      </c>
      <c r="G164">
        <v>88.7</v>
      </c>
      <c r="H164">
        <v>6.21</v>
      </c>
      <c r="I164">
        <v>7.97</v>
      </c>
      <c r="J164">
        <v>8.18</v>
      </c>
      <c r="K164">
        <v>5.61</v>
      </c>
      <c r="L164">
        <v>2.0699999999999998</v>
      </c>
      <c r="M164">
        <v>22.49</v>
      </c>
    </row>
    <row r="165" spans="1:13" x14ac:dyDescent="0.35">
      <c r="A165" s="1" t="s">
        <v>46</v>
      </c>
      <c r="B165" s="2" t="s">
        <v>64</v>
      </c>
      <c r="C165" s="1" t="str">
        <f t="shared" si="2"/>
        <v>TSM3_8-24_WQ</v>
      </c>
      <c r="D165" s="10">
        <v>45505</v>
      </c>
      <c r="F165">
        <v>29.55</v>
      </c>
      <c r="G165">
        <v>70</v>
      </c>
      <c r="H165">
        <v>5.33</v>
      </c>
      <c r="I165">
        <v>0.22</v>
      </c>
      <c r="J165">
        <v>7.61</v>
      </c>
      <c r="K165">
        <v>4.4400000000000004</v>
      </c>
      <c r="L165">
        <v>26.8</v>
      </c>
      <c r="M165">
        <v>80.19</v>
      </c>
    </row>
    <row r="166" spans="1:13" x14ac:dyDescent="0.35">
      <c r="A166" s="1" t="s">
        <v>37</v>
      </c>
      <c r="B166" s="2" t="s">
        <v>64</v>
      </c>
      <c r="C166" s="1" t="str">
        <f t="shared" si="2"/>
        <v>MCS3_8-24_WQ</v>
      </c>
      <c r="D166" s="10">
        <v>45505</v>
      </c>
      <c r="E166" s="131">
        <v>0.43541666666666667</v>
      </c>
      <c r="F166">
        <v>29.553999999999998</v>
      </c>
      <c r="G166">
        <v>98.7</v>
      </c>
      <c r="H166">
        <v>6.69</v>
      </c>
      <c r="I166">
        <v>21.19</v>
      </c>
      <c r="J166">
        <v>7.99</v>
      </c>
      <c r="K166">
        <v>9.6199999999999992</v>
      </c>
      <c r="L166">
        <v>1.05</v>
      </c>
      <c r="M166">
        <v>18.579999999999998</v>
      </c>
    </row>
    <row r="167" spans="1:13" x14ac:dyDescent="0.35">
      <c r="A167" s="1" t="s">
        <v>52</v>
      </c>
      <c r="B167" s="2" t="s">
        <v>64</v>
      </c>
      <c r="C167" s="1" t="str">
        <f t="shared" si="2"/>
        <v>WB1_8-24_WQ</v>
      </c>
      <c r="D167" s="10">
        <v>45505</v>
      </c>
      <c r="E167" s="131">
        <v>0.60138888888888886</v>
      </c>
      <c r="F167">
        <v>31.600999999999999</v>
      </c>
      <c r="G167">
        <v>139.9</v>
      </c>
      <c r="H167">
        <v>8.44</v>
      </c>
      <c r="I167">
        <v>36.46</v>
      </c>
      <c r="J167">
        <v>8.08</v>
      </c>
      <c r="K167">
        <v>1.53</v>
      </c>
      <c r="L167">
        <v>0.31</v>
      </c>
      <c r="M167">
        <v>10.62</v>
      </c>
    </row>
    <row r="168" spans="1:13" x14ac:dyDescent="0.35">
      <c r="A168" s="1" t="s">
        <v>35</v>
      </c>
      <c r="B168" s="2" t="s">
        <v>64</v>
      </c>
      <c r="C168" s="1" t="str">
        <f t="shared" si="2"/>
        <v>MCS1_8-24_WQ</v>
      </c>
      <c r="D168" s="10">
        <v>45505</v>
      </c>
      <c r="E168" s="131">
        <v>0.39305555555555555</v>
      </c>
      <c r="F168">
        <v>29.526</v>
      </c>
      <c r="G168">
        <v>94.9</v>
      </c>
      <c r="H168">
        <v>6.83</v>
      </c>
      <c r="I168">
        <v>10.64</v>
      </c>
      <c r="J168">
        <v>8.18</v>
      </c>
      <c r="K168">
        <v>3.7</v>
      </c>
      <c r="L168">
        <v>0.69</v>
      </c>
      <c r="M168">
        <v>19.420000000000002</v>
      </c>
    </row>
    <row r="169" spans="1:13" x14ac:dyDescent="0.35">
      <c r="A169" s="1" t="s">
        <v>41</v>
      </c>
      <c r="B169" s="2" t="s">
        <v>64</v>
      </c>
      <c r="C169" s="1" t="str">
        <f t="shared" si="2"/>
        <v>TB1_8-24_WQ</v>
      </c>
      <c r="D169" s="10">
        <v>45505</v>
      </c>
      <c r="E169" s="131">
        <v>0.48055555555555557</v>
      </c>
      <c r="F169">
        <v>30.048999999999999</v>
      </c>
      <c r="G169">
        <v>102.8</v>
      </c>
      <c r="H169">
        <v>6.67</v>
      </c>
      <c r="I169">
        <v>27.74</v>
      </c>
      <c r="J169">
        <v>7.88</v>
      </c>
      <c r="K169">
        <v>6.22</v>
      </c>
      <c r="L169">
        <v>0.35</v>
      </c>
      <c r="M169">
        <v>9.3699999999999992</v>
      </c>
    </row>
    <row r="170" spans="1:13" x14ac:dyDescent="0.35">
      <c r="A170" s="1" t="s">
        <v>55</v>
      </c>
      <c r="B170" s="2" t="s">
        <v>64</v>
      </c>
      <c r="C170" s="1" t="str">
        <f t="shared" si="2"/>
        <v>JB_8-24_WQ</v>
      </c>
      <c r="D170" s="10">
        <v>45505</v>
      </c>
      <c r="E170" s="131">
        <v>0.48472222222222222</v>
      </c>
      <c r="F170">
        <v>30.943999999999999</v>
      </c>
      <c r="G170">
        <v>104.3</v>
      </c>
      <c r="H170">
        <v>6.27</v>
      </c>
      <c r="I170">
        <v>38.799999999999997</v>
      </c>
      <c r="J170">
        <v>8.01</v>
      </c>
      <c r="K170">
        <v>7.0000000000000007E-2</v>
      </c>
      <c r="L170">
        <v>0.26</v>
      </c>
      <c r="M170">
        <v>11.78</v>
      </c>
    </row>
    <row r="171" spans="1:13" x14ac:dyDescent="0.35">
      <c r="A171" s="1" t="s">
        <v>36</v>
      </c>
      <c r="B171" s="2" t="s">
        <v>64</v>
      </c>
      <c r="C171" s="1" t="str">
        <f t="shared" si="2"/>
        <v>MCS2_8-24_WQ</v>
      </c>
      <c r="D171" s="10">
        <v>45505</v>
      </c>
      <c r="E171" s="131">
        <v>0.4201388888888889</v>
      </c>
      <c r="F171">
        <v>29.475999999999999</v>
      </c>
      <c r="G171">
        <v>96.3</v>
      </c>
      <c r="H171">
        <v>6.73</v>
      </c>
      <c r="I171">
        <v>15.9</v>
      </c>
      <c r="J171">
        <v>8.01</v>
      </c>
      <c r="K171">
        <v>6.36</v>
      </c>
      <c r="L171">
        <v>0.73</v>
      </c>
      <c r="M171">
        <v>18.02</v>
      </c>
    </row>
    <row r="172" spans="1:13" x14ac:dyDescent="0.35">
      <c r="A172" s="1" t="s">
        <v>47</v>
      </c>
      <c r="B172" s="2" t="s">
        <v>64</v>
      </c>
      <c r="C172" s="1" t="str">
        <f t="shared" si="2"/>
        <v>TSM4_8-24_WQ</v>
      </c>
      <c r="D172" s="10">
        <v>45505</v>
      </c>
      <c r="F172">
        <v>27.831</v>
      </c>
      <c r="G172">
        <v>18.2</v>
      </c>
      <c r="H172">
        <v>1.63</v>
      </c>
      <c r="I172">
        <v>0.34</v>
      </c>
      <c r="J172">
        <v>6.96</v>
      </c>
      <c r="K172">
        <v>22.1</v>
      </c>
      <c r="L172">
        <v>3.82</v>
      </c>
      <c r="M172">
        <v>10.199999999999999</v>
      </c>
    </row>
    <row r="173" spans="1:13" x14ac:dyDescent="0.35">
      <c r="A173" s="89" t="s">
        <v>24</v>
      </c>
      <c r="B173" s="90" t="s">
        <v>111</v>
      </c>
      <c r="C173" s="1" t="str">
        <f t="shared" si="2"/>
        <v>ACS1_11-24_WQ</v>
      </c>
      <c r="D173" s="91">
        <v>45606</v>
      </c>
      <c r="E173" s="131">
        <v>0.39097222222222222</v>
      </c>
      <c r="F173">
        <v>26.3</v>
      </c>
      <c r="G173">
        <v>56</v>
      </c>
      <c r="H173">
        <v>4.4000000000000004</v>
      </c>
      <c r="I173">
        <v>7.6</v>
      </c>
    </row>
    <row r="174" spans="1:13" x14ac:dyDescent="0.35">
      <c r="A174" s="89" t="s">
        <v>46</v>
      </c>
      <c r="B174" s="90" t="s">
        <v>111</v>
      </c>
      <c r="C174" s="1" t="str">
        <f t="shared" si="2"/>
        <v>TSM3_11-24_WQ</v>
      </c>
      <c r="D174" s="91">
        <v>45606</v>
      </c>
    </row>
    <row r="175" spans="1:13" x14ac:dyDescent="0.35">
      <c r="A175" s="89" t="s">
        <v>48</v>
      </c>
      <c r="B175" s="90" t="s">
        <v>111</v>
      </c>
      <c r="C175" s="1" t="str">
        <f t="shared" si="2"/>
        <v>SBT1_11-24_WQ</v>
      </c>
      <c r="D175" s="91">
        <v>45606</v>
      </c>
      <c r="E175" s="131">
        <v>0.44166666666666665</v>
      </c>
    </row>
    <row r="176" spans="1:13" x14ac:dyDescent="0.35">
      <c r="A176" s="89" t="s">
        <v>47</v>
      </c>
      <c r="B176" s="90" t="s">
        <v>111</v>
      </c>
      <c r="C176" s="1" t="str">
        <f t="shared" si="2"/>
        <v>TSM4_11-24_WQ</v>
      </c>
      <c r="D176" s="91">
        <v>45606</v>
      </c>
    </row>
    <row r="177" spans="1:13" x14ac:dyDescent="0.35">
      <c r="A177" s="89" t="s">
        <v>34</v>
      </c>
      <c r="B177" s="90" t="s">
        <v>111</v>
      </c>
      <c r="C177" s="1" t="str">
        <f t="shared" si="2"/>
        <v>GB1_11-24_WQ</v>
      </c>
      <c r="D177" s="91">
        <v>45612</v>
      </c>
      <c r="E177" s="131">
        <v>0.43055555555555558</v>
      </c>
      <c r="F177">
        <v>25.3</v>
      </c>
      <c r="G177">
        <v>108</v>
      </c>
      <c r="H177">
        <v>8</v>
      </c>
      <c r="I177">
        <v>19.600000000000001</v>
      </c>
    </row>
    <row r="178" spans="1:13" x14ac:dyDescent="0.35">
      <c r="A178" s="89" t="s">
        <v>42</v>
      </c>
      <c r="B178" s="90" t="s">
        <v>111</v>
      </c>
      <c r="C178" s="1" t="str">
        <f t="shared" si="2"/>
        <v>TB2_11-24_WQ</v>
      </c>
      <c r="D178" s="91">
        <v>45612</v>
      </c>
      <c r="E178" s="131">
        <v>0.52986111111111112</v>
      </c>
      <c r="F178">
        <v>26.4</v>
      </c>
      <c r="G178">
        <v>96</v>
      </c>
      <c r="H178">
        <v>6.5</v>
      </c>
      <c r="I178">
        <v>31.2</v>
      </c>
    </row>
    <row r="179" spans="1:13" x14ac:dyDescent="0.35">
      <c r="A179" s="89" t="s">
        <v>49</v>
      </c>
      <c r="B179" s="90" t="s">
        <v>111</v>
      </c>
      <c r="C179" s="1" t="str">
        <f t="shared" si="2"/>
        <v>SBT2_11-24_WQ</v>
      </c>
      <c r="D179" s="91">
        <v>45612</v>
      </c>
      <c r="E179" s="131">
        <v>0.42430555555555555</v>
      </c>
      <c r="F179">
        <v>30.579000000000001</v>
      </c>
      <c r="G179">
        <v>98.1</v>
      </c>
      <c r="H179">
        <v>5.97</v>
      </c>
      <c r="I179">
        <v>37.92</v>
      </c>
      <c r="J179">
        <v>7.87</v>
      </c>
      <c r="K179">
        <v>7.78</v>
      </c>
      <c r="L179">
        <v>1.08</v>
      </c>
      <c r="M179">
        <v>16.170000000000002</v>
      </c>
    </row>
    <row r="180" spans="1:13" x14ac:dyDescent="0.35">
      <c r="A180" s="89" t="s">
        <v>55</v>
      </c>
      <c r="B180" s="90" t="s">
        <v>111</v>
      </c>
      <c r="C180" s="1" t="str">
        <f t="shared" si="2"/>
        <v>JB_11-24_WQ</v>
      </c>
      <c r="D180" s="91">
        <v>45612</v>
      </c>
      <c r="E180" s="131">
        <v>0.66319444444444442</v>
      </c>
      <c r="F180">
        <v>26.7</v>
      </c>
      <c r="G180">
        <v>121</v>
      </c>
      <c r="H180">
        <v>8.4</v>
      </c>
      <c r="I180">
        <v>26.4</v>
      </c>
    </row>
    <row r="181" spans="1:13" x14ac:dyDescent="0.35">
      <c r="A181" s="89" t="s">
        <v>44</v>
      </c>
      <c r="B181" s="90" t="s">
        <v>111</v>
      </c>
      <c r="C181" s="1" t="str">
        <f t="shared" si="2"/>
        <v>RB_11-24_WQ</v>
      </c>
      <c r="D181" s="91">
        <v>45612</v>
      </c>
      <c r="E181" s="131">
        <v>0.375</v>
      </c>
      <c r="F181">
        <v>25.3</v>
      </c>
      <c r="G181">
        <v>100</v>
      </c>
      <c r="H181">
        <v>7.3</v>
      </c>
      <c r="I181">
        <v>21.4</v>
      </c>
    </row>
    <row r="182" spans="1:13" x14ac:dyDescent="0.35">
      <c r="A182" s="89" t="s">
        <v>41</v>
      </c>
      <c r="B182" s="90" t="s">
        <v>111</v>
      </c>
      <c r="C182" s="1" t="str">
        <f t="shared" si="2"/>
        <v>TB1_11-24_WQ</v>
      </c>
      <c r="D182" s="91">
        <v>45612</v>
      </c>
    </row>
    <row r="183" spans="1:13" x14ac:dyDescent="0.35">
      <c r="A183" s="89" t="s">
        <v>30</v>
      </c>
      <c r="B183" s="90" t="s">
        <v>111</v>
      </c>
      <c r="C183" s="1" t="str">
        <f t="shared" si="2"/>
        <v>DC1_11-24_WQ</v>
      </c>
      <c r="D183" s="91">
        <v>45612</v>
      </c>
      <c r="E183" s="131">
        <v>0.64444444444444449</v>
      </c>
      <c r="F183">
        <v>26.6</v>
      </c>
      <c r="G183">
        <v>103</v>
      </c>
      <c r="H183">
        <v>7</v>
      </c>
      <c r="I183">
        <v>29.4</v>
      </c>
    </row>
    <row r="184" spans="1:13" x14ac:dyDescent="0.35">
      <c r="A184" s="89" t="s">
        <v>35</v>
      </c>
      <c r="B184" s="90" t="s">
        <v>111</v>
      </c>
      <c r="C184" s="1" t="str">
        <f t="shared" si="2"/>
        <v>MCS1_11-24_WQ</v>
      </c>
      <c r="D184" s="91">
        <v>45612</v>
      </c>
      <c r="E184" s="131">
        <v>0.54236111111111107</v>
      </c>
      <c r="F184">
        <v>26.3</v>
      </c>
      <c r="G184">
        <v>104</v>
      </c>
      <c r="H184">
        <v>6.9</v>
      </c>
      <c r="I184">
        <v>31.3</v>
      </c>
    </row>
    <row r="185" spans="1:13" x14ac:dyDescent="0.35">
      <c r="A185" s="89" t="s">
        <v>54</v>
      </c>
      <c r="B185" s="90" t="s">
        <v>111</v>
      </c>
      <c r="C185" s="1" t="str">
        <f t="shared" si="2"/>
        <v>TKB_11-24_WQ</v>
      </c>
      <c r="D185" s="91">
        <v>45612</v>
      </c>
      <c r="E185" s="131">
        <v>0.48819444444444443</v>
      </c>
      <c r="F185">
        <v>25.8</v>
      </c>
      <c r="G185">
        <v>80</v>
      </c>
      <c r="H185">
        <v>5.5</v>
      </c>
      <c r="I185">
        <v>26.2</v>
      </c>
    </row>
  </sheetData>
  <autoFilter ref="A1:D192" xr:uid="{18D1EF5C-2B53-4A3C-AF77-8C34CCA15F95}">
    <sortState xmlns:xlrd2="http://schemas.microsoft.com/office/spreadsheetml/2017/richdata2" ref="A2:D192">
      <sortCondition ref="D1:D192"/>
    </sortState>
  </autoFilter>
  <conditionalFormatting sqref="E1 G1">
    <cfRule type="containsText" dxfId="3" priority="1" operator="containsText" text="Y">
      <formula>NOT(ISERROR(SEARCH("Y",E1)))</formula>
    </cfRule>
  </conditionalFormatting>
  <conditionalFormatting sqref="H1">
    <cfRule type="containsText" dxfId="2" priority="4" operator="containsText" text="C,N,S">
      <formula>NOT(ISERROR(SEARCH("C,N,S",H1)))</formula>
    </cfRule>
  </conditionalFormatting>
  <conditionalFormatting sqref="BD1:BE1">
    <cfRule type="containsText" dxfId="1" priority="2" operator="containsText" text="Y">
      <formula>NOT(ISERROR(SEARCH("Y",BD1)))</formula>
    </cfRule>
    <cfRule type="containsText" dxfId="0" priority="3" operator="containsText" text="N">
      <formula>NOT(ISERROR(SEARCH("N",BD1)))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15E3-4BDC-454A-A05D-20BB71F17961}">
  <sheetPr filterMode="1"/>
  <dimension ref="A1:H351"/>
  <sheetViews>
    <sheetView tabSelected="1" workbookViewId="0">
      <pane ySplit="1" topLeftCell="A16" activePane="bottomLeft" state="frozen"/>
      <selection pane="bottomLeft" activeCell="H352" sqref="H352"/>
    </sheetView>
  </sheetViews>
  <sheetFormatPr defaultRowHeight="14.5" x14ac:dyDescent="0.35"/>
  <cols>
    <col min="1" max="1" width="13" style="1" customWidth="1"/>
    <col min="2" max="3" width="16.1796875" style="2" customWidth="1"/>
    <col min="4" max="5" width="16.54296875" style="1" customWidth="1"/>
    <col min="6" max="6" width="15" style="1" customWidth="1"/>
    <col min="7" max="7" width="14.453125" style="1" customWidth="1"/>
    <col min="8" max="8" width="15.1796875" style="1" customWidth="1"/>
  </cols>
  <sheetData>
    <row r="1" spans="1:8" s="7" customFormat="1" x14ac:dyDescent="0.35">
      <c r="A1" s="8" t="s">
        <v>0</v>
      </c>
      <c r="B1" s="9" t="s">
        <v>1</v>
      </c>
      <c r="C1" s="9" t="s">
        <v>116</v>
      </c>
      <c r="D1" s="8" t="s">
        <v>3</v>
      </c>
      <c r="E1" s="8" t="s">
        <v>4</v>
      </c>
      <c r="F1" s="8" t="s">
        <v>131</v>
      </c>
      <c r="G1" s="8" t="s">
        <v>132</v>
      </c>
      <c r="H1" s="8" t="s">
        <v>133</v>
      </c>
    </row>
    <row r="2" spans="1:8" hidden="1" x14ac:dyDescent="0.35">
      <c r="A2" s="1" t="s">
        <v>14</v>
      </c>
      <c r="B2" s="2" t="s">
        <v>118</v>
      </c>
      <c r="C2" s="2" t="s">
        <v>134</v>
      </c>
      <c r="D2" s="1" t="str">
        <f t="shared" ref="D2:D62" si="0">A2&amp;"_"&amp;B2&amp;"_"&amp;C2</f>
        <v>P37_9_23_1</v>
      </c>
      <c r="E2" s="10">
        <v>45184</v>
      </c>
      <c r="F2" s="1">
        <v>47</v>
      </c>
      <c r="G2" s="1" t="s">
        <v>135</v>
      </c>
      <c r="H2" s="1" t="s">
        <v>135</v>
      </c>
    </row>
    <row r="3" spans="1:8" hidden="1" x14ac:dyDescent="0.35">
      <c r="A3" s="1" t="s">
        <v>14</v>
      </c>
      <c r="B3" s="2" t="s">
        <v>118</v>
      </c>
      <c r="C3" s="2" t="s">
        <v>136</v>
      </c>
      <c r="D3" s="1" t="str">
        <f t="shared" si="0"/>
        <v>P37_9_23_2</v>
      </c>
      <c r="E3" s="10">
        <v>45184</v>
      </c>
      <c r="F3" s="1">
        <v>60</v>
      </c>
      <c r="G3" s="1" t="s">
        <v>135</v>
      </c>
      <c r="H3" s="1" t="s">
        <v>135</v>
      </c>
    </row>
    <row r="4" spans="1:8" hidden="1" x14ac:dyDescent="0.35">
      <c r="A4" s="1" t="s">
        <v>19</v>
      </c>
      <c r="B4" s="2" t="s">
        <v>118</v>
      </c>
      <c r="C4" s="2" t="s">
        <v>134</v>
      </c>
      <c r="D4" s="1" t="str">
        <f t="shared" si="0"/>
        <v>NCL_9_23_1</v>
      </c>
      <c r="E4" s="10">
        <v>45184</v>
      </c>
      <c r="F4" s="1">
        <v>60</v>
      </c>
      <c r="G4" s="1" t="s">
        <v>135</v>
      </c>
      <c r="H4" s="1" t="s">
        <v>135</v>
      </c>
    </row>
    <row r="5" spans="1:8" hidden="1" x14ac:dyDescent="0.35">
      <c r="A5" s="1" t="s">
        <v>19</v>
      </c>
      <c r="B5" s="2" t="s">
        <v>118</v>
      </c>
      <c r="C5" s="2" t="s">
        <v>136</v>
      </c>
      <c r="D5" s="1" t="str">
        <f t="shared" si="0"/>
        <v>NCL_9_23_2</v>
      </c>
      <c r="E5" s="10">
        <v>45184</v>
      </c>
      <c r="F5" s="1">
        <v>57</v>
      </c>
      <c r="G5" s="1" t="s">
        <v>135</v>
      </c>
      <c r="H5" s="1" t="s">
        <v>135</v>
      </c>
    </row>
    <row r="6" spans="1:8" hidden="1" x14ac:dyDescent="0.35">
      <c r="A6" s="1" t="s">
        <v>20</v>
      </c>
      <c r="B6" s="2" t="s">
        <v>118</v>
      </c>
      <c r="C6" s="2" t="s">
        <v>134</v>
      </c>
      <c r="D6" s="1" t="str">
        <f t="shared" si="0"/>
        <v>CP_9_23_1</v>
      </c>
      <c r="E6" s="10">
        <v>45184</v>
      </c>
      <c r="F6" s="1">
        <v>58</v>
      </c>
      <c r="G6" s="1" t="s">
        <v>135</v>
      </c>
      <c r="H6" s="1" t="s">
        <v>135</v>
      </c>
    </row>
    <row r="7" spans="1:8" hidden="1" x14ac:dyDescent="0.35">
      <c r="A7" s="1" t="s">
        <v>20</v>
      </c>
      <c r="B7" s="2" t="s">
        <v>118</v>
      </c>
      <c r="C7" s="2" t="s">
        <v>136</v>
      </c>
      <c r="D7" s="1" t="str">
        <f t="shared" si="0"/>
        <v>CP_9_23_2</v>
      </c>
      <c r="E7" s="10">
        <v>45184</v>
      </c>
      <c r="F7" s="1">
        <v>60</v>
      </c>
      <c r="G7" s="1" t="s">
        <v>135</v>
      </c>
      <c r="H7" s="1" t="s">
        <v>135</v>
      </c>
    </row>
    <row r="8" spans="1:8" hidden="1" x14ac:dyDescent="0.35">
      <c r="A8" s="1" t="s">
        <v>21</v>
      </c>
      <c r="B8" s="2" t="s">
        <v>118</v>
      </c>
      <c r="C8" s="2" t="s">
        <v>134</v>
      </c>
      <c r="D8" s="1" t="str">
        <f t="shared" si="0"/>
        <v>EP146_9_23_1</v>
      </c>
      <c r="E8" s="10">
        <v>45184</v>
      </c>
      <c r="F8" s="1">
        <v>58</v>
      </c>
      <c r="G8" s="1" t="s">
        <v>135</v>
      </c>
      <c r="H8" s="1" t="s">
        <v>135</v>
      </c>
    </row>
    <row r="9" spans="1:8" hidden="1" x14ac:dyDescent="0.35">
      <c r="A9" s="1" t="s">
        <v>21</v>
      </c>
      <c r="B9" s="2" t="s">
        <v>118</v>
      </c>
      <c r="C9" s="2" t="s">
        <v>136</v>
      </c>
      <c r="D9" s="1" t="str">
        <f t="shared" si="0"/>
        <v>EP146_9_23_2</v>
      </c>
      <c r="E9" s="10">
        <v>45184</v>
      </c>
      <c r="F9" s="1">
        <v>60</v>
      </c>
      <c r="G9" s="1" t="s">
        <v>135</v>
      </c>
      <c r="H9" s="1" t="s">
        <v>135</v>
      </c>
    </row>
    <row r="10" spans="1:8" hidden="1" x14ac:dyDescent="0.35">
      <c r="A10" s="1" t="s">
        <v>22</v>
      </c>
      <c r="B10" s="2" t="s">
        <v>118</v>
      </c>
      <c r="C10" s="2" t="s">
        <v>134</v>
      </c>
      <c r="D10" s="1" t="str">
        <f t="shared" si="0"/>
        <v>OL_9_23_1</v>
      </c>
      <c r="E10" s="10">
        <v>45184</v>
      </c>
      <c r="F10" s="1" t="s">
        <v>135</v>
      </c>
      <c r="G10" s="1" t="s">
        <v>135</v>
      </c>
      <c r="H10" s="1" t="s">
        <v>135</v>
      </c>
    </row>
    <row r="11" spans="1:8" hidden="1" x14ac:dyDescent="0.35">
      <c r="A11" s="1" t="s">
        <v>22</v>
      </c>
      <c r="B11" s="2" t="s">
        <v>118</v>
      </c>
      <c r="C11" s="2" t="s">
        <v>136</v>
      </c>
      <c r="D11" s="1" t="str">
        <f t="shared" si="0"/>
        <v>OL_9_23_2</v>
      </c>
      <c r="E11" s="10">
        <v>45184</v>
      </c>
      <c r="F11" s="1">
        <v>58</v>
      </c>
      <c r="G11" s="1" t="s">
        <v>135</v>
      </c>
      <c r="H11" s="1" t="s">
        <v>135</v>
      </c>
    </row>
    <row r="12" spans="1:8" hidden="1" x14ac:dyDescent="0.35">
      <c r="A12" s="1" t="s">
        <v>58</v>
      </c>
      <c r="B12" s="2" t="s">
        <v>118</v>
      </c>
      <c r="C12" s="2" t="s">
        <v>134</v>
      </c>
      <c r="D12" s="1" t="str">
        <f t="shared" si="0"/>
        <v>TSH_9_23_1</v>
      </c>
      <c r="E12" s="10">
        <v>45184</v>
      </c>
      <c r="F12" s="1">
        <v>58</v>
      </c>
      <c r="G12" s="1" t="s">
        <v>135</v>
      </c>
      <c r="H12" s="1" t="s">
        <v>135</v>
      </c>
    </row>
    <row r="13" spans="1:8" hidden="1" x14ac:dyDescent="0.35">
      <c r="A13" s="1" t="s">
        <v>58</v>
      </c>
      <c r="B13" s="2" t="s">
        <v>118</v>
      </c>
      <c r="C13" s="2" t="s">
        <v>136</v>
      </c>
      <c r="D13" s="1" t="str">
        <f t="shared" si="0"/>
        <v>TSH_9_23_2</v>
      </c>
      <c r="E13" s="10">
        <v>45184</v>
      </c>
      <c r="F13" s="1">
        <v>55</v>
      </c>
      <c r="G13" s="1" t="s">
        <v>135</v>
      </c>
      <c r="H13" s="1" t="s">
        <v>135</v>
      </c>
    </row>
    <row r="14" spans="1:8" hidden="1" x14ac:dyDescent="0.35">
      <c r="A14" s="1" t="s">
        <v>23</v>
      </c>
      <c r="B14" s="2" t="s">
        <v>118</v>
      </c>
      <c r="C14" s="2" t="s">
        <v>134</v>
      </c>
      <c r="D14" s="1" t="str">
        <f t="shared" si="0"/>
        <v>R127_9_23_1</v>
      </c>
      <c r="E14" s="10">
        <v>45184</v>
      </c>
      <c r="F14" s="1">
        <v>58</v>
      </c>
      <c r="G14" s="1" t="s">
        <v>135</v>
      </c>
      <c r="H14" s="1" t="s">
        <v>135</v>
      </c>
    </row>
    <row r="15" spans="1:8" hidden="1" x14ac:dyDescent="0.35">
      <c r="A15" s="1" t="s">
        <v>23</v>
      </c>
      <c r="B15" s="2" t="s">
        <v>118</v>
      </c>
      <c r="C15" s="2" t="s">
        <v>136</v>
      </c>
      <c r="D15" s="1" t="str">
        <f t="shared" si="0"/>
        <v>R127_9_23_2</v>
      </c>
      <c r="E15" s="10">
        <v>45184</v>
      </c>
      <c r="F15" s="1">
        <v>55</v>
      </c>
      <c r="G15" s="1" t="s">
        <v>135</v>
      </c>
      <c r="H15" s="1" t="s">
        <v>135</v>
      </c>
    </row>
    <row r="16" spans="1:8" x14ac:dyDescent="0.35">
      <c r="A16" s="1" t="s">
        <v>24</v>
      </c>
      <c r="B16" s="2" t="s">
        <v>15</v>
      </c>
      <c r="C16" s="2" t="s">
        <v>134</v>
      </c>
      <c r="D16" s="1" t="str">
        <f t="shared" si="0"/>
        <v>ACS1_9-23_1</v>
      </c>
      <c r="E16" s="10">
        <v>45195</v>
      </c>
      <c r="F16" s="1">
        <v>56</v>
      </c>
      <c r="G16" s="10">
        <v>45261</v>
      </c>
      <c r="H16" s="1">
        <v>31.63</v>
      </c>
    </row>
    <row r="17" spans="1:8" x14ac:dyDescent="0.35">
      <c r="A17" s="1" t="s">
        <v>25</v>
      </c>
      <c r="B17" s="2" t="s">
        <v>15</v>
      </c>
      <c r="C17" s="2" t="s">
        <v>134</v>
      </c>
      <c r="D17" s="1" t="str">
        <f t="shared" si="0"/>
        <v>ACS2_9-23_1</v>
      </c>
      <c r="E17" s="10">
        <v>45195</v>
      </c>
      <c r="F17" s="1">
        <v>57</v>
      </c>
      <c r="G17" s="10">
        <v>45261</v>
      </c>
      <c r="H17" s="1">
        <v>35.99</v>
      </c>
    </row>
    <row r="18" spans="1:8" hidden="1" x14ac:dyDescent="0.35">
      <c r="A18" s="1" t="s">
        <v>26</v>
      </c>
      <c r="B18" s="2" t="s">
        <v>15</v>
      </c>
      <c r="C18" s="2" t="s">
        <v>134</v>
      </c>
      <c r="D18" s="1" t="str">
        <f t="shared" si="0"/>
        <v>ACS3_9-23_1</v>
      </c>
      <c r="E18" s="10">
        <v>45195</v>
      </c>
      <c r="F18" s="1">
        <v>32</v>
      </c>
      <c r="G18" s="10">
        <v>45261</v>
      </c>
      <c r="H18" s="1">
        <v>45.99</v>
      </c>
    </row>
    <row r="19" spans="1:8" x14ac:dyDescent="0.35">
      <c r="A19" s="1" t="s">
        <v>27</v>
      </c>
      <c r="B19" s="2" t="s">
        <v>15</v>
      </c>
      <c r="C19" s="2" t="s">
        <v>134</v>
      </c>
      <c r="D19" s="1" t="str">
        <f t="shared" si="0"/>
        <v>ACS4_9-23_1</v>
      </c>
      <c r="E19" s="10">
        <v>45195</v>
      </c>
      <c r="F19" s="1">
        <v>53</v>
      </c>
      <c r="G19" s="10">
        <v>45261</v>
      </c>
      <c r="H19" s="1">
        <v>24.9</v>
      </c>
    </row>
    <row r="20" spans="1:8" x14ac:dyDescent="0.35">
      <c r="A20" s="1" t="s">
        <v>28</v>
      </c>
      <c r="B20" s="2" t="s">
        <v>15</v>
      </c>
      <c r="C20" s="2" t="s">
        <v>134</v>
      </c>
      <c r="D20" s="1" t="str">
        <f t="shared" si="0"/>
        <v>ACS5_9-23_1</v>
      </c>
      <c r="E20" s="10">
        <v>45195</v>
      </c>
      <c r="F20" s="1">
        <v>53</v>
      </c>
      <c r="G20" s="10">
        <v>45261</v>
      </c>
      <c r="H20" s="1">
        <v>34.880000000000003</v>
      </c>
    </row>
    <row r="21" spans="1:8" x14ac:dyDescent="0.35">
      <c r="A21" s="1" t="s">
        <v>29</v>
      </c>
      <c r="B21" s="2" t="s">
        <v>15</v>
      </c>
      <c r="C21" s="2" t="s">
        <v>134</v>
      </c>
      <c r="D21" s="1" t="str">
        <f t="shared" si="0"/>
        <v>GBHM_9-23_1</v>
      </c>
      <c r="E21" s="10">
        <v>45195</v>
      </c>
      <c r="F21" s="1">
        <v>53</v>
      </c>
      <c r="G21" s="10">
        <v>45261</v>
      </c>
      <c r="H21" s="1">
        <v>23.46</v>
      </c>
    </row>
    <row r="22" spans="1:8" x14ac:dyDescent="0.35">
      <c r="A22" s="1" t="s">
        <v>30</v>
      </c>
      <c r="B22" s="2" t="s">
        <v>15</v>
      </c>
      <c r="C22" s="2" t="s">
        <v>134</v>
      </c>
      <c r="D22" s="1" t="str">
        <f t="shared" si="0"/>
        <v>DC1_9-23_1</v>
      </c>
      <c r="E22" s="10">
        <v>45195</v>
      </c>
      <c r="F22" s="1">
        <v>51</v>
      </c>
      <c r="G22" s="10">
        <v>45261</v>
      </c>
      <c r="H22" s="1">
        <v>25.07</v>
      </c>
    </row>
    <row r="23" spans="1:8" x14ac:dyDescent="0.35">
      <c r="A23" s="1" t="s">
        <v>31</v>
      </c>
      <c r="B23" s="2" t="s">
        <v>15</v>
      </c>
      <c r="C23" s="2" t="s">
        <v>134</v>
      </c>
      <c r="D23" s="1" t="str">
        <f t="shared" si="0"/>
        <v>DCM1_9-23_1</v>
      </c>
      <c r="E23" s="10">
        <v>45195</v>
      </c>
      <c r="F23" s="1">
        <v>57</v>
      </c>
      <c r="G23" s="10">
        <v>45261</v>
      </c>
      <c r="H23" s="1">
        <v>38.770000000000003</v>
      </c>
    </row>
    <row r="24" spans="1:8" x14ac:dyDescent="0.35">
      <c r="A24" s="1" t="s">
        <v>32</v>
      </c>
      <c r="B24" s="2" t="s">
        <v>15</v>
      </c>
      <c r="C24" s="2" t="s">
        <v>134</v>
      </c>
      <c r="D24" s="1" t="str">
        <f t="shared" si="0"/>
        <v>DC2_9-23_1</v>
      </c>
      <c r="E24" s="10">
        <v>45195</v>
      </c>
      <c r="F24" s="1">
        <v>55</v>
      </c>
      <c r="G24" s="10">
        <v>45261</v>
      </c>
      <c r="H24" s="1">
        <v>34.130000000000003</v>
      </c>
    </row>
    <row r="25" spans="1:8" x14ac:dyDescent="0.35">
      <c r="A25" s="1" t="s">
        <v>33</v>
      </c>
      <c r="B25" s="2" t="s">
        <v>15</v>
      </c>
      <c r="C25" s="2" t="s">
        <v>134</v>
      </c>
      <c r="D25" s="1" t="str">
        <f t="shared" si="0"/>
        <v>DCM2_9-23_1</v>
      </c>
      <c r="E25" s="10">
        <v>45195</v>
      </c>
      <c r="F25" s="1">
        <v>56</v>
      </c>
      <c r="G25" s="10">
        <v>45261</v>
      </c>
      <c r="H25" s="1">
        <v>39.03</v>
      </c>
    </row>
    <row r="26" spans="1:8" x14ac:dyDescent="0.35">
      <c r="A26" s="1" t="s">
        <v>34</v>
      </c>
      <c r="B26" s="2" t="s">
        <v>15</v>
      </c>
      <c r="C26" s="2" t="s">
        <v>134</v>
      </c>
      <c r="D26" s="1" t="str">
        <f t="shared" si="0"/>
        <v>GB1_9-23_1</v>
      </c>
      <c r="E26" s="10">
        <v>45195</v>
      </c>
      <c r="F26" s="1">
        <v>53</v>
      </c>
      <c r="G26" s="10">
        <v>45261</v>
      </c>
      <c r="H26" s="1">
        <v>15.8</v>
      </c>
    </row>
    <row r="27" spans="1:8" x14ac:dyDescent="0.35">
      <c r="A27" s="1" t="s">
        <v>24</v>
      </c>
      <c r="B27" s="2" t="s">
        <v>15</v>
      </c>
      <c r="C27" s="2" t="s">
        <v>136</v>
      </c>
      <c r="D27" s="1" t="str">
        <f t="shared" si="0"/>
        <v>ACS1_9-23_2</v>
      </c>
      <c r="E27" s="10">
        <v>45195</v>
      </c>
      <c r="F27" s="1">
        <v>58</v>
      </c>
      <c r="G27" s="10">
        <v>45261</v>
      </c>
      <c r="H27" s="1">
        <v>30.25</v>
      </c>
    </row>
    <row r="28" spans="1:8" x14ac:dyDescent="0.35">
      <c r="A28" s="1" t="s">
        <v>25</v>
      </c>
      <c r="B28" s="2" t="s">
        <v>15</v>
      </c>
      <c r="C28" s="2" t="s">
        <v>136</v>
      </c>
      <c r="D28" s="1" t="str">
        <f t="shared" si="0"/>
        <v>ACS2_9-23_2</v>
      </c>
      <c r="E28" s="10">
        <v>45195</v>
      </c>
      <c r="F28" s="1">
        <v>55</v>
      </c>
      <c r="G28" s="10">
        <v>45261</v>
      </c>
      <c r="H28" s="1">
        <v>36.630000000000003</v>
      </c>
    </row>
    <row r="29" spans="1:8" hidden="1" x14ac:dyDescent="0.35">
      <c r="A29" s="1" t="s">
        <v>26</v>
      </c>
      <c r="B29" s="2" t="s">
        <v>15</v>
      </c>
      <c r="C29" s="2" t="s">
        <v>136</v>
      </c>
      <c r="D29" s="1" t="str">
        <f t="shared" si="0"/>
        <v>ACS3_9-23_2</v>
      </c>
      <c r="E29" s="10">
        <v>45195</v>
      </c>
      <c r="F29" s="1">
        <v>27</v>
      </c>
      <c r="G29" s="10">
        <v>45261</v>
      </c>
      <c r="H29" s="1">
        <v>41.89</v>
      </c>
    </row>
    <row r="30" spans="1:8" x14ac:dyDescent="0.35">
      <c r="A30" s="1" t="s">
        <v>27</v>
      </c>
      <c r="B30" s="2" t="s">
        <v>15</v>
      </c>
      <c r="C30" s="2" t="s">
        <v>136</v>
      </c>
      <c r="D30" s="1" t="str">
        <f t="shared" si="0"/>
        <v>ACS4_9-23_2</v>
      </c>
      <c r="E30" s="10">
        <v>45195</v>
      </c>
      <c r="F30" s="1">
        <v>58</v>
      </c>
      <c r="G30" s="10">
        <v>45261</v>
      </c>
      <c r="H30" s="1">
        <v>23.29</v>
      </c>
    </row>
    <row r="31" spans="1:8" x14ac:dyDescent="0.35">
      <c r="A31" s="1" t="s">
        <v>28</v>
      </c>
      <c r="B31" s="2" t="s">
        <v>15</v>
      </c>
      <c r="C31" s="2" t="s">
        <v>136</v>
      </c>
      <c r="D31" s="1" t="str">
        <f t="shared" si="0"/>
        <v>ACS5_9-23_2</v>
      </c>
      <c r="E31" s="10">
        <v>45195</v>
      </c>
      <c r="F31" s="1">
        <v>57</v>
      </c>
      <c r="G31" s="10">
        <v>45261</v>
      </c>
      <c r="H31" s="1">
        <v>30.08</v>
      </c>
    </row>
    <row r="32" spans="1:8" hidden="1" x14ac:dyDescent="0.35">
      <c r="A32" s="1" t="s">
        <v>29</v>
      </c>
      <c r="B32" s="2" t="s">
        <v>15</v>
      </c>
      <c r="C32" s="2" t="s">
        <v>136</v>
      </c>
      <c r="D32" s="1" t="str">
        <f t="shared" si="0"/>
        <v>GBHM_9-23_2</v>
      </c>
      <c r="E32" s="10">
        <v>45195</v>
      </c>
      <c r="F32" s="1">
        <v>60</v>
      </c>
      <c r="G32" s="10">
        <v>45261</v>
      </c>
      <c r="H32" s="1">
        <v>39.619999999999997</v>
      </c>
    </row>
    <row r="33" spans="1:8" x14ac:dyDescent="0.35">
      <c r="A33" s="1" t="s">
        <v>30</v>
      </c>
      <c r="B33" s="2" t="s">
        <v>15</v>
      </c>
      <c r="C33" s="2" t="s">
        <v>136</v>
      </c>
      <c r="D33" s="1" t="str">
        <f t="shared" si="0"/>
        <v>DC1_9-23_2</v>
      </c>
      <c r="E33" s="10">
        <v>45195</v>
      </c>
      <c r="F33" s="1">
        <v>58</v>
      </c>
      <c r="G33" s="10">
        <v>45261</v>
      </c>
      <c r="H33" s="1">
        <v>32.869999999999997</v>
      </c>
    </row>
    <row r="34" spans="1:8" hidden="1" x14ac:dyDescent="0.35">
      <c r="A34" s="1" t="s">
        <v>31</v>
      </c>
      <c r="B34" s="2" t="s">
        <v>15</v>
      </c>
      <c r="C34" s="2" t="s">
        <v>136</v>
      </c>
      <c r="D34" s="1" t="str">
        <f t="shared" si="0"/>
        <v>DCM1_9-23_2</v>
      </c>
      <c r="E34" s="10">
        <v>45195</v>
      </c>
      <c r="F34" s="1">
        <v>60</v>
      </c>
      <c r="G34" s="10">
        <v>45261</v>
      </c>
      <c r="H34" s="1">
        <v>26.71</v>
      </c>
    </row>
    <row r="35" spans="1:8" x14ac:dyDescent="0.35">
      <c r="A35" s="1" t="s">
        <v>32</v>
      </c>
      <c r="B35" s="2" t="s">
        <v>15</v>
      </c>
      <c r="C35" s="2" t="s">
        <v>136</v>
      </c>
      <c r="D35" s="1" t="str">
        <f t="shared" si="0"/>
        <v>DC2_9-23_2</v>
      </c>
      <c r="E35" s="10">
        <v>45195</v>
      </c>
      <c r="F35" s="1">
        <v>57</v>
      </c>
      <c r="G35" s="10">
        <v>45261</v>
      </c>
      <c r="H35" s="1">
        <v>34.39</v>
      </c>
    </row>
    <row r="36" spans="1:8" x14ac:dyDescent="0.35">
      <c r="A36" s="1" t="s">
        <v>33</v>
      </c>
      <c r="B36" s="2" t="s">
        <v>15</v>
      </c>
      <c r="C36" s="2" t="s">
        <v>136</v>
      </c>
      <c r="D36" s="1" t="str">
        <f t="shared" si="0"/>
        <v>DCM2_9-23_2</v>
      </c>
      <c r="E36" s="10">
        <v>45195</v>
      </c>
      <c r="F36" s="1">
        <v>56</v>
      </c>
      <c r="G36" s="10">
        <v>45261</v>
      </c>
      <c r="H36" s="1">
        <v>15.23</v>
      </c>
    </row>
    <row r="37" spans="1:8" x14ac:dyDescent="0.35">
      <c r="A37" s="1" t="s">
        <v>34</v>
      </c>
      <c r="B37" s="2" t="s">
        <v>15</v>
      </c>
      <c r="C37" s="2" t="s">
        <v>136</v>
      </c>
      <c r="D37" s="1" t="str">
        <f t="shared" si="0"/>
        <v>GB1_9-23_2</v>
      </c>
      <c r="E37" s="10">
        <v>45195</v>
      </c>
      <c r="F37" s="1">
        <v>57</v>
      </c>
      <c r="G37" s="10">
        <v>45261</v>
      </c>
      <c r="H37" s="1">
        <v>17.21</v>
      </c>
    </row>
    <row r="38" spans="1:8" x14ac:dyDescent="0.35">
      <c r="A38" s="1" t="s">
        <v>35</v>
      </c>
      <c r="B38" s="2" t="s">
        <v>15</v>
      </c>
      <c r="C38" s="2" t="s">
        <v>134</v>
      </c>
      <c r="D38" s="1" t="str">
        <f t="shared" si="0"/>
        <v>MCS1_9-23_1</v>
      </c>
      <c r="E38" s="10">
        <v>45196</v>
      </c>
      <c r="F38" s="1">
        <v>55</v>
      </c>
      <c r="G38" s="10">
        <v>45261</v>
      </c>
      <c r="H38" s="1">
        <v>14.61</v>
      </c>
    </row>
    <row r="39" spans="1:8" x14ac:dyDescent="0.35">
      <c r="A39" s="1" t="s">
        <v>36</v>
      </c>
      <c r="B39" s="2" t="s">
        <v>15</v>
      </c>
      <c r="C39" s="2" t="s">
        <v>134</v>
      </c>
      <c r="D39" s="1" t="str">
        <f t="shared" si="0"/>
        <v>MCS2_9-23_1</v>
      </c>
      <c r="E39" s="10">
        <v>45196</v>
      </c>
      <c r="F39" s="1">
        <v>53</v>
      </c>
      <c r="G39" s="10">
        <v>45261</v>
      </c>
      <c r="H39" s="1">
        <v>17.75</v>
      </c>
    </row>
    <row r="40" spans="1:8" x14ac:dyDescent="0.35">
      <c r="A40" s="1" t="s">
        <v>37</v>
      </c>
      <c r="B40" s="2" t="s">
        <v>15</v>
      </c>
      <c r="C40" s="2" t="s">
        <v>134</v>
      </c>
      <c r="D40" s="1" t="str">
        <f t="shared" si="0"/>
        <v>MCS3_9-23_1</v>
      </c>
      <c r="E40" s="10">
        <v>45196</v>
      </c>
      <c r="F40" s="1">
        <v>56</v>
      </c>
      <c r="G40" s="10">
        <v>45261</v>
      </c>
      <c r="H40" s="1">
        <v>21.45</v>
      </c>
    </row>
    <row r="41" spans="1:8" x14ac:dyDescent="0.35">
      <c r="A41" s="1" t="s">
        <v>38</v>
      </c>
      <c r="B41" s="2" t="s">
        <v>15</v>
      </c>
      <c r="C41" s="2" t="s">
        <v>134</v>
      </c>
      <c r="D41" s="1" t="str">
        <f t="shared" si="0"/>
        <v>MCS4_9-23_1</v>
      </c>
      <c r="E41" s="10">
        <v>45196</v>
      </c>
      <c r="F41" s="1">
        <v>57</v>
      </c>
      <c r="G41" s="10">
        <v>45261</v>
      </c>
      <c r="H41" s="1">
        <v>22.23</v>
      </c>
    </row>
    <row r="42" spans="1:8" hidden="1" x14ac:dyDescent="0.35">
      <c r="A42" s="1" t="s">
        <v>39</v>
      </c>
      <c r="B42" s="2" t="s">
        <v>15</v>
      </c>
      <c r="C42" s="2" t="s">
        <v>134</v>
      </c>
      <c r="D42" s="1" t="str">
        <f t="shared" si="0"/>
        <v>TBHM_9-23_1</v>
      </c>
      <c r="E42" s="10">
        <v>45196</v>
      </c>
      <c r="F42" s="1">
        <v>60</v>
      </c>
      <c r="G42" s="10">
        <v>45261</v>
      </c>
      <c r="H42" s="1">
        <v>22.07</v>
      </c>
    </row>
    <row r="43" spans="1:8" x14ac:dyDescent="0.35">
      <c r="A43" s="1" t="s">
        <v>51</v>
      </c>
      <c r="B43" s="2" t="s">
        <v>15</v>
      </c>
      <c r="C43" s="2" t="s">
        <v>134</v>
      </c>
      <c r="D43" s="1" t="str">
        <f t="shared" si="0"/>
        <v>TBC_9-23_1</v>
      </c>
      <c r="E43" s="10">
        <v>45196</v>
      </c>
      <c r="F43" s="1">
        <v>56</v>
      </c>
      <c r="G43" s="10">
        <v>45261</v>
      </c>
      <c r="H43" s="1">
        <v>10.1</v>
      </c>
    </row>
    <row r="44" spans="1:8" hidden="1" x14ac:dyDescent="0.35">
      <c r="A44" s="1" t="s">
        <v>40</v>
      </c>
      <c r="B44" s="2" t="s">
        <v>15</v>
      </c>
      <c r="C44" s="2" t="s">
        <v>134</v>
      </c>
      <c r="D44" s="1" t="str">
        <f t="shared" si="0"/>
        <v>TBCM_9-23_1</v>
      </c>
      <c r="E44" s="10">
        <v>45196</v>
      </c>
      <c r="F44" s="1">
        <v>62</v>
      </c>
      <c r="G44" s="10">
        <v>45261</v>
      </c>
      <c r="H44" s="1">
        <v>9.76</v>
      </c>
    </row>
    <row r="45" spans="1:8" x14ac:dyDescent="0.35">
      <c r="A45" s="1" t="s">
        <v>41</v>
      </c>
      <c r="B45" s="2" t="s">
        <v>15</v>
      </c>
      <c r="C45" s="2" t="s">
        <v>134</v>
      </c>
      <c r="D45" s="1" t="str">
        <f t="shared" si="0"/>
        <v>TB1_9-23_1</v>
      </c>
      <c r="E45" s="10">
        <v>45196</v>
      </c>
      <c r="F45" s="1">
        <v>55</v>
      </c>
      <c r="G45" s="10">
        <v>45261</v>
      </c>
      <c r="H45" s="1">
        <v>18.420000000000002</v>
      </c>
    </row>
    <row r="46" spans="1:8" x14ac:dyDescent="0.35">
      <c r="A46" s="1" t="s">
        <v>42</v>
      </c>
      <c r="B46" s="2" t="s">
        <v>15</v>
      </c>
      <c r="C46" s="2" t="s">
        <v>134</v>
      </c>
      <c r="D46" s="1" t="str">
        <f t="shared" si="0"/>
        <v>TB2_9-23_1</v>
      </c>
      <c r="E46" s="10">
        <v>45196</v>
      </c>
      <c r="F46" s="1">
        <v>55</v>
      </c>
      <c r="G46" s="10">
        <v>45261</v>
      </c>
      <c r="H46" s="1">
        <v>1.69</v>
      </c>
    </row>
    <row r="47" spans="1:8" x14ac:dyDescent="0.35">
      <c r="A47" s="1" t="s">
        <v>43</v>
      </c>
      <c r="B47" s="2" t="s">
        <v>15</v>
      </c>
      <c r="C47" s="2" t="s">
        <v>134</v>
      </c>
      <c r="D47" s="1" t="str">
        <f t="shared" si="0"/>
        <v>GB2_9-23_1</v>
      </c>
      <c r="E47" s="10">
        <v>45196</v>
      </c>
      <c r="F47" s="1">
        <v>56</v>
      </c>
      <c r="G47" s="10">
        <v>45261</v>
      </c>
      <c r="H47" s="1">
        <v>7.98</v>
      </c>
    </row>
    <row r="48" spans="1:8" x14ac:dyDescent="0.35">
      <c r="A48" s="1" t="s">
        <v>44</v>
      </c>
      <c r="B48" s="2" t="s">
        <v>15</v>
      </c>
      <c r="C48" s="2" t="s">
        <v>134</v>
      </c>
      <c r="D48" s="1" t="str">
        <f t="shared" si="0"/>
        <v>RB_9-23_1</v>
      </c>
      <c r="E48" s="10">
        <v>45196</v>
      </c>
      <c r="F48" s="1">
        <v>56</v>
      </c>
      <c r="G48" s="10">
        <v>45261</v>
      </c>
      <c r="H48" s="1">
        <v>2.74</v>
      </c>
    </row>
    <row r="49" spans="1:8" x14ac:dyDescent="0.35">
      <c r="A49" s="1" t="s">
        <v>35</v>
      </c>
      <c r="B49" s="2" t="s">
        <v>15</v>
      </c>
      <c r="C49" s="2" t="s">
        <v>136</v>
      </c>
      <c r="D49" s="1" t="str">
        <f t="shared" si="0"/>
        <v>MCS1_9-23_2</v>
      </c>
      <c r="E49" s="10">
        <v>45196</v>
      </c>
      <c r="F49" s="1">
        <v>54</v>
      </c>
      <c r="G49" s="10">
        <v>45261</v>
      </c>
      <c r="H49" s="1">
        <v>15.42</v>
      </c>
    </row>
    <row r="50" spans="1:8" x14ac:dyDescent="0.35">
      <c r="A50" s="1" t="s">
        <v>36</v>
      </c>
      <c r="B50" s="2" t="s">
        <v>15</v>
      </c>
      <c r="C50" s="2" t="s">
        <v>136</v>
      </c>
      <c r="D50" s="1" t="str">
        <f t="shared" si="0"/>
        <v>MCS2_9-23_2</v>
      </c>
      <c r="E50" s="10">
        <v>45196</v>
      </c>
      <c r="F50" s="1">
        <v>58</v>
      </c>
      <c r="G50" s="10">
        <v>45261</v>
      </c>
      <c r="H50" s="1">
        <v>17.71</v>
      </c>
    </row>
    <row r="51" spans="1:8" x14ac:dyDescent="0.35">
      <c r="A51" s="1" t="s">
        <v>37</v>
      </c>
      <c r="B51" s="2" t="s">
        <v>15</v>
      </c>
      <c r="C51" s="2" t="s">
        <v>136</v>
      </c>
      <c r="D51" s="1" t="str">
        <f t="shared" si="0"/>
        <v>MCS3_9-23_2</v>
      </c>
      <c r="E51" s="10">
        <v>45196</v>
      </c>
      <c r="F51" s="1">
        <v>57</v>
      </c>
      <c r="G51" s="10">
        <v>45261</v>
      </c>
      <c r="H51" s="1">
        <v>22.27</v>
      </c>
    </row>
    <row r="52" spans="1:8" x14ac:dyDescent="0.35">
      <c r="A52" s="1" t="s">
        <v>38</v>
      </c>
      <c r="B52" s="2" t="s">
        <v>15</v>
      </c>
      <c r="C52" s="2" t="s">
        <v>136</v>
      </c>
      <c r="D52" s="1" t="str">
        <f t="shared" si="0"/>
        <v>MCS4_9-23_2</v>
      </c>
      <c r="E52" s="10">
        <v>45196</v>
      </c>
      <c r="F52" s="1">
        <v>56</v>
      </c>
      <c r="G52" s="10">
        <v>45261</v>
      </c>
      <c r="H52" s="1">
        <v>22.79</v>
      </c>
    </row>
    <row r="53" spans="1:8" hidden="1" x14ac:dyDescent="0.35">
      <c r="A53" s="1" t="s">
        <v>39</v>
      </c>
      <c r="B53" s="2" t="s">
        <v>15</v>
      </c>
      <c r="C53" s="2" t="s">
        <v>136</v>
      </c>
      <c r="D53" s="1" t="str">
        <f t="shared" si="0"/>
        <v>TBHM_9-23_2</v>
      </c>
      <c r="E53" s="10">
        <v>45196</v>
      </c>
      <c r="F53" s="1">
        <v>62</v>
      </c>
      <c r="G53" s="10">
        <v>45261</v>
      </c>
      <c r="H53" s="1">
        <v>17.47</v>
      </c>
    </row>
    <row r="54" spans="1:8" x14ac:dyDescent="0.35">
      <c r="A54" s="1" t="s">
        <v>51</v>
      </c>
      <c r="B54" s="2" t="s">
        <v>15</v>
      </c>
      <c r="C54" s="2" t="s">
        <v>136</v>
      </c>
      <c r="D54" s="1" t="str">
        <f t="shared" si="0"/>
        <v>TBC_9-23_2</v>
      </c>
      <c r="E54" s="10">
        <v>45196</v>
      </c>
      <c r="F54" s="1">
        <v>56</v>
      </c>
      <c r="G54" s="10">
        <v>45261</v>
      </c>
      <c r="H54" s="1">
        <v>9.32</v>
      </c>
    </row>
    <row r="55" spans="1:8" x14ac:dyDescent="0.35">
      <c r="A55" s="1" t="s">
        <v>40</v>
      </c>
      <c r="B55" s="2" t="s">
        <v>15</v>
      </c>
      <c r="C55" s="2" t="s">
        <v>136</v>
      </c>
      <c r="D55" s="1" t="str">
        <f t="shared" si="0"/>
        <v>TBCM_9-23_2</v>
      </c>
      <c r="E55" s="10">
        <v>45196</v>
      </c>
      <c r="F55" s="1">
        <v>54</v>
      </c>
      <c r="G55" s="10">
        <v>45261</v>
      </c>
      <c r="H55" s="1">
        <v>13.99</v>
      </c>
    </row>
    <row r="56" spans="1:8" x14ac:dyDescent="0.35">
      <c r="A56" s="1" t="s">
        <v>41</v>
      </c>
      <c r="B56" s="2" t="s">
        <v>15</v>
      </c>
      <c r="C56" s="2" t="s">
        <v>136</v>
      </c>
      <c r="D56" s="1" t="str">
        <f t="shared" si="0"/>
        <v>TB1_9-23_2</v>
      </c>
      <c r="E56" s="10">
        <v>45196</v>
      </c>
      <c r="F56" s="1">
        <v>56</v>
      </c>
      <c r="G56" s="10">
        <v>45261</v>
      </c>
      <c r="H56" s="1">
        <v>17.04</v>
      </c>
    </row>
    <row r="57" spans="1:8" x14ac:dyDescent="0.35">
      <c r="A57" s="1" t="s">
        <v>42</v>
      </c>
      <c r="B57" s="2" t="s">
        <v>15</v>
      </c>
      <c r="C57" s="2" t="s">
        <v>136</v>
      </c>
      <c r="D57" s="1" t="str">
        <f t="shared" si="0"/>
        <v>TB2_9-23_2</v>
      </c>
      <c r="E57" s="10">
        <v>45196</v>
      </c>
      <c r="F57" s="1">
        <v>53</v>
      </c>
      <c r="G57" s="10">
        <v>45261</v>
      </c>
      <c r="H57" s="1">
        <v>1.3</v>
      </c>
    </row>
    <row r="58" spans="1:8" x14ac:dyDescent="0.35">
      <c r="A58" s="1" t="s">
        <v>43</v>
      </c>
      <c r="B58" s="2" t="s">
        <v>15</v>
      </c>
      <c r="C58" s="2" t="s">
        <v>136</v>
      </c>
      <c r="D58" s="1" t="str">
        <f t="shared" si="0"/>
        <v>GB2_9-23_2</v>
      </c>
      <c r="E58" s="10">
        <v>45196</v>
      </c>
      <c r="F58" s="1">
        <v>57</v>
      </c>
      <c r="G58" s="10">
        <v>45261</v>
      </c>
      <c r="H58" s="1">
        <v>8.1199999999999992</v>
      </c>
    </row>
    <row r="59" spans="1:8" x14ac:dyDescent="0.35">
      <c r="A59" s="1" t="s">
        <v>44</v>
      </c>
      <c r="B59" s="2" t="s">
        <v>15</v>
      </c>
      <c r="C59" s="2" t="s">
        <v>136</v>
      </c>
      <c r="D59" s="1" t="str">
        <f t="shared" si="0"/>
        <v>RB_9-23_2</v>
      </c>
      <c r="E59" s="10">
        <v>45196</v>
      </c>
      <c r="F59" s="1">
        <v>56</v>
      </c>
      <c r="G59" s="10">
        <v>45261</v>
      </c>
      <c r="H59" s="1">
        <v>3.31</v>
      </c>
    </row>
    <row r="60" spans="1:8" hidden="1" x14ac:dyDescent="0.35">
      <c r="A60" s="1" t="s">
        <v>45</v>
      </c>
      <c r="B60" s="2" t="s">
        <v>15</v>
      </c>
      <c r="C60" s="2" t="s">
        <v>134</v>
      </c>
      <c r="D60" s="1" t="str">
        <f t="shared" si="0"/>
        <v>TSM1_9-23_1</v>
      </c>
      <c r="E60" s="10">
        <v>45199</v>
      </c>
      <c r="F60" s="1">
        <v>53</v>
      </c>
      <c r="G60" s="1" t="s">
        <v>135</v>
      </c>
      <c r="H60" s="1" t="s">
        <v>135</v>
      </c>
    </row>
    <row r="61" spans="1:8" hidden="1" x14ac:dyDescent="0.35">
      <c r="A61" s="1" t="s">
        <v>46</v>
      </c>
      <c r="B61" s="2" t="s">
        <v>15</v>
      </c>
      <c r="C61" s="2" t="s">
        <v>134</v>
      </c>
      <c r="D61" s="1" t="str">
        <f t="shared" si="0"/>
        <v>TSM3_9-23_1</v>
      </c>
      <c r="E61" s="10">
        <v>45199</v>
      </c>
      <c r="F61" s="1">
        <v>52</v>
      </c>
      <c r="G61" s="1" t="s">
        <v>135</v>
      </c>
      <c r="H61" s="1" t="s">
        <v>135</v>
      </c>
    </row>
    <row r="62" spans="1:8" hidden="1" x14ac:dyDescent="0.35">
      <c r="A62" s="1" t="s">
        <v>47</v>
      </c>
      <c r="B62" s="2" t="s">
        <v>15</v>
      </c>
      <c r="C62" s="2" t="s">
        <v>134</v>
      </c>
      <c r="D62" s="1" t="str">
        <f t="shared" si="0"/>
        <v>TSM4_9-23_1</v>
      </c>
      <c r="E62" s="10">
        <v>45199</v>
      </c>
      <c r="F62" s="1">
        <v>53</v>
      </c>
      <c r="G62" s="1" t="s">
        <v>135</v>
      </c>
      <c r="H62" s="1" t="s">
        <v>135</v>
      </c>
    </row>
    <row r="63" spans="1:8" x14ac:dyDescent="0.35">
      <c r="A63" s="1" t="s">
        <v>48</v>
      </c>
      <c r="B63" s="2" t="s">
        <v>15</v>
      </c>
      <c r="C63" s="2" t="s">
        <v>134</v>
      </c>
      <c r="D63" s="1" t="str">
        <f t="shared" ref="D63:D126" si="1">A63&amp;"_"&amp;B63&amp;"_"&amp;C63</f>
        <v>SBT1_9-23_1</v>
      </c>
      <c r="E63" s="10">
        <v>45199</v>
      </c>
      <c r="F63" s="1">
        <v>56</v>
      </c>
      <c r="G63" s="10">
        <v>45602</v>
      </c>
      <c r="H63" s="1">
        <v>17.71</v>
      </c>
    </row>
    <row r="64" spans="1:8" hidden="1" x14ac:dyDescent="0.35">
      <c r="A64" s="1" t="s">
        <v>45</v>
      </c>
      <c r="B64" s="2" t="s">
        <v>15</v>
      </c>
      <c r="C64" s="2" t="s">
        <v>136</v>
      </c>
      <c r="D64" s="1" t="str">
        <f t="shared" si="1"/>
        <v>TSM1_9-23_2</v>
      </c>
      <c r="E64" s="10">
        <v>45199</v>
      </c>
      <c r="F64" s="1">
        <v>56</v>
      </c>
      <c r="G64" s="1" t="s">
        <v>135</v>
      </c>
      <c r="H64" s="1" t="s">
        <v>135</v>
      </c>
    </row>
    <row r="65" spans="1:8" hidden="1" x14ac:dyDescent="0.35">
      <c r="A65" s="1" t="s">
        <v>46</v>
      </c>
      <c r="B65" s="2" t="s">
        <v>15</v>
      </c>
      <c r="C65" s="2" t="s">
        <v>136</v>
      </c>
      <c r="D65" s="1" t="str">
        <f t="shared" si="1"/>
        <v>TSM3_9-23_2</v>
      </c>
      <c r="E65" s="10">
        <v>45199</v>
      </c>
      <c r="F65" s="1">
        <v>54</v>
      </c>
      <c r="G65" s="1" t="s">
        <v>135</v>
      </c>
      <c r="H65" s="1" t="s">
        <v>135</v>
      </c>
    </row>
    <row r="66" spans="1:8" hidden="1" x14ac:dyDescent="0.35">
      <c r="A66" s="1" t="s">
        <v>47</v>
      </c>
      <c r="B66" s="2" t="s">
        <v>15</v>
      </c>
      <c r="C66" s="2" t="s">
        <v>136</v>
      </c>
      <c r="D66" s="1" t="str">
        <f t="shared" si="1"/>
        <v>TSM4_9-23_2</v>
      </c>
      <c r="E66" s="10">
        <v>45199</v>
      </c>
      <c r="F66" s="1">
        <v>57</v>
      </c>
      <c r="G66" s="1" t="s">
        <v>135</v>
      </c>
      <c r="H66" s="1" t="s">
        <v>135</v>
      </c>
    </row>
    <row r="67" spans="1:8" x14ac:dyDescent="0.35">
      <c r="A67" s="1" t="s">
        <v>48</v>
      </c>
      <c r="B67" s="2" t="s">
        <v>15</v>
      </c>
      <c r="C67" s="2" t="s">
        <v>136</v>
      </c>
      <c r="D67" s="1" t="str">
        <f t="shared" si="1"/>
        <v>SBT1_9-23_2</v>
      </c>
      <c r="E67" s="10">
        <v>45199</v>
      </c>
      <c r="F67" s="1">
        <v>53</v>
      </c>
      <c r="G67" s="10">
        <v>45602</v>
      </c>
      <c r="H67" s="1">
        <v>14.25</v>
      </c>
    </row>
    <row r="68" spans="1:8" x14ac:dyDescent="0.35">
      <c r="A68" s="1" t="s">
        <v>49</v>
      </c>
      <c r="B68" s="2" t="s">
        <v>15</v>
      </c>
      <c r="C68" s="2" t="s">
        <v>134</v>
      </c>
      <c r="D68" s="1" t="str">
        <f t="shared" si="1"/>
        <v>SBT2_9-23_1</v>
      </c>
      <c r="E68" s="10">
        <v>45204</v>
      </c>
      <c r="F68" s="1">
        <v>55</v>
      </c>
      <c r="G68" s="10">
        <v>45602</v>
      </c>
      <c r="H68" s="1">
        <v>1.36</v>
      </c>
    </row>
    <row r="69" spans="1:8" x14ac:dyDescent="0.35">
      <c r="A69" s="1" t="s">
        <v>52</v>
      </c>
      <c r="B69" s="2" t="s">
        <v>15</v>
      </c>
      <c r="C69" s="2" t="s">
        <v>134</v>
      </c>
      <c r="D69" s="1" t="str">
        <f t="shared" si="1"/>
        <v>WB1_9-23_1</v>
      </c>
      <c r="E69" s="10">
        <v>45204</v>
      </c>
      <c r="F69" s="1">
        <v>53</v>
      </c>
      <c r="G69" s="10">
        <v>45602</v>
      </c>
      <c r="H69" s="1">
        <v>4.09</v>
      </c>
    </row>
    <row r="70" spans="1:8" x14ac:dyDescent="0.35">
      <c r="A70" s="1" t="s">
        <v>53</v>
      </c>
      <c r="B70" s="2" t="s">
        <v>15</v>
      </c>
      <c r="C70" s="2" t="s">
        <v>134</v>
      </c>
      <c r="D70" s="1" t="str">
        <f t="shared" si="1"/>
        <v>WB2_9-23_1</v>
      </c>
      <c r="E70" s="10">
        <v>45204</v>
      </c>
      <c r="F70" s="1">
        <v>52</v>
      </c>
      <c r="G70" s="10">
        <v>45602</v>
      </c>
      <c r="H70" s="1">
        <v>3.4</v>
      </c>
    </row>
    <row r="71" spans="1:8" x14ac:dyDescent="0.35">
      <c r="A71" s="1" t="s">
        <v>54</v>
      </c>
      <c r="B71" s="2" t="s">
        <v>15</v>
      </c>
      <c r="C71" s="2" t="s">
        <v>134</v>
      </c>
      <c r="D71" s="1" t="str">
        <f t="shared" si="1"/>
        <v>TKB_9-23_1</v>
      </c>
      <c r="E71" s="10">
        <v>45204</v>
      </c>
      <c r="F71" s="1">
        <v>56</v>
      </c>
      <c r="G71" s="10">
        <v>45602</v>
      </c>
      <c r="H71" s="1">
        <v>0.66</v>
      </c>
    </row>
    <row r="72" spans="1:8" x14ac:dyDescent="0.35">
      <c r="A72" s="1" t="s">
        <v>55</v>
      </c>
      <c r="B72" s="2" t="s">
        <v>15</v>
      </c>
      <c r="C72" s="2" t="s">
        <v>134</v>
      </c>
      <c r="D72" s="1" t="str">
        <f t="shared" si="1"/>
        <v>JB_9-23_1</v>
      </c>
      <c r="E72" s="10">
        <v>45204</v>
      </c>
      <c r="F72" s="1">
        <v>56</v>
      </c>
      <c r="G72" s="10">
        <v>45602</v>
      </c>
      <c r="H72" s="1">
        <v>0.86</v>
      </c>
    </row>
    <row r="73" spans="1:8" x14ac:dyDescent="0.35">
      <c r="A73" s="1" t="s">
        <v>56</v>
      </c>
      <c r="B73" s="2" t="s">
        <v>15</v>
      </c>
      <c r="C73" s="2" t="s">
        <v>134</v>
      </c>
      <c r="D73" s="1" t="str">
        <f t="shared" si="1"/>
        <v>CC_9-23_1</v>
      </c>
      <c r="E73" s="10">
        <v>45204</v>
      </c>
      <c r="F73" s="1">
        <v>55</v>
      </c>
      <c r="G73" s="10">
        <v>45602</v>
      </c>
      <c r="H73" s="1">
        <v>3.08</v>
      </c>
    </row>
    <row r="74" spans="1:8" x14ac:dyDescent="0.35">
      <c r="A74" s="1" t="s">
        <v>49</v>
      </c>
      <c r="B74" s="2" t="s">
        <v>15</v>
      </c>
      <c r="C74" s="2" t="s">
        <v>136</v>
      </c>
      <c r="D74" s="1" t="str">
        <f t="shared" si="1"/>
        <v>SBT2_9-23_2</v>
      </c>
      <c r="E74" s="10">
        <v>45204</v>
      </c>
      <c r="F74" s="1">
        <v>54</v>
      </c>
      <c r="G74" s="10">
        <v>45602</v>
      </c>
      <c r="H74" s="1">
        <v>1.25</v>
      </c>
    </row>
    <row r="75" spans="1:8" x14ac:dyDescent="0.35">
      <c r="A75" s="1" t="s">
        <v>52</v>
      </c>
      <c r="B75" s="2" t="s">
        <v>15</v>
      </c>
      <c r="C75" s="2" t="s">
        <v>136</v>
      </c>
      <c r="D75" s="1" t="str">
        <f t="shared" si="1"/>
        <v>WB1_9-23_2</v>
      </c>
      <c r="E75" s="10">
        <v>45204</v>
      </c>
      <c r="F75" s="1">
        <v>55</v>
      </c>
      <c r="G75" s="10">
        <v>45602</v>
      </c>
      <c r="H75" s="1">
        <v>5.04</v>
      </c>
    </row>
    <row r="76" spans="1:8" x14ac:dyDescent="0.35">
      <c r="A76" s="1" t="s">
        <v>53</v>
      </c>
      <c r="B76" s="2" t="s">
        <v>15</v>
      </c>
      <c r="C76" s="2" t="s">
        <v>136</v>
      </c>
      <c r="D76" s="1" t="str">
        <f t="shared" si="1"/>
        <v>WB2_9-23_2</v>
      </c>
      <c r="E76" s="10">
        <v>45204</v>
      </c>
      <c r="F76" s="1">
        <v>52</v>
      </c>
      <c r="G76" s="10">
        <v>45602</v>
      </c>
      <c r="H76" s="1">
        <v>3.13</v>
      </c>
    </row>
    <row r="77" spans="1:8" x14ac:dyDescent="0.35">
      <c r="A77" s="1" t="s">
        <v>54</v>
      </c>
      <c r="B77" s="2" t="s">
        <v>15</v>
      </c>
      <c r="C77" s="2" t="s">
        <v>136</v>
      </c>
      <c r="D77" s="1" t="str">
        <f t="shared" si="1"/>
        <v>TKB_9-23_2</v>
      </c>
      <c r="E77" s="10">
        <v>45204</v>
      </c>
      <c r="F77" s="1">
        <v>53</v>
      </c>
      <c r="G77" s="10">
        <v>45602</v>
      </c>
      <c r="H77" s="1">
        <v>0.63</v>
      </c>
    </row>
    <row r="78" spans="1:8" x14ac:dyDescent="0.35">
      <c r="A78" s="1" t="s">
        <v>55</v>
      </c>
      <c r="B78" s="2" t="s">
        <v>15</v>
      </c>
      <c r="C78" s="2" t="s">
        <v>136</v>
      </c>
      <c r="D78" s="1" t="str">
        <f t="shared" si="1"/>
        <v>JB_9-23_2</v>
      </c>
      <c r="E78" s="10">
        <v>45204</v>
      </c>
      <c r="F78" s="1">
        <v>54</v>
      </c>
      <c r="G78" s="10">
        <v>45602</v>
      </c>
      <c r="H78" s="1">
        <v>0.78</v>
      </c>
    </row>
    <row r="79" spans="1:8" x14ac:dyDescent="0.35">
      <c r="A79" s="1" t="s">
        <v>56</v>
      </c>
      <c r="B79" s="2" t="s">
        <v>15</v>
      </c>
      <c r="C79" s="2" t="s">
        <v>136</v>
      </c>
      <c r="D79" s="1" t="str">
        <f t="shared" si="1"/>
        <v>CC_9-23_2</v>
      </c>
      <c r="E79" s="10">
        <v>45204</v>
      </c>
      <c r="F79" s="1">
        <v>56</v>
      </c>
      <c r="G79" s="10">
        <v>45602</v>
      </c>
      <c r="H79" s="1">
        <v>2.69</v>
      </c>
    </row>
    <row r="80" spans="1:8" hidden="1" x14ac:dyDescent="0.35">
      <c r="A80" s="1" t="s">
        <v>46</v>
      </c>
      <c r="B80" s="2" t="s">
        <v>110</v>
      </c>
      <c r="C80" s="2" t="s">
        <v>134</v>
      </c>
      <c r="D80" s="1" t="str">
        <f t="shared" si="1"/>
        <v>TSM3_1123E_1</v>
      </c>
      <c r="E80" s="10">
        <v>45258</v>
      </c>
      <c r="F80" s="1">
        <v>54</v>
      </c>
      <c r="G80" s="1" t="s">
        <v>135</v>
      </c>
      <c r="H80" s="1" t="s">
        <v>135</v>
      </c>
    </row>
    <row r="81" spans="1:8" hidden="1" x14ac:dyDescent="0.35">
      <c r="A81" s="1" t="s">
        <v>47</v>
      </c>
      <c r="B81" s="2" t="s">
        <v>110</v>
      </c>
      <c r="C81" s="2" t="s">
        <v>134</v>
      </c>
      <c r="D81" s="1" t="str">
        <f t="shared" si="1"/>
        <v>TSM4_1123E_1</v>
      </c>
      <c r="E81" s="10">
        <v>45258</v>
      </c>
      <c r="F81" s="1">
        <v>55</v>
      </c>
      <c r="G81" s="1" t="s">
        <v>135</v>
      </c>
      <c r="H81" s="1" t="s">
        <v>135</v>
      </c>
    </row>
    <row r="82" spans="1:8" x14ac:dyDescent="0.35">
      <c r="A82" s="1" t="s">
        <v>48</v>
      </c>
      <c r="B82" s="2" t="s">
        <v>110</v>
      </c>
      <c r="C82" s="2" t="s">
        <v>134</v>
      </c>
      <c r="D82" s="1" t="str">
        <f t="shared" si="1"/>
        <v>SBT1_1123E_1</v>
      </c>
      <c r="E82" s="10">
        <v>45258</v>
      </c>
      <c r="F82" s="1">
        <v>53</v>
      </c>
      <c r="G82" s="10">
        <v>45602</v>
      </c>
      <c r="H82" s="1">
        <v>16.59</v>
      </c>
    </row>
    <row r="83" spans="1:8" x14ac:dyDescent="0.35">
      <c r="A83" s="1" t="s">
        <v>24</v>
      </c>
      <c r="B83" s="2" t="s">
        <v>110</v>
      </c>
      <c r="C83" s="2" t="s">
        <v>134</v>
      </c>
      <c r="D83" s="1" t="str">
        <f t="shared" si="1"/>
        <v>ACS1_1123E_1</v>
      </c>
      <c r="E83" s="10">
        <v>45258</v>
      </c>
      <c r="F83" s="1">
        <v>53</v>
      </c>
      <c r="G83" s="10">
        <v>45602</v>
      </c>
      <c r="H83" s="1">
        <v>13.29</v>
      </c>
    </row>
    <row r="84" spans="1:8" hidden="1" x14ac:dyDescent="0.35">
      <c r="A84" s="1" t="s">
        <v>30</v>
      </c>
      <c r="B84" s="2" t="s">
        <v>110</v>
      </c>
      <c r="C84" s="2" t="s">
        <v>134</v>
      </c>
      <c r="D84" s="1" t="str">
        <f t="shared" si="1"/>
        <v>DC1_1123E_1</v>
      </c>
      <c r="E84" s="10">
        <v>45258</v>
      </c>
      <c r="F84" s="1">
        <v>54</v>
      </c>
      <c r="G84" s="10"/>
    </row>
    <row r="85" spans="1:8" hidden="1" x14ac:dyDescent="0.35">
      <c r="A85" s="1" t="s">
        <v>31</v>
      </c>
      <c r="B85" s="2" t="s">
        <v>110</v>
      </c>
      <c r="C85" s="2" t="s">
        <v>134</v>
      </c>
      <c r="D85" s="1" t="str">
        <f t="shared" si="1"/>
        <v>DCM1_1123E_1</v>
      </c>
      <c r="E85" s="10">
        <v>45258</v>
      </c>
      <c r="F85" s="1">
        <v>55</v>
      </c>
      <c r="G85" s="10"/>
    </row>
    <row r="86" spans="1:8" x14ac:dyDescent="0.35">
      <c r="A86" s="1" t="s">
        <v>34</v>
      </c>
      <c r="B86" s="2" t="s">
        <v>110</v>
      </c>
      <c r="C86" s="2" t="s">
        <v>134</v>
      </c>
      <c r="D86" s="1" t="str">
        <f t="shared" si="1"/>
        <v>GB1_1123E_1</v>
      </c>
      <c r="E86" s="10">
        <v>45258</v>
      </c>
      <c r="F86" s="1">
        <v>55</v>
      </c>
      <c r="G86" s="10">
        <v>45602</v>
      </c>
      <c r="H86" s="1">
        <v>19.829999999999998</v>
      </c>
    </row>
    <row r="87" spans="1:8" hidden="1" x14ac:dyDescent="0.35">
      <c r="A87" s="1" t="s">
        <v>46</v>
      </c>
      <c r="B87" s="2" t="s">
        <v>110</v>
      </c>
      <c r="C87" s="2" t="s">
        <v>136</v>
      </c>
      <c r="D87" s="1" t="str">
        <f t="shared" si="1"/>
        <v>TSM3_1123E_2</v>
      </c>
      <c r="E87" s="10">
        <v>45258</v>
      </c>
      <c r="F87" s="1">
        <v>56</v>
      </c>
      <c r="G87" s="1" t="s">
        <v>135</v>
      </c>
      <c r="H87" s="1" t="s">
        <v>135</v>
      </c>
    </row>
    <row r="88" spans="1:8" hidden="1" x14ac:dyDescent="0.35">
      <c r="A88" s="1" t="s">
        <v>47</v>
      </c>
      <c r="B88" s="2" t="s">
        <v>110</v>
      </c>
      <c r="C88" s="2" t="s">
        <v>136</v>
      </c>
      <c r="D88" s="1" t="str">
        <f t="shared" si="1"/>
        <v>TSM4_1123E_2</v>
      </c>
      <c r="E88" s="10">
        <v>45258</v>
      </c>
      <c r="F88" s="1">
        <v>53</v>
      </c>
      <c r="G88" s="1" t="s">
        <v>135</v>
      </c>
      <c r="H88" s="1" t="s">
        <v>135</v>
      </c>
    </row>
    <row r="89" spans="1:8" x14ac:dyDescent="0.35">
      <c r="A89" s="1" t="s">
        <v>48</v>
      </c>
      <c r="B89" s="2" t="s">
        <v>110</v>
      </c>
      <c r="C89" s="2" t="s">
        <v>136</v>
      </c>
      <c r="D89" s="1" t="str">
        <f t="shared" si="1"/>
        <v>SBT1_1123E_2</v>
      </c>
      <c r="E89" s="10">
        <v>45258</v>
      </c>
      <c r="F89" s="1">
        <v>53</v>
      </c>
      <c r="G89" s="10">
        <v>45602</v>
      </c>
      <c r="H89" s="1">
        <v>16.47</v>
      </c>
    </row>
    <row r="90" spans="1:8" x14ac:dyDescent="0.35">
      <c r="A90" s="1" t="s">
        <v>24</v>
      </c>
      <c r="B90" s="2" t="s">
        <v>110</v>
      </c>
      <c r="C90" s="2" t="s">
        <v>136</v>
      </c>
      <c r="D90" s="1" t="str">
        <f t="shared" si="1"/>
        <v>ACS1_1123E_2</v>
      </c>
      <c r="E90" s="10">
        <v>45258</v>
      </c>
      <c r="F90" s="1">
        <v>55</v>
      </c>
      <c r="G90" s="10">
        <v>45602</v>
      </c>
      <c r="H90" s="1">
        <v>13.85</v>
      </c>
    </row>
    <row r="91" spans="1:8" hidden="1" x14ac:dyDescent="0.35">
      <c r="A91" s="1" t="s">
        <v>30</v>
      </c>
      <c r="B91" s="2" t="s">
        <v>110</v>
      </c>
      <c r="C91" s="2" t="s">
        <v>136</v>
      </c>
      <c r="D91" s="1" t="str">
        <f t="shared" si="1"/>
        <v>DC1_1123E_2</v>
      </c>
      <c r="E91" s="10">
        <v>45258</v>
      </c>
      <c r="F91" s="1">
        <v>56</v>
      </c>
      <c r="G91" s="10"/>
    </row>
    <row r="92" spans="1:8" hidden="1" x14ac:dyDescent="0.35">
      <c r="A92" s="1" t="s">
        <v>31</v>
      </c>
      <c r="B92" s="2" t="s">
        <v>110</v>
      </c>
      <c r="C92" s="2" t="s">
        <v>136</v>
      </c>
      <c r="D92" s="1" t="str">
        <f t="shared" si="1"/>
        <v>DCM1_1123E_2</v>
      </c>
      <c r="E92" s="10">
        <v>45258</v>
      </c>
      <c r="F92" s="1">
        <v>54</v>
      </c>
      <c r="G92" s="10"/>
    </row>
    <row r="93" spans="1:8" x14ac:dyDescent="0.35">
      <c r="A93" s="1" t="s">
        <v>34</v>
      </c>
      <c r="B93" s="2" t="s">
        <v>110</v>
      </c>
      <c r="C93" s="2" t="s">
        <v>136</v>
      </c>
      <c r="D93" s="1" t="str">
        <f t="shared" si="1"/>
        <v>GB1_1123E_2</v>
      </c>
      <c r="E93" s="10">
        <v>45258</v>
      </c>
      <c r="F93" s="1">
        <v>57</v>
      </c>
      <c r="G93" s="10">
        <v>45602</v>
      </c>
      <c r="H93" s="1">
        <v>27.93</v>
      </c>
    </row>
    <row r="94" spans="1:8" hidden="1" x14ac:dyDescent="0.35">
      <c r="A94" s="1" t="s">
        <v>14</v>
      </c>
      <c r="B94" s="2" t="s">
        <v>57</v>
      </c>
      <c r="C94" s="2" t="s">
        <v>134</v>
      </c>
      <c r="D94" s="1" t="str">
        <f t="shared" si="1"/>
        <v>P37_11_23_1</v>
      </c>
      <c r="E94" s="10">
        <v>45259</v>
      </c>
      <c r="F94" s="1">
        <v>54</v>
      </c>
      <c r="G94" s="1" t="s">
        <v>135</v>
      </c>
      <c r="H94" s="1" t="s">
        <v>135</v>
      </c>
    </row>
    <row r="95" spans="1:8" hidden="1" x14ac:dyDescent="0.35">
      <c r="A95" s="1" t="s">
        <v>14</v>
      </c>
      <c r="B95" s="2" t="s">
        <v>57</v>
      </c>
      <c r="C95" s="2" t="s">
        <v>136</v>
      </c>
      <c r="D95" s="1" t="str">
        <f t="shared" si="1"/>
        <v>P37_11_23_2</v>
      </c>
      <c r="E95" s="10">
        <v>45259</v>
      </c>
      <c r="F95" s="1">
        <v>52</v>
      </c>
      <c r="G95" s="1" t="s">
        <v>135</v>
      </c>
      <c r="H95" s="1" t="s">
        <v>135</v>
      </c>
    </row>
    <row r="96" spans="1:8" hidden="1" x14ac:dyDescent="0.35">
      <c r="A96" s="1" t="s">
        <v>19</v>
      </c>
      <c r="B96" s="2" t="s">
        <v>57</v>
      </c>
      <c r="C96" s="2" t="s">
        <v>134</v>
      </c>
      <c r="D96" s="1" t="str">
        <f t="shared" si="1"/>
        <v>NCL_11_23_1</v>
      </c>
      <c r="E96" s="10">
        <v>45259</v>
      </c>
      <c r="F96" s="1">
        <v>55</v>
      </c>
      <c r="G96" s="1" t="s">
        <v>135</v>
      </c>
      <c r="H96" s="1" t="s">
        <v>135</v>
      </c>
    </row>
    <row r="97" spans="1:8" hidden="1" x14ac:dyDescent="0.35">
      <c r="A97" s="1" t="s">
        <v>19</v>
      </c>
      <c r="B97" s="2" t="s">
        <v>57</v>
      </c>
      <c r="C97" s="2" t="s">
        <v>136</v>
      </c>
      <c r="D97" s="1" t="str">
        <f t="shared" si="1"/>
        <v>NCL_11_23_2</v>
      </c>
      <c r="E97" s="10">
        <v>45259</v>
      </c>
      <c r="F97" s="1">
        <v>53</v>
      </c>
      <c r="G97" s="1" t="s">
        <v>135</v>
      </c>
      <c r="H97" s="1" t="s">
        <v>135</v>
      </c>
    </row>
    <row r="98" spans="1:8" hidden="1" x14ac:dyDescent="0.35">
      <c r="A98" s="1" t="s">
        <v>20</v>
      </c>
      <c r="B98" s="2" t="s">
        <v>57</v>
      </c>
      <c r="C98" s="2" t="s">
        <v>134</v>
      </c>
      <c r="D98" s="1" t="str">
        <f t="shared" si="1"/>
        <v>CP_11_23_1</v>
      </c>
      <c r="E98" s="10">
        <v>45259</v>
      </c>
      <c r="F98" s="1">
        <v>54</v>
      </c>
      <c r="G98" s="1" t="s">
        <v>135</v>
      </c>
      <c r="H98" s="1" t="s">
        <v>135</v>
      </c>
    </row>
    <row r="99" spans="1:8" hidden="1" x14ac:dyDescent="0.35">
      <c r="A99" s="1" t="s">
        <v>20</v>
      </c>
      <c r="B99" s="2" t="s">
        <v>57</v>
      </c>
      <c r="C99" s="2" t="s">
        <v>136</v>
      </c>
      <c r="D99" s="1" t="str">
        <f t="shared" si="1"/>
        <v>CP_11_23_2</v>
      </c>
      <c r="E99" s="10">
        <v>45259</v>
      </c>
      <c r="F99" s="1">
        <v>53</v>
      </c>
      <c r="G99" s="1" t="s">
        <v>135</v>
      </c>
      <c r="H99" s="1" t="s">
        <v>135</v>
      </c>
    </row>
    <row r="100" spans="1:8" hidden="1" x14ac:dyDescent="0.35">
      <c r="A100" s="1" t="s">
        <v>21</v>
      </c>
      <c r="B100" s="2" t="s">
        <v>57</v>
      </c>
      <c r="C100" s="2" t="s">
        <v>134</v>
      </c>
      <c r="D100" s="1" t="str">
        <f t="shared" si="1"/>
        <v>EP146_11_23_1</v>
      </c>
      <c r="E100" s="10">
        <v>45259</v>
      </c>
      <c r="F100" s="1">
        <v>55</v>
      </c>
      <c r="G100" s="1" t="s">
        <v>135</v>
      </c>
      <c r="H100" s="1" t="s">
        <v>135</v>
      </c>
    </row>
    <row r="101" spans="1:8" hidden="1" x14ac:dyDescent="0.35">
      <c r="A101" s="1" t="s">
        <v>21</v>
      </c>
      <c r="B101" s="2" t="s">
        <v>57</v>
      </c>
      <c r="C101" s="2" t="s">
        <v>136</v>
      </c>
      <c r="D101" s="1" t="str">
        <f t="shared" si="1"/>
        <v>EP146_11_23_2</v>
      </c>
      <c r="E101" s="10">
        <v>45259</v>
      </c>
      <c r="F101" s="1">
        <v>53</v>
      </c>
      <c r="G101" s="1" t="s">
        <v>135</v>
      </c>
      <c r="H101" s="1" t="s">
        <v>135</v>
      </c>
    </row>
    <row r="102" spans="1:8" hidden="1" x14ac:dyDescent="0.35">
      <c r="A102" s="1" t="s">
        <v>22</v>
      </c>
      <c r="B102" s="2" t="s">
        <v>57</v>
      </c>
      <c r="C102" s="2" t="s">
        <v>134</v>
      </c>
      <c r="D102" s="1" t="str">
        <f t="shared" si="1"/>
        <v>OL_11_23_1</v>
      </c>
      <c r="E102" s="10">
        <v>45259</v>
      </c>
      <c r="F102" s="1">
        <v>54</v>
      </c>
      <c r="G102" s="1" t="s">
        <v>135</v>
      </c>
      <c r="H102" s="1" t="s">
        <v>135</v>
      </c>
    </row>
    <row r="103" spans="1:8" hidden="1" x14ac:dyDescent="0.35">
      <c r="A103" s="1" t="s">
        <v>22</v>
      </c>
      <c r="B103" s="2" t="s">
        <v>57</v>
      </c>
      <c r="C103" s="2" t="s">
        <v>136</v>
      </c>
      <c r="D103" s="1" t="str">
        <f t="shared" si="1"/>
        <v>OL_11_23_2</v>
      </c>
      <c r="E103" s="10">
        <v>45259</v>
      </c>
      <c r="F103" s="1">
        <v>54</v>
      </c>
      <c r="G103" s="1" t="s">
        <v>135</v>
      </c>
      <c r="H103" s="1" t="s">
        <v>135</v>
      </c>
    </row>
    <row r="104" spans="1:8" hidden="1" x14ac:dyDescent="0.35">
      <c r="A104" s="1" t="s">
        <v>58</v>
      </c>
      <c r="B104" s="2" t="s">
        <v>57</v>
      </c>
      <c r="C104" s="2" t="s">
        <v>134</v>
      </c>
      <c r="D104" s="1" t="str">
        <f t="shared" si="1"/>
        <v>TSH_11_23_1</v>
      </c>
      <c r="E104" s="10">
        <v>45259</v>
      </c>
      <c r="F104" s="1">
        <v>54</v>
      </c>
      <c r="G104" s="1" t="s">
        <v>135</v>
      </c>
      <c r="H104" s="1" t="s">
        <v>135</v>
      </c>
    </row>
    <row r="105" spans="1:8" hidden="1" x14ac:dyDescent="0.35">
      <c r="A105" s="1" t="s">
        <v>58</v>
      </c>
      <c r="B105" s="2" t="s">
        <v>57</v>
      </c>
      <c r="C105" s="2" t="s">
        <v>136</v>
      </c>
      <c r="D105" s="1" t="str">
        <f t="shared" si="1"/>
        <v>TSH_11_23_2</v>
      </c>
      <c r="E105" s="10">
        <v>45259</v>
      </c>
      <c r="F105" s="1">
        <v>53</v>
      </c>
      <c r="G105" s="1" t="s">
        <v>135</v>
      </c>
      <c r="H105" s="1" t="s">
        <v>135</v>
      </c>
    </row>
    <row r="106" spans="1:8" hidden="1" x14ac:dyDescent="0.35">
      <c r="A106" s="1" t="s">
        <v>23</v>
      </c>
      <c r="B106" s="2" t="s">
        <v>57</v>
      </c>
      <c r="C106" s="2" t="s">
        <v>134</v>
      </c>
      <c r="D106" s="1" t="str">
        <f t="shared" si="1"/>
        <v>R127_11_23_1</v>
      </c>
      <c r="E106" s="10">
        <v>45259</v>
      </c>
      <c r="F106" s="1">
        <v>52</v>
      </c>
      <c r="G106" s="1" t="s">
        <v>135</v>
      </c>
      <c r="H106" s="1" t="s">
        <v>135</v>
      </c>
    </row>
    <row r="107" spans="1:8" hidden="1" x14ac:dyDescent="0.35">
      <c r="A107" s="1" t="s">
        <v>23</v>
      </c>
      <c r="B107" s="2" t="s">
        <v>57</v>
      </c>
      <c r="C107" s="2" t="s">
        <v>136</v>
      </c>
      <c r="D107" s="1" t="str">
        <f t="shared" si="1"/>
        <v>R127_11_23_2</v>
      </c>
      <c r="E107" s="10">
        <v>45259</v>
      </c>
      <c r="F107" s="1">
        <v>51</v>
      </c>
      <c r="G107" s="1" t="s">
        <v>135</v>
      </c>
      <c r="H107" s="1" t="s">
        <v>135</v>
      </c>
    </row>
    <row r="108" spans="1:8" x14ac:dyDescent="0.35">
      <c r="A108" s="1" t="s">
        <v>49</v>
      </c>
      <c r="B108" s="2" t="s">
        <v>110</v>
      </c>
      <c r="C108" s="2" t="s">
        <v>134</v>
      </c>
      <c r="D108" s="1" t="str">
        <f t="shared" si="1"/>
        <v>SBT2_1123E_1</v>
      </c>
      <c r="E108" s="10">
        <v>45260</v>
      </c>
      <c r="F108" s="1">
        <v>51</v>
      </c>
      <c r="G108" s="10">
        <v>45602</v>
      </c>
      <c r="H108" s="1">
        <v>3.31</v>
      </c>
    </row>
    <row r="109" spans="1:8" x14ac:dyDescent="0.35">
      <c r="A109" s="1" t="s">
        <v>35</v>
      </c>
      <c r="B109" s="2" t="s">
        <v>110</v>
      </c>
      <c r="C109" s="2" t="s">
        <v>134</v>
      </c>
      <c r="D109" s="1" t="str">
        <f t="shared" si="1"/>
        <v>MCS1_1123E_1</v>
      </c>
      <c r="E109" s="10">
        <v>45260</v>
      </c>
      <c r="F109" s="1">
        <v>51</v>
      </c>
      <c r="G109" s="10">
        <v>45602</v>
      </c>
      <c r="H109" s="1">
        <v>7.59</v>
      </c>
    </row>
    <row r="110" spans="1:8" x14ac:dyDescent="0.35">
      <c r="A110" s="1" t="s">
        <v>41</v>
      </c>
      <c r="B110" s="2" t="s">
        <v>110</v>
      </c>
      <c r="C110" s="2" t="s">
        <v>134</v>
      </c>
      <c r="D110" s="1" t="str">
        <f t="shared" si="1"/>
        <v>TB1_1123E_1</v>
      </c>
      <c r="E110" s="10">
        <v>45260</v>
      </c>
      <c r="F110" s="1">
        <v>55</v>
      </c>
      <c r="G110" s="10">
        <v>45602</v>
      </c>
      <c r="H110" s="1">
        <v>14.23</v>
      </c>
    </row>
    <row r="111" spans="1:8" x14ac:dyDescent="0.35">
      <c r="A111" s="1" t="s">
        <v>42</v>
      </c>
      <c r="B111" s="2" t="s">
        <v>110</v>
      </c>
      <c r="C111" s="2" t="s">
        <v>134</v>
      </c>
      <c r="D111" s="1" t="str">
        <f t="shared" si="1"/>
        <v>TB2_1123E_1</v>
      </c>
      <c r="E111" s="10">
        <v>45260</v>
      </c>
      <c r="F111" s="1">
        <v>54</v>
      </c>
      <c r="G111" s="10">
        <v>45602</v>
      </c>
      <c r="H111" s="1">
        <v>1.9</v>
      </c>
    </row>
    <row r="112" spans="1:8" x14ac:dyDescent="0.35">
      <c r="A112" s="1" t="s">
        <v>43</v>
      </c>
      <c r="B112" s="2" t="s">
        <v>110</v>
      </c>
      <c r="C112" s="2" t="s">
        <v>134</v>
      </c>
      <c r="D112" s="1" t="str">
        <f t="shared" si="1"/>
        <v>GB2_1123E_1</v>
      </c>
      <c r="E112" s="10">
        <v>45260</v>
      </c>
      <c r="F112" s="1">
        <v>52</v>
      </c>
      <c r="G112" s="10">
        <v>45602</v>
      </c>
      <c r="H112" s="1">
        <v>21.26</v>
      </c>
    </row>
    <row r="113" spans="1:8" x14ac:dyDescent="0.35">
      <c r="A113" s="1" t="s">
        <v>44</v>
      </c>
      <c r="B113" s="2" t="s">
        <v>110</v>
      </c>
      <c r="C113" s="2" t="s">
        <v>134</v>
      </c>
      <c r="D113" s="1" t="str">
        <f t="shared" si="1"/>
        <v>RB_1123E_1</v>
      </c>
      <c r="E113" s="10">
        <v>45260</v>
      </c>
      <c r="F113" s="1">
        <v>52</v>
      </c>
      <c r="G113" s="10">
        <v>45602</v>
      </c>
      <c r="H113" s="1">
        <v>19.61</v>
      </c>
    </row>
    <row r="114" spans="1:8" x14ac:dyDescent="0.35">
      <c r="A114" s="1" t="s">
        <v>52</v>
      </c>
      <c r="B114" s="2" t="s">
        <v>110</v>
      </c>
      <c r="C114" s="2" t="s">
        <v>134</v>
      </c>
      <c r="D114" s="1" t="str">
        <f t="shared" si="1"/>
        <v>WB1_1123E_1</v>
      </c>
      <c r="E114" s="10">
        <v>45260</v>
      </c>
      <c r="F114" s="1">
        <v>53</v>
      </c>
      <c r="G114" s="10">
        <v>45602</v>
      </c>
      <c r="H114" s="1">
        <v>1.06</v>
      </c>
    </row>
    <row r="115" spans="1:8" x14ac:dyDescent="0.35">
      <c r="A115" s="1" t="s">
        <v>54</v>
      </c>
      <c r="B115" s="2" t="s">
        <v>110</v>
      </c>
      <c r="C115" s="2" t="s">
        <v>134</v>
      </c>
      <c r="D115" s="1" t="str">
        <f t="shared" si="1"/>
        <v>TKB_1123E_1</v>
      </c>
      <c r="E115" s="10">
        <v>45260</v>
      </c>
      <c r="F115" s="1">
        <v>58</v>
      </c>
      <c r="G115" s="10">
        <v>45602</v>
      </c>
      <c r="H115" s="1">
        <v>0.59</v>
      </c>
    </row>
    <row r="116" spans="1:8" x14ac:dyDescent="0.35">
      <c r="A116" s="1" t="s">
        <v>55</v>
      </c>
      <c r="B116" s="2" t="s">
        <v>110</v>
      </c>
      <c r="C116" s="2" t="s">
        <v>134</v>
      </c>
      <c r="D116" s="1" t="str">
        <f t="shared" si="1"/>
        <v>JB_1123E_1</v>
      </c>
      <c r="E116" s="10">
        <v>45260</v>
      </c>
      <c r="F116" s="1">
        <v>53</v>
      </c>
      <c r="G116" s="10">
        <v>45602</v>
      </c>
      <c r="H116" s="1">
        <v>0.39</v>
      </c>
    </row>
    <row r="117" spans="1:8" x14ac:dyDescent="0.35">
      <c r="A117" s="1" t="s">
        <v>49</v>
      </c>
      <c r="B117" s="2" t="s">
        <v>110</v>
      </c>
      <c r="C117" s="2" t="s">
        <v>136</v>
      </c>
      <c r="D117" s="1" t="str">
        <f t="shared" si="1"/>
        <v>SBT2_1123E_2</v>
      </c>
      <c r="E117" s="10">
        <v>45260</v>
      </c>
      <c r="F117" s="1">
        <v>51</v>
      </c>
      <c r="G117" s="10">
        <v>45602</v>
      </c>
      <c r="H117" s="1">
        <v>2.42</v>
      </c>
    </row>
    <row r="118" spans="1:8" x14ac:dyDescent="0.35">
      <c r="A118" s="1" t="s">
        <v>35</v>
      </c>
      <c r="B118" s="2" t="s">
        <v>110</v>
      </c>
      <c r="C118" s="2" t="s">
        <v>136</v>
      </c>
      <c r="D118" s="1" t="str">
        <f t="shared" si="1"/>
        <v>MCS1_1123E_2</v>
      </c>
      <c r="E118" s="10">
        <v>45260</v>
      </c>
      <c r="F118" s="1">
        <v>55</v>
      </c>
      <c r="G118" s="10">
        <v>45602</v>
      </c>
      <c r="H118" s="1">
        <v>6.85</v>
      </c>
    </row>
    <row r="119" spans="1:8" x14ac:dyDescent="0.35">
      <c r="A119" s="1" t="s">
        <v>41</v>
      </c>
      <c r="B119" s="2" t="s">
        <v>110</v>
      </c>
      <c r="C119" s="2" t="s">
        <v>136</v>
      </c>
      <c r="D119" s="1" t="str">
        <f t="shared" si="1"/>
        <v>TB1_1123E_2</v>
      </c>
      <c r="E119" s="10">
        <v>45260</v>
      </c>
      <c r="F119" s="1">
        <v>52</v>
      </c>
      <c r="G119" s="10">
        <v>45602</v>
      </c>
      <c r="H119" s="1">
        <v>13.95</v>
      </c>
    </row>
    <row r="120" spans="1:8" x14ac:dyDescent="0.35">
      <c r="A120" s="1" t="s">
        <v>42</v>
      </c>
      <c r="B120" s="2" t="s">
        <v>110</v>
      </c>
      <c r="C120" s="2" t="s">
        <v>136</v>
      </c>
      <c r="D120" s="1" t="str">
        <f t="shared" si="1"/>
        <v>TB2_1123E_2</v>
      </c>
      <c r="E120" s="10">
        <v>45260</v>
      </c>
      <c r="F120" s="1">
        <v>56</v>
      </c>
      <c r="G120" s="10">
        <v>45602</v>
      </c>
      <c r="H120" s="1">
        <v>1.47</v>
      </c>
    </row>
    <row r="121" spans="1:8" x14ac:dyDescent="0.35">
      <c r="A121" s="1" t="s">
        <v>43</v>
      </c>
      <c r="B121" s="2" t="s">
        <v>110</v>
      </c>
      <c r="C121" s="2" t="s">
        <v>136</v>
      </c>
      <c r="D121" s="1" t="str">
        <f t="shared" si="1"/>
        <v>GB2_1123E_2</v>
      </c>
      <c r="E121" s="10">
        <v>45260</v>
      </c>
      <c r="F121" s="1">
        <v>52</v>
      </c>
      <c r="G121" s="10">
        <v>45602</v>
      </c>
      <c r="H121" s="1">
        <v>16.95</v>
      </c>
    </row>
    <row r="122" spans="1:8" x14ac:dyDescent="0.35">
      <c r="A122" s="1" t="s">
        <v>44</v>
      </c>
      <c r="B122" s="2" t="s">
        <v>110</v>
      </c>
      <c r="C122" s="2" t="s">
        <v>136</v>
      </c>
      <c r="D122" s="1" t="str">
        <f t="shared" si="1"/>
        <v>RB_1123E_2</v>
      </c>
      <c r="E122" s="10">
        <v>45260</v>
      </c>
      <c r="F122" s="1">
        <v>55</v>
      </c>
      <c r="G122" s="10">
        <v>45602</v>
      </c>
      <c r="H122" s="1">
        <v>19.95</v>
      </c>
    </row>
    <row r="123" spans="1:8" x14ac:dyDescent="0.35">
      <c r="A123" s="1" t="s">
        <v>52</v>
      </c>
      <c r="B123" s="2" t="s">
        <v>110</v>
      </c>
      <c r="C123" s="2" t="s">
        <v>136</v>
      </c>
      <c r="D123" s="1" t="str">
        <f t="shared" si="1"/>
        <v>WB1_1123E_2</v>
      </c>
      <c r="E123" s="10">
        <v>45260</v>
      </c>
      <c r="F123" s="1">
        <v>56</v>
      </c>
      <c r="G123" s="10">
        <v>45602</v>
      </c>
      <c r="H123" s="1">
        <v>0.86</v>
      </c>
    </row>
    <row r="124" spans="1:8" x14ac:dyDescent="0.35">
      <c r="A124" s="1" t="s">
        <v>54</v>
      </c>
      <c r="B124" s="2" t="s">
        <v>110</v>
      </c>
      <c r="C124" s="2" t="s">
        <v>136</v>
      </c>
      <c r="D124" s="1" t="str">
        <f t="shared" si="1"/>
        <v>TKB_1123E_2</v>
      </c>
      <c r="E124" s="10">
        <v>45260</v>
      </c>
      <c r="F124" s="1">
        <v>54</v>
      </c>
      <c r="G124" s="10">
        <v>45602</v>
      </c>
      <c r="H124" s="1">
        <v>0.56000000000000005</v>
      </c>
    </row>
    <row r="125" spans="1:8" x14ac:dyDescent="0.35">
      <c r="A125" s="1" t="s">
        <v>55</v>
      </c>
      <c r="B125" s="2" t="s">
        <v>110</v>
      </c>
      <c r="C125" s="2" t="s">
        <v>136</v>
      </c>
      <c r="D125" s="1" t="str">
        <f t="shared" si="1"/>
        <v>JB_1123E_2</v>
      </c>
      <c r="E125" s="10">
        <v>45260</v>
      </c>
      <c r="F125" s="1">
        <v>57</v>
      </c>
      <c r="G125" s="10">
        <v>45602</v>
      </c>
      <c r="H125" s="1">
        <v>0.41</v>
      </c>
    </row>
    <row r="126" spans="1:8" hidden="1" x14ac:dyDescent="0.35">
      <c r="A126" s="1" t="s">
        <v>49</v>
      </c>
      <c r="B126" s="2" t="s">
        <v>61</v>
      </c>
      <c r="C126" s="2" t="s">
        <v>134</v>
      </c>
      <c r="D126" s="1" t="str">
        <f t="shared" si="1"/>
        <v>SBT2_1-24_1</v>
      </c>
      <c r="E126" s="10">
        <v>45297</v>
      </c>
      <c r="F126" s="1">
        <v>54</v>
      </c>
      <c r="G126" s="10"/>
    </row>
    <row r="127" spans="1:8" hidden="1" x14ac:dyDescent="0.35">
      <c r="A127" s="1" t="s">
        <v>43</v>
      </c>
      <c r="B127" s="2" t="s">
        <v>61</v>
      </c>
      <c r="C127" s="2" t="s">
        <v>134</v>
      </c>
      <c r="D127" s="1" t="str">
        <f t="shared" ref="D127:D190" si="2">A127&amp;"_"&amp;B127&amp;"_"&amp;C127</f>
        <v>GB2_1-24_1</v>
      </c>
      <c r="E127" s="10">
        <v>45297</v>
      </c>
      <c r="F127" s="1">
        <v>53</v>
      </c>
      <c r="G127" s="10"/>
    </row>
    <row r="128" spans="1:8" hidden="1" x14ac:dyDescent="0.35">
      <c r="A128" s="1" t="s">
        <v>44</v>
      </c>
      <c r="B128" s="2" t="s">
        <v>61</v>
      </c>
      <c r="C128" s="2" t="s">
        <v>134</v>
      </c>
      <c r="D128" s="1" t="str">
        <f t="shared" si="2"/>
        <v>RB_1-24_1</v>
      </c>
      <c r="E128" s="10">
        <v>45297</v>
      </c>
      <c r="F128" s="1">
        <v>57</v>
      </c>
      <c r="G128" s="10"/>
    </row>
    <row r="129" spans="1:7" hidden="1" x14ac:dyDescent="0.35">
      <c r="A129" s="1" t="s">
        <v>54</v>
      </c>
      <c r="B129" s="2" t="s">
        <v>61</v>
      </c>
      <c r="C129" s="2" t="s">
        <v>134</v>
      </c>
      <c r="D129" s="1" t="str">
        <f t="shared" si="2"/>
        <v>TKB_1-24_1</v>
      </c>
      <c r="E129" s="10">
        <v>45297</v>
      </c>
      <c r="F129" s="1">
        <v>57</v>
      </c>
      <c r="G129" s="10"/>
    </row>
    <row r="130" spans="1:7" hidden="1" x14ac:dyDescent="0.35">
      <c r="A130" s="1" t="s">
        <v>55</v>
      </c>
      <c r="B130" s="2" t="s">
        <v>61</v>
      </c>
      <c r="C130" s="2" t="s">
        <v>134</v>
      </c>
      <c r="D130" s="1" t="str">
        <f t="shared" si="2"/>
        <v>JB_1-24_1</v>
      </c>
      <c r="E130" s="10">
        <v>45297</v>
      </c>
      <c r="F130" s="1">
        <v>53</v>
      </c>
      <c r="G130" s="10"/>
    </row>
    <row r="131" spans="1:7" hidden="1" x14ac:dyDescent="0.35">
      <c r="A131" s="1" t="s">
        <v>56</v>
      </c>
      <c r="B131" s="2" t="s">
        <v>61</v>
      </c>
      <c r="C131" s="2" t="s">
        <v>134</v>
      </c>
      <c r="D131" s="1" t="str">
        <f t="shared" si="2"/>
        <v>CC_1-24_1</v>
      </c>
      <c r="E131" s="10">
        <v>45297</v>
      </c>
      <c r="F131" s="1">
        <v>55</v>
      </c>
      <c r="G131" s="10"/>
    </row>
    <row r="132" spans="1:7" hidden="1" x14ac:dyDescent="0.35">
      <c r="A132" s="1" t="s">
        <v>49</v>
      </c>
      <c r="B132" s="2" t="s">
        <v>61</v>
      </c>
      <c r="C132" s="2" t="s">
        <v>136</v>
      </c>
      <c r="D132" s="1" t="str">
        <f t="shared" si="2"/>
        <v>SBT2_1-24_2</v>
      </c>
      <c r="E132" s="10">
        <v>45297</v>
      </c>
      <c r="F132" s="1">
        <v>53</v>
      </c>
      <c r="G132" s="10"/>
    </row>
    <row r="133" spans="1:7" hidden="1" x14ac:dyDescent="0.35">
      <c r="A133" s="1" t="s">
        <v>43</v>
      </c>
      <c r="B133" s="2" t="s">
        <v>61</v>
      </c>
      <c r="C133" s="2" t="s">
        <v>136</v>
      </c>
      <c r="D133" s="1" t="str">
        <f t="shared" si="2"/>
        <v>GB2_1-24_2</v>
      </c>
      <c r="E133" s="10">
        <v>45297</v>
      </c>
      <c r="F133" s="1">
        <v>55</v>
      </c>
      <c r="G133" s="10"/>
    </row>
    <row r="134" spans="1:7" hidden="1" x14ac:dyDescent="0.35">
      <c r="A134" s="1" t="s">
        <v>44</v>
      </c>
      <c r="B134" s="2" t="s">
        <v>61</v>
      </c>
      <c r="C134" s="2" t="s">
        <v>136</v>
      </c>
      <c r="D134" s="1" t="str">
        <f t="shared" si="2"/>
        <v>RB_1-24_2</v>
      </c>
      <c r="E134" s="10">
        <v>45297</v>
      </c>
      <c r="F134" s="1">
        <v>56</v>
      </c>
      <c r="G134" s="10"/>
    </row>
    <row r="135" spans="1:7" hidden="1" x14ac:dyDescent="0.35">
      <c r="A135" s="1" t="s">
        <v>54</v>
      </c>
      <c r="B135" s="2" t="s">
        <v>61</v>
      </c>
      <c r="C135" s="2" t="s">
        <v>136</v>
      </c>
      <c r="D135" s="1" t="str">
        <f t="shared" si="2"/>
        <v>TKB_1-24_2</v>
      </c>
      <c r="E135" s="10">
        <v>45297</v>
      </c>
      <c r="F135" s="1">
        <v>52</v>
      </c>
      <c r="G135" s="10"/>
    </row>
    <row r="136" spans="1:7" hidden="1" x14ac:dyDescent="0.35">
      <c r="A136" s="1" t="s">
        <v>55</v>
      </c>
      <c r="B136" s="2" t="s">
        <v>61</v>
      </c>
      <c r="C136" s="2" t="s">
        <v>136</v>
      </c>
      <c r="D136" s="1" t="str">
        <f t="shared" si="2"/>
        <v>JB_1-24_2</v>
      </c>
      <c r="E136" s="10">
        <v>45297</v>
      </c>
      <c r="F136" s="1">
        <v>56</v>
      </c>
      <c r="G136" s="10"/>
    </row>
    <row r="137" spans="1:7" hidden="1" x14ac:dyDescent="0.35">
      <c r="A137" s="1" t="s">
        <v>56</v>
      </c>
      <c r="B137" s="2" t="s">
        <v>61</v>
      </c>
      <c r="C137" s="2" t="s">
        <v>136</v>
      </c>
      <c r="D137" s="1" t="str">
        <f t="shared" si="2"/>
        <v>CC_1-24_2</v>
      </c>
      <c r="E137" s="10">
        <v>45297</v>
      </c>
      <c r="F137" s="1">
        <v>54</v>
      </c>
      <c r="G137" s="10"/>
    </row>
    <row r="138" spans="1:7" hidden="1" x14ac:dyDescent="0.35">
      <c r="A138" s="1" t="s">
        <v>35</v>
      </c>
      <c r="B138" s="2" t="s">
        <v>61</v>
      </c>
      <c r="C138" s="2" t="s">
        <v>134</v>
      </c>
      <c r="D138" s="1" t="str">
        <f t="shared" si="2"/>
        <v>MCS1_1-24_1</v>
      </c>
      <c r="E138" s="10">
        <v>45298</v>
      </c>
      <c r="F138" s="1">
        <v>56</v>
      </c>
      <c r="G138" s="10"/>
    </row>
    <row r="139" spans="1:7" hidden="1" x14ac:dyDescent="0.35">
      <c r="A139" s="1" t="s">
        <v>36</v>
      </c>
      <c r="B139" s="2" t="s">
        <v>61</v>
      </c>
      <c r="C139" s="2" t="s">
        <v>134</v>
      </c>
      <c r="D139" s="1" t="str">
        <f t="shared" si="2"/>
        <v>MCS2_1-24_1</v>
      </c>
      <c r="E139" s="10">
        <v>45298</v>
      </c>
      <c r="F139" s="1">
        <v>55</v>
      </c>
      <c r="G139" s="10"/>
    </row>
    <row r="140" spans="1:7" hidden="1" x14ac:dyDescent="0.35">
      <c r="A140" s="1" t="s">
        <v>37</v>
      </c>
      <c r="B140" s="2" t="s">
        <v>61</v>
      </c>
      <c r="C140" s="2" t="s">
        <v>134</v>
      </c>
      <c r="D140" s="1" t="str">
        <f t="shared" si="2"/>
        <v>MCS3_1-24_1</v>
      </c>
      <c r="E140" s="10">
        <v>45298</v>
      </c>
      <c r="F140" s="1">
        <v>54</v>
      </c>
      <c r="G140" s="10"/>
    </row>
    <row r="141" spans="1:7" hidden="1" x14ac:dyDescent="0.35">
      <c r="A141" s="1" t="s">
        <v>38</v>
      </c>
      <c r="B141" s="2" t="s">
        <v>61</v>
      </c>
      <c r="C141" s="2" t="s">
        <v>134</v>
      </c>
      <c r="D141" s="1" t="str">
        <f t="shared" si="2"/>
        <v>MCS4_1-24_1</v>
      </c>
      <c r="E141" s="10">
        <v>45298</v>
      </c>
      <c r="F141" s="1">
        <v>54</v>
      </c>
      <c r="G141" s="10"/>
    </row>
    <row r="142" spans="1:7" hidden="1" x14ac:dyDescent="0.35">
      <c r="A142" s="1" t="s">
        <v>39</v>
      </c>
      <c r="B142" s="2" t="s">
        <v>61</v>
      </c>
      <c r="C142" s="2" t="s">
        <v>134</v>
      </c>
      <c r="D142" s="1" t="str">
        <f t="shared" si="2"/>
        <v>TBHM_1-24_1</v>
      </c>
      <c r="E142" s="10">
        <v>45298</v>
      </c>
      <c r="F142" s="1">
        <v>51</v>
      </c>
      <c r="G142" s="10"/>
    </row>
    <row r="143" spans="1:7" hidden="1" x14ac:dyDescent="0.35">
      <c r="A143" s="1" t="s">
        <v>51</v>
      </c>
      <c r="B143" s="2" t="s">
        <v>61</v>
      </c>
      <c r="C143" s="2" t="s">
        <v>134</v>
      </c>
      <c r="D143" s="1" t="str">
        <f t="shared" si="2"/>
        <v>TBC_1-24_1</v>
      </c>
      <c r="E143" s="10">
        <v>45298</v>
      </c>
      <c r="F143" s="1">
        <v>54</v>
      </c>
      <c r="G143" s="10"/>
    </row>
    <row r="144" spans="1:7" hidden="1" x14ac:dyDescent="0.35">
      <c r="A144" s="1" t="s">
        <v>40</v>
      </c>
      <c r="B144" s="2" t="s">
        <v>61</v>
      </c>
      <c r="C144" s="2" t="s">
        <v>134</v>
      </c>
      <c r="D144" s="1" t="str">
        <f t="shared" si="2"/>
        <v>TBCM_1-24_1</v>
      </c>
      <c r="E144" s="10">
        <v>45298</v>
      </c>
      <c r="F144" s="1">
        <v>53</v>
      </c>
      <c r="G144" s="10"/>
    </row>
    <row r="145" spans="1:7" hidden="1" x14ac:dyDescent="0.35">
      <c r="A145" s="1" t="s">
        <v>41</v>
      </c>
      <c r="B145" s="2" t="s">
        <v>61</v>
      </c>
      <c r="C145" s="2" t="s">
        <v>134</v>
      </c>
      <c r="D145" s="1" t="str">
        <f t="shared" si="2"/>
        <v>TB1_1-24_1</v>
      </c>
      <c r="E145" s="10">
        <v>45298</v>
      </c>
      <c r="F145" s="1">
        <v>53</v>
      </c>
      <c r="G145" s="10"/>
    </row>
    <row r="146" spans="1:7" hidden="1" x14ac:dyDescent="0.35">
      <c r="A146" s="1" t="s">
        <v>42</v>
      </c>
      <c r="B146" s="2" t="s">
        <v>61</v>
      </c>
      <c r="C146" s="2" t="s">
        <v>134</v>
      </c>
      <c r="D146" s="1" t="str">
        <f t="shared" si="2"/>
        <v>TB2_1-24_1</v>
      </c>
      <c r="E146" s="10">
        <v>45298</v>
      </c>
      <c r="F146" s="1">
        <v>53</v>
      </c>
      <c r="G146" s="10"/>
    </row>
    <row r="147" spans="1:7" hidden="1" x14ac:dyDescent="0.35">
      <c r="A147" s="1" t="s">
        <v>52</v>
      </c>
      <c r="B147" s="2" t="s">
        <v>61</v>
      </c>
      <c r="C147" s="2" t="s">
        <v>134</v>
      </c>
      <c r="D147" s="1" t="str">
        <f t="shared" si="2"/>
        <v>WB1_1-24_1</v>
      </c>
      <c r="E147" s="10">
        <v>45298</v>
      </c>
      <c r="F147" s="1">
        <v>51</v>
      </c>
      <c r="G147" s="10"/>
    </row>
    <row r="148" spans="1:7" hidden="1" x14ac:dyDescent="0.35">
      <c r="A148" s="1" t="s">
        <v>53</v>
      </c>
      <c r="B148" s="2" t="s">
        <v>61</v>
      </c>
      <c r="C148" s="2" t="s">
        <v>134</v>
      </c>
      <c r="D148" s="1" t="str">
        <f t="shared" si="2"/>
        <v>WB2_1-24_1</v>
      </c>
      <c r="E148" s="10">
        <v>45298</v>
      </c>
      <c r="F148" s="1">
        <v>55</v>
      </c>
      <c r="G148" s="10"/>
    </row>
    <row r="149" spans="1:7" hidden="1" x14ac:dyDescent="0.35">
      <c r="A149" s="1" t="s">
        <v>35</v>
      </c>
      <c r="B149" s="2" t="s">
        <v>61</v>
      </c>
      <c r="C149" s="2" t="s">
        <v>136</v>
      </c>
      <c r="D149" s="1" t="str">
        <f t="shared" si="2"/>
        <v>MCS1_1-24_2</v>
      </c>
      <c r="E149" s="10">
        <v>45298</v>
      </c>
      <c r="F149" s="1">
        <v>55</v>
      </c>
      <c r="G149" s="10"/>
    </row>
    <row r="150" spans="1:7" hidden="1" x14ac:dyDescent="0.35">
      <c r="A150" s="1" t="s">
        <v>36</v>
      </c>
      <c r="B150" s="2" t="s">
        <v>61</v>
      </c>
      <c r="C150" s="2" t="s">
        <v>136</v>
      </c>
      <c r="D150" s="1" t="str">
        <f t="shared" si="2"/>
        <v>MCS2_1-24_2</v>
      </c>
      <c r="E150" s="10">
        <v>45298</v>
      </c>
      <c r="F150" s="1">
        <v>54</v>
      </c>
      <c r="G150" s="10"/>
    </row>
    <row r="151" spans="1:7" hidden="1" x14ac:dyDescent="0.35">
      <c r="A151" s="1" t="s">
        <v>37</v>
      </c>
      <c r="B151" s="2" t="s">
        <v>61</v>
      </c>
      <c r="C151" s="2" t="s">
        <v>136</v>
      </c>
      <c r="D151" s="1" t="str">
        <f t="shared" si="2"/>
        <v>MCS3_1-24_2</v>
      </c>
      <c r="E151" s="10">
        <v>45298</v>
      </c>
      <c r="F151" s="1">
        <v>51</v>
      </c>
      <c r="G151" s="10"/>
    </row>
    <row r="152" spans="1:7" hidden="1" x14ac:dyDescent="0.35">
      <c r="A152" s="1" t="s">
        <v>38</v>
      </c>
      <c r="B152" s="2" t="s">
        <v>61</v>
      </c>
      <c r="C152" s="2" t="s">
        <v>136</v>
      </c>
      <c r="D152" s="1" t="str">
        <f t="shared" si="2"/>
        <v>MCS4_1-24_2</v>
      </c>
      <c r="E152" s="10">
        <v>45298</v>
      </c>
      <c r="F152" s="1">
        <v>51</v>
      </c>
      <c r="G152" s="10"/>
    </row>
    <row r="153" spans="1:7" hidden="1" x14ac:dyDescent="0.35">
      <c r="A153" s="1" t="s">
        <v>39</v>
      </c>
      <c r="B153" s="2" t="s">
        <v>61</v>
      </c>
      <c r="C153" s="2" t="s">
        <v>136</v>
      </c>
      <c r="D153" s="1" t="str">
        <f t="shared" si="2"/>
        <v>TBHM_1-24_2</v>
      </c>
      <c r="E153" s="10">
        <v>45298</v>
      </c>
      <c r="F153" s="1">
        <v>53</v>
      </c>
      <c r="G153" s="10"/>
    </row>
    <row r="154" spans="1:7" hidden="1" x14ac:dyDescent="0.35">
      <c r="A154" s="1" t="s">
        <v>51</v>
      </c>
      <c r="B154" s="2" t="s">
        <v>61</v>
      </c>
      <c r="C154" s="2" t="s">
        <v>136</v>
      </c>
      <c r="D154" s="1" t="str">
        <f t="shared" si="2"/>
        <v>TBC_1-24_2</v>
      </c>
      <c r="E154" s="10">
        <v>45298</v>
      </c>
      <c r="F154" s="1">
        <v>53</v>
      </c>
      <c r="G154" s="10"/>
    </row>
    <row r="155" spans="1:7" hidden="1" x14ac:dyDescent="0.35">
      <c r="A155" s="1" t="s">
        <v>40</v>
      </c>
      <c r="B155" s="2" t="s">
        <v>61</v>
      </c>
      <c r="C155" s="2" t="s">
        <v>136</v>
      </c>
      <c r="D155" s="1" t="str">
        <f t="shared" si="2"/>
        <v>TBCM_1-24_2</v>
      </c>
      <c r="E155" s="10">
        <v>45298</v>
      </c>
      <c r="F155" s="1">
        <v>50</v>
      </c>
      <c r="G155" s="10"/>
    </row>
    <row r="156" spans="1:7" hidden="1" x14ac:dyDescent="0.35">
      <c r="A156" s="1" t="s">
        <v>41</v>
      </c>
      <c r="B156" s="2" t="s">
        <v>61</v>
      </c>
      <c r="C156" s="2" t="s">
        <v>136</v>
      </c>
      <c r="D156" s="1" t="str">
        <f t="shared" si="2"/>
        <v>TB1_1-24_2</v>
      </c>
      <c r="E156" s="10">
        <v>45298</v>
      </c>
      <c r="F156" s="1">
        <v>55</v>
      </c>
      <c r="G156" s="10"/>
    </row>
    <row r="157" spans="1:7" hidden="1" x14ac:dyDescent="0.35">
      <c r="A157" s="1" t="s">
        <v>42</v>
      </c>
      <c r="B157" s="2" t="s">
        <v>61</v>
      </c>
      <c r="C157" s="2" t="s">
        <v>136</v>
      </c>
      <c r="D157" s="1" t="str">
        <f t="shared" si="2"/>
        <v>TB2_1-24_2</v>
      </c>
      <c r="E157" s="10">
        <v>45298</v>
      </c>
      <c r="F157" s="1">
        <v>52</v>
      </c>
      <c r="G157" s="10"/>
    </row>
    <row r="158" spans="1:7" hidden="1" x14ac:dyDescent="0.35">
      <c r="A158" s="1" t="s">
        <v>52</v>
      </c>
      <c r="B158" s="2" t="s">
        <v>61</v>
      </c>
      <c r="C158" s="2" t="s">
        <v>136</v>
      </c>
      <c r="D158" s="1" t="str">
        <f t="shared" si="2"/>
        <v>WB1_1-24_2</v>
      </c>
      <c r="E158" s="10">
        <v>45298</v>
      </c>
      <c r="F158" s="1">
        <v>53</v>
      </c>
      <c r="G158" s="10"/>
    </row>
    <row r="159" spans="1:7" hidden="1" x14ac:dyDescent="0.35">
      <c r="A159" s="1" t="s">
        <v>53</v>
      </c>
      <c r="B159" s="2" t="s">
        <v>61</v>
      </c>
      <c r="C159" s="2" t="s">
        <v>136</v>
      </c>
      <c r="D159" s="1" t="str">
        <f t="shared" si="2"/>
        <v>WB2_1-24_2</v>
      </c>
      <c r="E159" s="10">
        <v>45298</v>
      </c>
      <c r="F159" s="1">
        <v>53</v>
      </c>
      <c r="G159" s="10"/>
    </row>
    <row r="160" spans="1:7" hidden="1" x14ac:dyDescent="0.35">
      <c r="A160" s="1" t="s">
        <v>24</v>
      </c>
      <c r="B160" s="2" t="s">
        <v>61</v>
      </c>
      <c r="C160" s="2" t="s">
        <v>134</v>
      </c>
      <c r="D160" s="1" t="str">
        <f t="shared" si="2"/>
        <v>ACS1_1-24_1</v>
      </c>
      <c r="E160" s="10">
        <v>45302</v>
      </c>
      <c r="F160" s="1">
        <v>25</v>
      </c>
      <c r="G160" s="10"/>
    </row>
    <row r="161" spans="1:8" hidden="1" x14ac:dyDescent="0.35">
      <c r="A161" s="1" t="s">
        <v>25</v>
      </c>
      <c r="B161" s="2" t="s">
        <v>61</v>
      </c>
      <c r="C161" s="2" t="s">
        <v>134</v>
      </c>
      <c r="D161" s="1" t="str">
        <f t="shared" si="2"/>
        <v>ACS2_1-24_1</v>
      </c>
      <c r="E161" s="10">
        <v>45302</v>
      </c>
      <c r="F161" s="1">
        <v>25</v>
      </c>
      <c r="G161" s="10"/>
    </row>
    <row r="162" spans="1:8" hidden="1" x14ac:dyDescent="0.35">
      <c r="A162" s="1" t="s">
        <v>26</v>
      </c>
      <c r="B162" s="2" t="s">
        <v>61</v>
      </c>
      <c r="C162" s="2" t="s">
        <v>134</v>
      </c>
      <c r="D162" s="1" t="str">
        <f t="shared" si="2"/>
        <v>ACS3_1-24_1</v>
      </c>
      <c r="E162" s="10">
        <v>45302</v>
      </c>
      <c r="F162" s="1">
        <v>25</v>
      </c>
      <c r="G162" s="10"/>
    </row>
    <row r="163" spans="1:8" hidden="1" x14ac:dyDescent="0.35">
      <c r="A163" s="1" t="s">
        <v>27</v>
      </c>
      <c r="B163" s="2" t="s">
        <v>61</v>
      </c>
      <c r="C163" s="2" t="s">
        <v>134</v>
      </c>
      <c r="D163" s="1" t="str">
        <f t="shared" si="2"/>
        <v>ACS4_1-24_1</v>
      </c>
      <c r="E163" s="10">
        <v>45302</v>
      </c>
      <c r="F163" s="1">
        <v>51</v>
      </c>
      <c r="G163" s="10"/>
    </row>
    <row r="164" spans="1:8" hidden="1" x14ac:dyDescent="0.35">
      <c r="A164" s="1" t="s">
        <v>28</v>
      </c>
      <c r="B164" s="2" t="s">
        <v>61</v>
      </c>
      <c r="C164" s="2" t="s">
        <v>134</v>
      </c>
      <c r="D164" s="1" t="str">
        <f t="shared" si="2"/>
        <v>ACS5_1-24_1</v>
      </c>
      <c r="E164" s="10">
        <v>45302</v>
      </c>
      <c r="F164" s="1">
        <v>51</v>
      </c>
      <c r="G164" s="10"/>
    </row>
    <row r="165" spans="1:8" hidden="1" x14ac:dyDescent="0.35">
      <c r="A165" s="1" t="s">
        <v>29</v>
      </c>
      <c r="B165" s="2" t="s">
        <v>61</v>
      </c>
      <c r="C165" s="2" t="s">
        <v>134</v>
      </c>
      <c r="D165" s="1" t="str">
        <f t="shared" si="2"/>
        <v>GBHM_1-24_1</v>
      </c>
      <c r="E165" s="10">
        <v>45302</v>
      </c>
      <c r="F165" s="1">
        <v>51</v>
      </c>
      <c r="G165" s="10"/>
    </row>
    <row r="166" spans="1:8" hidden="1" x14ac:dyDescent="0.35">
      <c r="A166" s="1" t="s">
        <v>30</v>
      </c>
      <c r="B166" s="2" t="s">
        <v>61</v>
      </c>
      <c r="C166" s="2" t="s">
        <v>134</v>
      </c>
      <c r="D166" s="1" t="str">
        <f t="shared" si="2"/>
        <v>DC1_1-24_1</v>
      </c>
      <c r="E166" s="10">
        <v>45302</v>
      </c>
      <c r="F166" s="1">
        <v>52</v>
      </c>
      <c r="G166" s="10"/>
    </row>
    <row r="167" spans="1:8" hidden="1" x14ac:dyDescent="0.35">
      <c r="A167" s="1" t="s">
        <v>31</v>
      </c>
      <c r="B167" s="2" t="s">
        <v>61</v>
      </c>
      <c r="C167" s="2" t="s">
        <v>134</v>
      </c>
      <c r="D167" s="1" t="str">
        <f t="shared" si="2"/>
        <v>DCM1_1-24_1</v>
      </c>
      <c r="E167" s="10">
        <v>45302</v>
      </c>
      <c r="F167" s="1">
        <v>52</v>
      </c>
      <c r="G167" s="10"/>
    </row>
    <row r="168" spans="1:8" hidden="1" x14ac:dyDescent="0.35">
      <c r="A168" s="1" t="s">
        <v>32</v>
      </c>
      <c r="B168" s="2" t="s">
        <v>61</v>
      </c>
      <c r="C168" s="2" t="s">
        <v>134</v>
      </c>
      <c r="D168" s="1" t="str">
        <f t="shared" si="2"/>
        <v>DC2_1-24_1</v>
      </c>
      <c r="E168" s="10">
        <v>45302</v>
      </c>
      <c r="F168" s="1">
        <v>51</v>
      </c>
      <c r="G168" s="10"/>
    </row>
    <row r="169" spans="1:8" hidden="1" x14ac:dyDescent="0.35">
      <c r="A169" s="1" t="s">
        <v>33</v>
      </c>
      <c r="B169" s="2" t="s">
        <v>61</v>
      </c>
      <c r="C169" s="2" t="s">
        <v>134</v>
      </c>
      <c r="D169" s="1" t="str">
        <f t="shared" si="2"/>
        <v>DCM2_1-24_1</v>
      </c>
      <c r="E169" s="10">
        <v>45302</v>
      </c>
      <c r="F169" s="1">
        <v>52</v>
      </c>
      <c r="G169" s="10"/>
    </row>
    <row r="170" spans="1:8" x14ac:dyDescent="0.35">
      <c r="A170" s="1" t="s">
        <v>34</v>
      </c>
      <c r="B170" s="2" t="s">
        <v>61</v>
      </c>
      <c r="C170" s="2" t="s">
        <v>134</v>
      </c>
      <c r="D170" s="1" t="str">
        <f t="shared" si="2"/>
        <v>GB1_1-24_1</v>
      </c>
      <c r="E170" s="10">
        <v>45302</v>
      </c>
      <c r="F170" s="1">
        <v>51</v>
      </c>
      <c r="G170" s="10">
        <v>45602</v>
      </c>
      <c r="H170" s="1">
        <v>15.17</v>
      </c>
    </row>
    <row r="171" spans="1:8" hidden="1" x14ac:dyDescent="0.35">
      <c r="A171" s="1" t="s">
        <v>24</v>
      </c>
      <c r="B171" s="2" t="s">
        <v>61</v>
      </c>
      <c r="C171" s="2" t="s">
        <v>136</v>
      </c>
      <c r="D171" s="1" t="str">
        <f t="shared" si="2"/>
        <v>ACS1_1-24_2</v>
      </c>
      <c r="E171" s="10">
        <v>45302</v>
      </c>
      <c r="F171" s="1">
        <v>25</v>
      </c>
      <c r="G171" s="10"/>
    </row>
    <row r="172" spans="1:8" hidden="1" x14ac:dyDescent="0.35">
      <c r="A172" s="1" t="s">
        <v>25</v>
      </c>
      <c r="B172" s="2" t="s">
        <v>61</v>
      </c>
      <c r="C172" s="2" t="s">
        <v>136</v>
      </c>
      <c r="D172" s="1" t="str">
        <f t="shared" si="2"/>
        <v>ACS2_1-24_2</v>
      </c>
      <c r="E172" s="10">
        <v>45302</v>
      </c>
      <c r="F172" s="1" t="s">
        <v>135</v>
      </c>
      <c r="G172" s="10">
        <v>45602</v>
      </c>
    </row>
    <row r="173" spans="1:8" hidden="1" x14ac:dyDescent="0.35">
      <c r="A173" s="1" t="s">
        <v>26</v>
      </c>
      <c r="B173" s="2" t="s">
        <v>61</v>
      </c>
      <c r="C173" s="2" t="s">
        <v>136</v>
      </c>
      <c r="D173" s="1" t="str">
        <f t="shared" si="2"/>
        <v>ACS3_1-24_2</v>
      </c>
      <c r="E173" s="10">
        <v>45302</v>
      </c>
      <c r="F173" s="1" t="s">
        <v>135</v>
      </c>
      <c r="G173" s="10">
        <v>45602</v>
      </c>
    </row>
    <row r="174" spans="1:8" hidden="1" x14ac:dyDescent="0.35">
      <c r="A174" s="1" t="s">
        <v>27</v>
      </c>
      <c r="B174" s="2" t="s">
        <v>61</v>
      </c>
      <c r="C174" s="2" t="s">
        <v>136</v>
      </c>
      <c r="D174" s="1" t="str">
        <f t="shared" si="2"/>
        <v>ACS4_1-24_2</v>
      </c>
      <c r="E174" s="10">
        <v>45302</v>
      </c>
      <c r="F174" s="1">
        <v>51</v>
      </c>
      <c r="G174" s="10"/>
    </row>
    <row r="175" spans="1:8" hidden="1" x14ac:dyDescent="0.35">
      <c r="A175" s="1" t="s">
        <v>28</v>
      </c>
      <c r="B175" s="2" t="s">
        <v>61</v>
      </c>
      <c r="C175" s="2" t="s">
        <v>136</v>
      </c>
      <c r="D175" s="1" t="str">
        <f t="shared" si="2"/>
        <v>ACS5_1-24_2</v>
      </c>
      <c r="E175" s="10">
        <v>45302</v>
      </c>
      <c r="F175" s="1">
        <v>30</v>
      </c>
      <c r="G175" s="10"/>
    </row>
    <row r="176" spans="1:8" hidden="1" x14ac:dyDescent="0.35">
      <c r="A176" s="1" t="s">
        <v>29</v>
      </c>
      <c r="B176" s="2" t="s">
        <v>61</v>
      </c>
      <c r="C176" s="2" t="s">
        <v>136</v>
      </c>
      <c r="D176" s="1" t="str">
        <f t="shared" si="2"/>
        <v>GBHM_1-24_2</v>
      </c>
      <c r="E176" s="10">
        <v>45302</v>
      </c>
      <c r="F176" s="1">
        <v>50</v>
      </c>
      <c r="G176" s="10"/>
    </row>
    <row r="177" spans="1:8" hidden="1" x14ac:dyDescent="0.35">
      <c r="A177" s="1" t="s">
        <v>30</v>
      </c>
      <c r="B177" s="2" t="s">
        <v>61</v>
      </c>
      <c r="C177" s="2" t="s">
        <v>136</v>
      </c>
      <c r="D177" s="1" t="str">
        <f t="shared" si="2"/>
        <v>DC1_1-24_2</v>
      </c>
      <c r="E177" s="10">
        <v>45302</v>
      </c>
      <c r="F177" s="1">
        <v>52</v>
      </c>
      <c r="G177" s="10"/>
    </row>
    <row r="178" spans="1:8" hidden="1" x14ac:dyDescent="0.35">
      <c r="A178" s="1" t="s">
        <v>31</v>
      </c>
      <c r="B178" s="2" t="s">
        <v>61</v>
      </c>
      <c r="C178" s="2" t="s">
        <v>136</v>
      </c>
      <c r="D178" s="1" t="str">
        <f t="shared" si="2"/>
        <v>DCM1_1-24_2</v>
      </c>
      <c r="E178" s="10">
        <v>45302</v>
      </c>
      <c r="F178" s="1">
        <v>53</v>
      </c>
      <c r="G178" s="10"/>
    </row>
    <row r="179" spans="1:8" hidden="1" x14ac:dyDescent="0.35">
      <c r="A179" s="1" t="s">
        <v>32</v>
      </c>
      <c r="B179" s="2" t="s">
        <v>61</v>
      </c>
      <c r="C179" s="2" t="s">
        <v>136</v>
      </c>
      <c r="D179" s="1" t="str">
        <f t="shared" si="2"/>
        <v>DC2_1-24_2</v>
      </c>
      <c r="E179" s="10">
        <v>45302</v>
      </c>
      <c r="F179" s="1">
        <v>51</v>
      </c>
      <c r="G179" s="10"/>
    </row>
    <row r="180" spans="1:8" hidden="1" x14ac:dyDescent="0.35">
      <c r="A180" s="1" t="s">
        <v>33</v>
      </c>
      <c r="B180" s="2" t="s">
        <v>61</v>
      </c>
      <c r="C180" s="2" t="s">
        <v>136</v>
      </c>
      <c r="D180" s="1" t="str">
        <f t="shared" si="2"/>
        <v>DCM2_1-24_2</v>
      </c>
      <c r="E180" s="10">
        <v>45302</v>
      </c>
      <c r="F180" s="1">
        <v>51</v>
      </c>
      <c r="G180" s="10"/>
    </row>
    <row r="181" spans="1:8" x14ac:dyDescent="0.35">
      <c r="A181" s="1" t="s">
        <v>34</v>
      </c>
      <c r="B181" s="2" t="s">
        <v>61</v>
      </c>
      <c r="C181" s="2" t="s">
        <v>136</v>
      </c>
      <c r="D181" s="1" t="str">
        <f t="shared" si="2"/>
        <v>GB1_1-24_2</v>
      </c>
      <c r="E181" s="10">
        <v>45302</v>
      </c>
      <c r="F181" s="1">
        <v>52</v>
      </c>
      <c r="G181" s="10">
        <v>45602</v>
      </c>
      <c r="H181" s="1">
        <v>16.8</v>
      </c>
    </row>
    <row r="182" spans="1:8" hidden="1" x14ac:dyDescent="0.35">
      <c r="A182" s="1" t="s">
        <v>45</v>
      </c>
      <c r="B182" s="2" t="s">
        <v>61</v>
      </c>
      <c r="C182" s="2" t="s">
        <v>134</v>
      </c>
      <c r="D182" s="1" t="str">
        <f t="shared" si="2"/>
        <v>TSM1_1-24_1</v>
      </c>
      <c r="E182" s="10">
        <v>45324</v>
      </c>
      <c r="F182" s="1" t="s">
        <v>135</v>
      </c>
      <c r="G182" s="1" t="s">
        <v>135</v>
      </c>
      <c r="H182" s="1" t="s">
        <v>135</v>
      </c>
    </row>
    <row r="183" spans="1:8" hidden="1" x14ac:dyDescent="0.35">
      <c r="A183" s="1" t="s">
        <v>46</v>
      </c>
      <c r="B183" s="2" t="s">
        <v>61</v>
      </c>
      <c r="C183" s="2" t="s">
        <v>134</v>
      </c>
      <c r="D183" s="1" t="str">
        <f t="shared" si="2"/>
        <v>TSM3_1-24_1</v>
      </c>
      <c r="E183" s="10">
        <v>45324</v>
      </c>
      <c r="F183" s="1" t="s">
        <v>135</v>
      </c>
      <c r="G183" s="1" t="s">
        <v>135</v>
      </c>
      <c r="H183" s="1" t="s">
        <v>135</v>
      </c>
    </row>
    <row r="184" spans="1:8" hidden="1" x14ac:dyDescent="0.35">
      <c r="A184" s="1" t="s">
        <v>47</v>
      </c>
      <c r="B184" s="2" t="s">
        <v>61</v>
      </c>
      <c r="C184" s="2" t="s">
        <v>134</v>
      </c>
      <c r="D184" s="1" t="str">
        <f t="shared" si="2"/>
        <v>TSM4_1-24_1</v>
      </c>
      <c r="E184" s="10">
        <v>45324</v>
      </c>
      <c r="F184" s="1" t="s">
        <v>135</v>
      </c>
      <c r="G184" s="1" t="s">
        <v>135</v>
      </c>
      <c r="H184" s="1" t="s">
        <v>135</v>
      </c>
    </row>
    <row r="185" spans="1:8" hidden="1" x14ac:dyDescent="0.35">
      <c r="A185" s="1" t="s">
        <v>48</v>
      </c>
      <c r="B185" s="2" t="s">
        <v>61</v>
      </c>
      <c r="C185" s="2" t="s">
        <v>134</v>
      </c>
      <c r="D185" s="1" t="str">
        <f t="shared" si="2"/>
        <v>SBT1_1-24_1</v>
      </c>
      <c r="E185" s="10">
        <v>45324</v>
      </c>
      <c r="F185" s="1">
        <v>52</v>
      </c>
      <c r="G185" s="10">
        <v>45602</v>
      </c>
      <c r="H185" s="1">
        <v>134.87</v>
      </c>
    </row>
    <row r="186" spans="1:8" hidden="1" x14ac:dyDescent="0.35">
      <c r="A186" s="1" t="s">
        <v>45</v>
      </c>
      <c r="B186" s="2" t="s">
        <v>61</v>
      </c>
      <c r="C186" s="2" t="s">
        <v>136</v>
      </c>
      <c r="D186" s="1" t="str">
        <f t="shared" si="2"/>
        <v>TSM1_1-24_2</v>
      </c>
      <c r="E186" s="10">
        <v>45324</v>
      </c>
      <c r="F186" s="1" t="s">
        <v>135</v>
      </c>
      <c r="G186" s="1" t="s">
        <v>135</v>
      </c>
      <c r="H186" s="1" t="s">
        <v>135</v>
      </c>
    </row>
    <row r="187" spans="1:8" hidden="1" x14ac:dyDescent="0.35">
      <c r="A187" s="1" t="s">
        <v>46</v>
      </c>
      <c r="B187" s="2" t="s">
        <v>61</v>
      </c>
      <c r="C187" s="2" t="s">
        <v>136</v>
      </c>
      <c r="D187" s="1" t="str">
        <f t="shared" si="2"/>
        <v>TSM3_1-24_2</v>
      </c>
      <c r="E187" s="10">
        <v>45324</v>
      </c>
      <c r="F187" s="1" t="s">
        <v>135</v>
      </c>
      <c r="G187" s="1" t="s">
        <v>135</v>
      </c>
      <c r="H187" s="1" t="s">
        <v>135</v>
      </c>
    </row>
    <row r="188" spans="1:8" hidden="1" x14ac:dyDescent="0.35">
      <c r="A188" s="1" t="s">
        <v>47</v>
      </c>
      <c r="B188" s="2" t="s">
        <v>61</v>
      </c>
      <c r="C188" s="2" t="s">
        <v>136</v>
      </c>
      <c r="D188" s="1" t="str">
        <f t="shared" si="2"/>
        <v>TSM4_1-24_2</v>
      </c>
      <c r="E188" s="10">
        <v>45324</v>
      </c>
      <c r="F188" s="1" t="s">
        <v>135</v>
      </c>
      <c r="G188" s="1" t="s">
        <v>135</v>
      </c>
      <c r="H188" s="1" t="s">
        <v>135</v>
      </c>
    </row>
    <row r="189" spans="1:8" hidden="1" x14ac:dyDescent="0.35">
      <c r="A189" s="1" t="s">
        <v>48</v>
      </c>
      <c r="B189" s="2" t="s">
        <v>61</v>
      </c>
      <c r="C189" s="2" t="s">
        <v>136</v>
      </c>
      <c r="D189" s="1" t="str">
        <f t="shared" si="2"/>
        <v>SBT1_1-24_2</v>
      </c>
      <c r="E189" s="10">
        <v>45324</v>
      </c>
      <c r="F189" s="1">
        <v>54</v>
      </c>
      <c r="G189" s="10">
        <v>45602</v>
      </c>
      <c r="H189" s="1">
        <v>138.94999999999999</v>
      </c>
    </row>
    <row r="190" spans="1:8" hidden="1" x14ac:dyDescent="0.35">
      <c r="A190" s="1" t="s">
        <v>14</v>
      </c>
      <c r="B190" s="2" t="s">
        <v>62</v>
      </c>
      <c r="C190" s="2" t="s">
        <v>134</v>
      </c>
      <c r="D190" s="1" t="str">
        <f t="shared" si="2"/>
        <v>P37_3-24_1</v>
      </c>
      <c r="E190" s="10">
        <v>45358</v>
      </c>
      <c r="F190" s="1" t="s">
        <v>135</v>
      </c>
      <c r="G190" s="1" t="s">
        <v>135</v>
      </c>
      <c r="H190" s="1" t="s">
        <v>135</v>
      </c>
    </row>
    <row r="191" spans="1:8" hidden="1" x14ac:dyDescent="0.35">
      <c r="A191" s="1" t="s">
        <v>19</v>
      </c>
      <c r="B191" s="2" t="s">
        <v>62</v>
      </c>
      <c r="C191" s="2" t="s">
        <v>134</v>
      </c>
      <c r="D191" s="1" t="str">
        <f t="shared" ref="D191:D254" si="3">A191&amp;"_"&amp;B191&amp;"_"&amp;C191</f>
        <v>NCL_3-24_1</v>
      </c>
      <c r="E191" s="10">
        <v>45358</v>
      </c>
      <c r="F191" s="1" t="s">
        <v>135</v>
      </c>
      <c r="G191" s="1" t="s">
        <v>135</v>
      </c>
      <c r="H191" s="1" t="s">
        <v>135</v>
      </c>
    </row>
    <row r="192" spans="1:8" hidden="1" x14ac:dyDescent="0.35">
      <c r="A192" s="1" t="s">
        <v>20</v>
      </c>
      <c r="B192" s="2" t="s">
        <v>62</v>
      </c>
      <c r="C192" s="2" t="s">
        <v>134</v>
      </c>
      <c r="D192" s="1" t="str">
        <f t="shared" si="3"/>
        <v>CP_3-24_1</v>
      </c>
      <c r="E192" s="10">
        <v>45358</v>
      </c>
      <c r="F192" s="1" t="s">
        <v>135</v>
      </c>
      <c r="G192" s="1" t="s">
        <v>135</v>
      </c>
      <c r="H192" s="1" t="s">
        <v>135</v>
      </c>
    </row>
    <row r="193" spans="1:8" hidden="1" x14ac:dyDescent="0.35">
      <c r="A193" s="1" t="s">
        <v>21</v>
      </c>
      <c r="B193" s="2" t="s">
        <v>62</v>
      </c>
      <c r="C193" s="2" t="s">
        <v>134</v>
      </c>
      <c r="D193" s="1" t="str">
        <f t="shared" si="3"/>
        <v>EP146_3-24_1</v>
      </c>
      <c r="E193" s="10">
        <v>45358</v>
      </c>
      <c r="F193" s="1" t="s">
        <v>135</v>
      </c>
      <c r="G193" s="1" t="s">
        <v>135</v>
      </c>
      <c r="H193" s="1" t="s">
        <v>135</v>
      </c>
    </row>
    <row r="194" spans="1:8" hidden="1" x14ac:dyDescent="0.35">
      <c r="A194" s="1" t="s">
        <v>22</v>
      </c>
      <c r="B194" s="2" t="s">
        <v>62</v>
      </c>
      <c r="C194" s="2" t="s">
        <v>134</v>
      </c>
      <c r="D194" s="1" t="str">
        <f t="shared" si="3"/>
        <v>OL_3-24_1</v>
      </c>
      <c r="E194" s="10">
        <v>45358</v>
      </c>
      <c r="F194" s="1" t="s">
        <v>135</v>
      </c>
      <c r="G194" s="1" t="s">
        <v>135</v>
      </c>
      <c r="H194" s="1" t="s">
        <v>135</v>
      </c>
    </row>
    <row r="195" spans="1:8" hidden="1" x14ac:dyDescent="0.35">
      <c r="A195" s="1" t="s">
        <v>58</v>
      </c>
      <c r="B195" s="2" t="s">
        <v>62</v>
      </c>
      <c r="C195" s="2" t="s">
        <v>134</v>
      </c>
      <c r="D195" s="1" t="str">
        <f t="shared" si="3"/>
        <v>TSH_3-24_1</v>
      </c>
      <c r="E195" s="10">
        <v>45358</v>
      </c>
      <c r="F195" s="1" t="s">
        <v>135</v>
      </c>
      <c r="G195" s="1" t="s">
        <v>135</v>
      </c>
      <c r="H195" s="1" t="s">
        <v>135</v>
      </c>
    </row>
    <row r="196" spans="1:8" hidden="1" x14ac:dyDescent="0.35">
      <c r="A196" s="1" t="s">
        <v>23</v>
      </c>
      <c r="B196" s="2" t="s">
        <v>62</v>
      </c>
      <c r="C196" s="2" t="s">
        <v>134</v>
      </c>
      <c r="D196" s="1" t="str">
        <f t="shared" si="3"/>
        <v>R127_3-24_1</v>
      </c>
      <c r="E196" s="10">
        <v>45358</v>
      </c>
      <c r="F196" s="1" t="s">
        <v>135</v>
      </c>
      <c r="G196" s="1" t="s">
        <v>135</v>
      </c>
      <c r="H196" s="1" t="s">
        <v>135</v>
      </c>
    </row>
    <row r="197" spans="1:8" hidden="1" x14ac:dyDescent="0.35">
      <c r="A197" s="1" t="s">
        <v>14</v>
      </c>
      <c r="B197" s="2" t="s">
        <v>62</v>
      </c>
      <c r="C197" s="2" t="s">
        <v>136</v>
      </c>
      <c r="D197" s="1" t="str">
        <f t="shared" si="3"/>
        <v>P37_3-24_2</v>
      </c>
      <c r="E197" s="10">
        <v>45358</v>
      </c>
      <c r="F197" s="1" t="s">
        <v>135</v>
      </c>
      <c r="G197" s="1" t="s">
        <v>135</v>
      </c>
      <c r="H197" s="1" t="s">
        <v>135</v>
      </c>
    </row>
    <row r="198" spans="1:8" hidden="1" x14ac:dyDescent="0.35">
      <c r="A198" s="1" t="s">
        <v>19</v>
      </c>
      <c r="B198" s="2" t="s">
        <v>62</v>
      </c>
      <c r="C198" s="2" t="s">
        <v>136</v>
      </c>
      <c r="D198" s="1" t="str">
        <f t="shared" si="3"/>
        <v>NCL_3-24_2</v>
      </c>
      <c r="E198" s="10">
        <v>45358</v>
      </c>
      <c r="F198" s="1" t="s">
        <v>135</v>
      </c>
      <c r="G198" s="1" t="s">
        <v>135</v>
      </c>
      <c r="H198" s="1" t="s">
        <v>135</v>
      </c>
    </row>
    <row r="199" spans="1:8" hidden="1" x14ac:dyDescent="0.35">
      <c r="A199" s="1" t="s">
        <v>20</v>
      </c>
      <c r="B199" s="2" t="s">
        <v>62</v>
      </c>
      <c r="C199" s="2" t="s">
        <v>136</v>
      </c>
      <c r="D199" s="1" t="str">
        <f t="shared" si="3"/>
        <v>CP_3-24_2</v>
      </c>
      <c r="E199" s="10">
        <v>45358</v>
      </c>
      <c r="F199" s="1" t="s">
        <v>135</v>
      </c>
      <c r="G199" s="1" t="s">
        <v>135</v>
      </c>
      <c r="H199" s="1" t="s">
        <v>135</v>
      </c>
    </row>
    <row r="200" spans="1:8" hidden="1" x14ac:dyDescent="0.35">
      <c r="A200" s="1" t="s">
        <v>21</v>
      </c>
      <c r="B200" s="2" t="s">
        <v>62</v>
      </c>
      <c r="C200" s="2" t="s">
        <v>136</v>
      </c>
      <c r="D200" s="1" t="str">
        <f t="shared" si="3"/>
        <v>EP146_3-24_2</v>
      </c>
      <c r="E200" s="10">
        <v>45358</v>
      </c>
      <c r="F200" s="1" t="s">
        <v>135</v>
      </c>
      <c r="G200" s="1" t="s">
        <v>135</v>
      </c>
      <c r="H200" s="1" t="s">
        <v>135</v>
      </c>
    </row>
    <row r="201" spans="1:8" hidden="1" x14ac:dyDescent="0.35">
      <c r="A201" s="1" t="s">
        <v>22</v>
      </c>
      <c r="B201" s="2" t="s">
        <v>62</v>
      </c>
      <c r="C201" s="2" t="s">
        <v>136</v>
      </c>
      <c r="D201" s="1" t="str">
        <f t="shared" si="3"/>
        <v>OL_3-24_2</v>
      </c>
      <c r="E201" s="10">
        <v>45358</v>
      </c>
      <c r="F201" s="1" t="s">
        <v>135</v>
      </c>
      <c r="G201" s="1" t="s">
        <v>135</v>
      </c>
      <c r="H201" s="1" t="s">
        <v>135</v>
      </c>
    </row>
    <row r="202" spans="1:8" hidden="1" x14ac:dyDescent="0.35">
      <c r="A202" s="1" t="s">
        <v>58</v>
      </c>
      <c r="B202" s="2" t="s">
        <v>62</v>
      </c>
      <c r="C202" s="2" t="s">
        <v>136</v>
      </c>
      <c r="D202" s="1" t="str">
        <f t="shared" si="3"/>
        <v>TSH_3-24_2</v>
      </c>
      <c r="E202" s="10">
        <v>45358</v>
      </c>
      <c r="F202" s="1" t="s">
        <v>135</v>
      </c>
      <c r="G202" s="1" t="s">
        <v>135</v>
      </c>
      <c r="H202" s="1" t="s">
        <v>135</v>
      </c>
    </row>
    <row r="203" spans="1:8" hidden="1" x14ac:dyDescent="0.35">
      <c r="A203" s="1" t="s">
        <v>23</v>
      </c>
      <c r="B203" s="2" t="s">
        <v>62</v>
      </c>
      <c r="C203" s="2" t="s">
        <v>136</v>
      </c>
      <c r="D203" s="1" t="str">
        <f t="shared" si="3"/>
        <v>R127_3-24_2</v>
      </c>
      <c r="E203" s="10">
        <v>45358</v>
      </c>
      <c r="F203" s="1" t="s">
        <v>135</v>
      </c>
      <c r="G203" s="1" t="s">
        <v>135</v>
      </c>
      <c r="H203" s="1" t="s">
        <v>135</v>
      </c>
    </row>
    <row r="204" spans="1:8" x14ac:dyDescent="0.35">
      <c r="A204" s="1" t="s">
        <v>35</v>
      </c>
      <c r="B204" s="2" t="s">
        <v>63</v>
      </c>
      <c r="C204" s="2" t="s">
        <v>134</v>
      </c>
      <c r="D204" s="1" t="str">
        <f t="shared" si="3"/>
        <v>MCS1_4-24_1</v>
      </c>
      <c r="E204" s="10">
        <v>45390</v>
      </c>
      <c r="F204" s="1">
        <v>50</v>
      </c>
      <c r="G204" s="10">
        <v>45602</v>
      </c>
      <c r="H204" s="1">
        <v>8.17</v>
      </c>
    </row>
    <row r="205" spans="1:8" x14ac:dyDescent="0.35">
      <c r="A205" s="1" t="s">
        <v>36</v>
      </c>
      <c r="B205" s="2" t="s">
        <v>63</v>
      </c>
      <c r="C205" s="2" t="s">
        <v>134</v>
      </c>
      <c r="D205" s="1" t="str">
        <f t="shared" si="3"/>
        <v>MCS2_4-24_1</v>
      </c>
      <c r="E205" s="10">
        <v>45390</v>
      </c>
      <c r="F205" s="1">
        <v>50</v>
      </c>
      <c r="G205" s="10">
        <v>45602</v>
      </c>
      <c r="H205" s="1">
        <v>26.73</v>
      </c>
    </row>
    <row r="206" spans="1:8" x14ac:dyDescent="0.35">
      <c r="A206" s="1" t="s">
        <v>37</v>
      </c>
      <c r="B206" s="2" t="s">
        <v>63</v>
      </c>
      <c r="C206" s="2" t="s">
        <v>134</v>
      </c>
      <c r="D206" s="1" t="str">
        <f t="shared" si="3"/>
        <v>MCS3_4-24_1</v>
      </c>
      <c r="E206" s="10">
        <v>45390</v>
      </c>
      <c r="F206" s="1">
        <v>50</v>
      </c>
      <c r="G206" s="10">
        <v>45602</v>
      </c>
      <c r="H206" s="1">
        <v>18.149999999999999</v>
      </c>
    </row>
    <row r="207" spans="1:8" x14ac:dyDescent="0.35">
      <c r="A207" s="1" t="s">
        <v>38</v>
      </c>
      <c r="B207" s="2" t="s">
        <v>63</v>
      </c>
      <c r="C207" s="2" t="s">
        <v>134</v>
      </c>
      <c r="D207" s="1" t="str">
        <f t="shared" si="3"/>
        <v>MCS4_4-24_1</v>
      </c>
      <c r="E207" s="10">
        <v>45390</v>
      </c>
      <c r="F207" s="1">
        <v>48</v>
      </c>
      <c r="G207" s="10">
        <v>45602</v>
      </c>
      <c r="H207" s="1">
        <v>22.51</v>
      </c>
    </row>
    <row r="208" spans="1:8" x14ac:dyDescent="0.35">
      <c r="A208" s="1" t="s">
        <v>39</v>
      </c>
      <c r="B208" s="2" t="s">
        <v>63</v>
      </c>
      <c r="C208" s="2" t="s">
        <v>134</v>
      </c>
      <c r="D208" s="1" t="str">
        <f t="shared" si="3"/>
        <v>TBHM_4-24_1</v>
      </c>
      <c r="E208" s="10">
        <v>45390</v>
      </c>
      <c r="F208" s="1">
        <v>28</v>
      </c>
      <c r="G208" s="10">
        <v>45602</v>
      </c>
      <c r="H208" s="1">
        <v>13.47</v>
      </c>
    </row>
    <row r="209" spans="1:8" x14ac:dyDescent="0.35">
      <c r="A209" s="1" t="s">
        <v>51</v>
      </c>
      <c r="B209" s="2" t="s">
        <v>63</v>
      </c>
      <c r="C209" s="2" t="s">
        <v>134</v>
      </c>
      <c r="D209" s="1" t="str">
        <f t="shared" si="3"/>
        <v>TBC_4-24_1</v>
      </c>
      <c r="E209" s="10">
        <v>45390</v>
      </c>
      <c r="F209" s="1">
        <v>50</v>
      </c>
      <c r="G209" s="10">
        <v>45602</v>
      </c>
      <c r="H209" s="1">
        <v>16.77</v>
      </c>
    </row>
    <row r="210" spans="1:8" hidden="1" x14ac:dyDescent="0.35">
      <c r="A210" s="1" t="s">
        <v>40</v>
      </c>
      <c r="B210" s="2" t="s">
        <v>63</v>
      </c>
      <c r="C210" s="2" t="s">
        <v>134</v>
      </c>
      <c r="D210" s="1" t="str">
        <f t="shared" si="3"/>
        <v>TBCM_4-24_1</v>
      </c>
      <c r="E210" s="10">
        <v>45390</v>
      </c>
      <c r="F210" s="1">
        <v>50</v>
      </c>
      <c r="G210" s="10"/>
    </row>
    <row r="211" spans="1:8" x14ac:dyDescent="0.35">
      <c r="A211" s="1" t="s">
        <v>41</v>
      </c>
      <c r="B211" s="2" t="s">
        <v>63</v>
      </c>
      <c r="C211" s="2" t="s">
        <v>134</v>
      </c>
      <c r="D211" s="1" t="str">
        <f t="shared" si="3"/>
        <v>TB1_4-24_1</v>
      </c>
      <c r="E211" s="10">
        <v>45390</v>
      </c>
      <c r="F211" s="1">
        <v>52</v>
      </c>
      <c r="G211" s="10">
        <v>45602</v>
      </c>
      <c r="H211" s="1">
        <v>14.74</v>
      </c>
    </row>
    <row r="212" spans="1:8" x14ac:dyDescent="0.35">
      <c r="A212" s="1" t="s">
        <v>42</v>
      </c>
      <c r="B212" s="2" t="s">
        <v>63</v>
      </c>
      <c r="C212" s="2" t="s">
        <v>134</v>
      </c>
      <c r="D212" s="1" t="str">
        <f t="shared" si="3"/>
        <v>TB2_4-24_1</v>
      </c>
      <c r="E212" s="10">
        <v>45390</v>
      </c>
      <c r="F212" s="1">
        <v>50</v>
      </c>
      <c r="G212" s="10">
        <v>45602</v>
      </c>
      <c r="H212" s="1">
        <v>1.64</v>
      </c>
    </row>
    <row r="213" spans="1:8" x14ac:dyDescent="0.35">
      <c r="A213" s="1" t="s">
        <v>35</v>
      </c>
      <c r="B213" s="2" t="s">
        <v>63</v>
      </c>
      <c r="C213" s="2" t="s">
        <v>136</v>
      </c>
      <c r="D213" s="1" t="str">
        <f t="shared" si="3"/>
        <v>MCS1_4-24_2</v>
      </c>
      <c r="E213" s="10">
        <v>45390</v>
      </c>
      <c r="F213" s="1">
        <v>50</v>
      </c>
      <c r="G213" s="10">
        <v>45602</v>
      </c>
      <c r="H213" s="1">
        <v>17.52</v>
      </c>
    </row>
    <row r="214" spans="1:8" x14ac:dyDescent="0.35">
      <c r="A214" s="1" t="s">
        <v>36</v>
      </c>
      <c r="B214" s="2" t="s">
        <v>63</v>
      </c>
      <c r="C214" s="2" t="s">
        <v>136</v>
      </c>
      <c r="D214" s="1" t="str">
        <f t="shared" si="3"/>
        <v>MCS2_4-24_2</v>
      </c>
      <c r="E214" s="10">
        <v>45390</v>
      </c>
      <c r="F214" s="1">
        <v>50</v>
      </c>
      <c r="G214" s="10">
        <v>45602</v>
      </c>
      <c r="H214" s="1">
        <v>26.89</v>
      </c>
    </row>
    <row r="215" spans="1:8" x14ac:dyDescent="0.35">
      <c r="A215" s="1" t="s">
        <v>37</v>
      </c>
      <c r="B215" s="2" t="s">
        <v>63</v>
      </c>
      <c r="C215" s="2" t="s">
        <v>136</v>
      </c>
      <c r="D215" s="1" t="str">
        <f t="shared" si="3"/>
        <v>MCS3_4-24_2</v>
      </c>
      <c r="E215" s="10">
        <v>45390</v>
      </c>
      <c r="F215" s="1">
        <v>50</v>
      </c>
      <c r="G215" s="10">
        <v>45602</v>
      </c>
      <c r="H215" s="1">
        <v>18.329999999999998</v>
      </c>
    </row>
    <row r="216" spans="1:8" x14ac:dyDescent="0.35">
      <c r="A216" s="1" t="s">
        <v>38</v>
      </c>
      <c r="B216" s="2" t="s">
        <v>63</v>
      </c>
      <c r="C216" s="2" t="s">
        <v>136</v>
      </c>
      <c r="D216" s="1" t="str">
        <f t="shared" si="3"/>
        <v>MCS4_4-24_2</v>
      </c>
      <c r="E216" s="10">
        <v>45390</v>
      </c>
      <c r="F216" s="1">
        <v>50</v>
      </c>
      <c r="G216" s="10">
        <v>45602</v>
      </c>
      <c r="H216" s="1">
        <v>25.22</v>
      </c>
    </row>
    <row r="217" spans="1:8" x14ac:dyDescent="0.35">
      <c r="A217" s="1" t="s">
        <v>39</v>
      </c>
      <c r="B217" s="2" t="s">
        <v>63</v>
      </c>
      <c r="C217" s="2" t="s">
        <v>136</v>
      </c>
      <c r="D217" s="1" t="str">
        <f t="shared" si="3"/>
        <v>TBHM_4-24_2</v>
      </c>
      <c r="E217" s="10">
        <v>45390</v>
      </c>
      <c r="F217" s="1">
        <v>22</v>
      </c>
      <c r="G217" s="10">
        <v>45602</v>
      </c>
      <c r="H217" s="1">
        <v>15.24</v>
      </c>
    </row>
    <row r="218" spans="1:8" x14ac:dyDescent="0.35">
      <c r="A218" s="1" t="s">
        <v>51</v>
      </c>
      <c r="B218" s="2" t="s">
        <v>63</v>
      </c>
      <c r="C218" s="2" t="s">
        <v>136</v>
      </c>
      <c r="D218" s="1" t="str">
        <f t="shared" si="3"/>
        <v>TBC_4-24_2</v>
      </c>
      <c r="E218" s="10">
        <v>45390</v>
      </c>
      <c r="F218" s="1">
        <v>53</v>
      </c>
      <c r="G218" s="10">
        <v>45602</v>
      </c>
      <c r="H218" s="1">
        <v>19.059999999999999</v>
      </c>
    </row>
    <row r="219" spans="1:8" hidden="1" x14ac:dyDescent="0.35">
      <c r="A219" s="1" t="s">
        <v>40</v>
      </c>
      <c r="B219" s="2" t="s">
        <v>63</v>
      </c>
      <c r="C219" s="2" t="s">
        <v>136</v>
      </c>
      <c r="D219" s="1" t="str">
        <f t="shared" si="3"/>
        <v>TBCM_4-24_2</v>
      </c>
      <c r="E219" s="10">
        <v>45390</v>
      </c>
      <c r="F219" s="1">
        <v>52</v>
      </c>
      <c r="G219" s="10"/>
    </row>
    <row r="220" spans="1:8" x14ac:dyDescent="0.35">
      <c r="A220" s="1" t="s">
        <v>41</v>
      </c>
      <c r="B220" s="2" t="s">
        <v>63</v>
      </c>
      <c r="C220" s="2" t="s">
        <v>136</v>
      </c>
      <c r="D220" s="1" t="str">
        <f t="shared" si="3"/>
        <v>TB1_4-24_2</v>
      </c>
      <c r="E220" s="10">
        <v>45390</v>
      </c>
      <c r="F220" s="1">
        <v>50</v>
      </c>
      <c r="G220" s="10">
        <v>45602</v>
      </c>
      <c r="H220" s="1">
        <v>16.18</v>
      </c>
    </row>
    <row r="221" spans="1:8" x14ac:dyDescent="0.35">
      <c r="A221" s="1" t="s">
        <v>42</v>
      </c>
      <c r="B221" s="2" t="s">
        <v>63</v>
      </c>
      <c r="C221" s="2" t="s">
        <v>136</v>
      </c>
      <c r="D221" s="1" t="str">
        <f t="shared" si="3"/>
        <v>TB2_4-24_2</v>
      </c>
      <c r="E221" s="10">
        <v>45390</v>
      </c>
      <c r="F221" s="1">
        <v>50</v>
      </c>
      <c r="G221" s="10">
        <v>45602</v>
      </c>
      <c r="H221" s="1">
        <v>1.66</v>
      </c>
    </row>
    <row r="222" spans="1:8" hidden="1" x14ac:dyDescent="0.35">
      <c r="A222" s="1" t="s">
        <v>45</v>
      </c>
      <c r="B222" s="2" t="s">
        <v>63</v>
      </c>
      <c r="C222" s="2" t="s">
        <v>134</v>
      </c>
      <c r="D222" s="1" t="str">
        <f t="shared" si="3"/>
        <v>TSM1_4-24_1</v>
      </c>
      <c r="E222" s="10">
        <v>45391</v>
      </c>
      <c r="F222" s="1" t="s">
        <v>135</v>
      </c>
      <c r="G222" s="1" t="s">
        <v>135</v>
      </c>
      <c r="H222" s="1" t="s">
        <v>135</v>
      </c>
    </row>
    <row r="223" spans="1:8" hidden="1" x14ac:dyDescent="0.35">
      <c r="A223" s="1" t="s">
        <v>46</v>
      </c>
      <c r="B223" s="2" t="s">
        <v>63</v>
      </c>
      <c r="C223" s="2" t="s">
        <v>134</v>
      </c>
      <c r="D223" s="1" t="str">
        <f t="shared" si="3"/>
        <v>TSM3_4-24_1</v>
      </c>
      <c r="E223" s="10">
        <v>45391</v>
      </c>
      <c r="F223" s="1" t="s">
        <v>135</v>
      </c>
      <c r="G223" s="1" t="s">
        <v>135</v>
      </c>
      <c r="H223" s="1" t="s">
        <v>135</v>
      </c>
    </row>
    <row r="224" spans="1:8" hidden="1" x14ac:dyDescent="0.35">
      <c r="A224" s="1" t="s">
        <v>47</v>
      </c>
      <c r="B224" s="2" t="s">
        <v>63</v>
      </c>
      <c r="C224" s="2" t="s">
        <v>134</v>
      </c>
      <c r="D224" s="1" t="str">
        <f t="shared" si="3"/>
        <v>TSM4_4-24_1</v>
      </c>
      <c r="E224" s="10">
        <v>45391</v>
      </c>
      <c r="F224" s="1" t="s">
        <v>135</v>
      </c>
      <c r="G224" s="1" t="s">
        <v>135</v>
      </c>
      <c r="H224" s="1" t="s">
        <v>135</v>
      </c>
    </row>
    <row r="225" spans="1:8" hidden="1" x14ac:dyDescent="0.35">
      <c r="A225" s="1" t="s">
        <v>48</v>
      </c>
      <c r="B225" s="2" t="s">
        <v>63</v>
      </c>
      <c r="C225" s="2" t="s">
        <v>134</v>
      </c>
      <c r="D225" s="1" t="str">
        <f t="shared" si="3"/>
        <v>SBT1_4-24_1</v>
      </c>
      <c r="E225" s="10">
        <v>45391</v>
      </c>
      <c r="F225" s="1">
        <v>51</v>
      </c>
      <c r="G225" s="10"/>
    </row>
    <row r="226" spans="1:8" hidden="1" x14ac:dyDescent="0.35">
      <c r="A226" s="1" t="s">
        <v>45</v>
      </c>
      <c r="B226" s="2" t="s">
        <v>63</v>
      </c>
      <c r="C226" s="2" t="s">
        <v>136</v>
      </c>
      <c r="D226" s="1" t="str">
        <f t="shared" si="3"/>
        <v>TSM1_4-24_2</v>
      </c>
      <c r="E226" s="10">
        <v>45391</v>
      </c>
      <c r="F226" s="1" t="s">
        <v>135</v>
      </c>
      <c r="G226" s="1" t="s">
        <v>135</v>
      </c>
      <c r="H226" s="1" t="s">
        <v>135</v>
      </c>
    </row>
    <row r="227" spans="1:8" hidden="1" x14ac:dyDescent="0.35">
      <c r="A227" s="1" t="s">
        <v>46</v>
      </c>
      <c r="B227" s="2" t="s">
        <v>63</v>
      </c>
      <c r="C227" s="2" t="s">
        <v>136</v>
      </c>
      <c r="D227" s="1" t="str">
        <f t="shared" si="3"/>
        <v>TSM3_4-24_2</v>
      </c>
      <c r="E227" s="10">
        <v>45391</v>
      </c>
      <c r="F227" s="1" t="s">
        <v>135</v>
      </c>
      <c r="G227" s="1" t="s">
        <v>135</v>
      </c>
      <c r="H227" s="1" t="s">
        <v>135</v>
      </c>
    </row>
    <row r="228" spans="1:8" hidden="1" x14ac:dyDescent="0.35">
      <c r="A228" s="1" t="s">
        <v>47</v>
      </c>
      <c r="B228" s="2" t="s">
        <v>63</v>
      </c>
      <c r="C228" s="2" t="s">
        <v>136</v>
      </c>
      <c r="D228" s="1" t="str">
        <f t="shared" si="3"/>
        <v>TSM4_4-24_2</v>
      </c>
      <c r="E228" s="10">
        <v>45391</v>
      </c>
      <c r="F228" s="1" t="s">
        <v>135</v>
      </c>
      <c r="G228" s="1" t="s">
        <v>135</v>
      </c>
      <c r="H228" s="1" t="s">
        <v>135</v>
      </c>
    </row>
    <row r="229" spans="1:8" hidden="1" x14ac:dyDescent="0.35">
      <c r="A229" s="1" t="s">
        <v>48</v>
      </c>
      <c r="B229" s="2" t="s">
        <v>63</v>
      </c>
      <c r="C229" s="2" t="s">
        <v>136</v>
      </c>
      <c r="D229" s="1" t="str">
        <f t="shared" si="3"/>
        <v>SBT1_4-24_2</v>
      </c>
      <c r="E229" s="10">
        <v>45391</v>
      </c>
      <c r="F229" s="1">
        <v>52</v>
      </c>
      <c r="G229" s="10"/>
    </row>
    <row r="230" spans="1:8" x14ac:dyDescent="0.35">
      <c r="A230" s="1" t="s">
        <v>24</v>
      </c>
      <c r="B230" s="2" t="s">
        <v>63</v>
      </c>
      <c r="C230" s="2" t="s">
        <v>134</v>
      </c>
      <c r="D230" s="1" t="str">
        <f t="shared" si="3"/>
        <v>ACS1_4-24_1</v>
      </c>
      <c r="E230" s="10">
        <v>45392</v>
      </c>
      <c r="F230" s="1">
        <v>5</v>
      </c>
      <c r="G230" s="10">
        <v>45602</v>
      </c>
      <c r="H230" s="1">
        <v>28.1</v>
      </c>
    </row>
    <row r="231" spans="1:8" x14ac:dyDescent="0.35">
      <c r="A231" s="1" t="s">
        <v>25</v>
      </c>
      <c r="B231" s="2" t="s">
        <v>63</v>
      </c>
      <c r="C231" s="2" t="s">
        <v>134</v>
      </c>
      <c r="D231" s="1" t="str">
        <f t="shared" si="3"/>
        <v>ACS2_4-24_1</v>
      </c>
      <c r="E231" s="10">
        <v>45392</v>
      </c>
      <c r="F231" s="1">
        <v>20</v>
      </c>
      <c r="G231" s="10">
        <v>45602</v>
      </c>
      <c r="H231" s="1">
        <v>28.52</v>
      </c>
    </row>
    <row r="232" spans="1:8" x14ac:dyDescent="0.35">
      <c r="A232" s="1">
        <v>30.97</v>
      </c>
      <c r="B232" s="2" t="s">
        <v>63</v>
      </c>
      <c r="C232" s="2" t="s">
        <v>134</v>
      </c>
      <c r="D232" s="1" t="str">
        <f t="shared" si="3"/>
        <v>30.97_4-24_1</v>
      </c>
      <c r="E232" s="10">
        <v>45392</v>
      </c>
      <c r="F232" s="1">
        <v>17</v>
      </c>
      <c r="G232" s="10">
        <v>45602</v>
      </c>
      <c r="H232" s="1">
        <v>30.97</v>
      </c>
    </row>
    <row r="233" spans="1:8" x14ac:dyDescent="0.35">
      <c r="A233" s="1" t="s">
        <v>27</v>
      </c>
      <c r="B233" s="2" t="s">
        <v>63</v>
      </c>
      <c r="C233" s="2" t="s">
        <v>134</v>
      </c>
      <c r="D233" s="1" t="str">
        <f t="shared" si="3"/>
        <v>ACS4_4-24_1</v>
      </c>
      <c r="E233" s="10">
        <v>45392</v>
      </c>
      <c r="F233" s="1">
        <v>20</v>
      </c>
      <c r="G233" s="10">
        <v>45602</v>
      </c>
      <c r="H233" s="1">
        <v>51.02</v>
      </c>
    </row>
    <row r="234" spans="1:8" x14ac:dyDescent="0.35">
      <c r="A234" s="1" t="s">
        <v>28</v>
      </c>
      <c r="B234" s="2" t="s">
        <v>63</v>
      </c>
      <c r="C234" s="2" t="s">
        <v>134</v>
      </c>
      <c r="D234" s="1" t="str">
        <f t="shared" si="3"/>
        <v>ACS5_4-24_1</v>
      </c>
      <c r="E234" s="10">
        <v>45392</v>
      </c>
      <c r="F234" s="1">
        <v>30</v>
      </c>
      <c r="G234" s="10">
        <v>45602</v>
      </c>
      <c r="H234" s="1">
        <v>33.15</v>
      </c>
    </row>
    <row r="235" spans="1:8" hidden="1" x14ac:dyDescent="0.35">
      <c r="A235" s="1" t="s">
        <v>29</v>
      </c>
      <c r="B235" s="2" t="s">
        <v>63</v>
      </c>
      <c r="C235" s="2" t="s">
        <v>134</v>
      </c>
      <c r="D235" s="1" t="str">
        <f t="shared" si="3"/>
        <v>GBHM_4-24_1</v>
      </c>
      <c r="E235" s="10">
        <v>45392</v>
      </c>
      <c r="F235" s="1" t="s">
        <v>135</v>
      </c>
      <c r="G235" s="10">
        <v>45602</v>
      </c>
    </row>
    <row r="236" spans="1:8" x14ac:dyDescent="0.35">
      <c r="A236" s="1" t="s">
        <v>30</v>
      </c>
      <c r="B236" s="2" t="s">
        <v>63</v>
      </c>
      <c r="C236" s="2" t="s">
        <v>134</v>
      </c>
      <c r="D236" s="1" t="str">
        <f t="shared" si="3"/>
        <v>DC1_4-24_1</v>
      </c>
      <c r="E236" s="10">
        <v>45392</v>
      </c>
      <c r="F236" s="1">
        <v>28</v>
      </c>
      <c r="G236" s="10">
        <v>45602</v>
      </c>
      <c r="H236" s="1">
        <v>54.16</v>
      </c>
    </row>
    <row r="237" spans="1:8" x14ac:dyDescent="0.35">
      <c r="A237" s="1" t="s">
        <v>31</v>
      </c>
      <c r="B237" s="2" t="s">
        <v>63</v>
      </c>
      <c r="C237" s="2" t="s">
        <v>134</v>
      </c>
      <c r="D237" s="1" t="str">
        <f t="shared" si="3"/>
        <v>DCM1_4-24_1</v>
      </c>
      <c r="E237" s="10">
        <v>45392</v>
      </c>
      <c r="F237" s="1">
        <v>48</v>
      </c>
      <c r="G237" s="10">
        <v>45602</v>
      </c>
      <c r="H237" s="1">
        <v>25.69</v>
      </c>
    </row>
    <row r="238" spans="1:8" x14ac:dyDescent="0.35">
      <c r="A238" s="1" t="s">
        <v>32</v>
      </c>
      <c r="B238" s="2" t="s">
        <v>63</v>
      </c>
      <c r="C238" s="2" t="s">
        <v>134</v>
      </c>
      <c r="D238" s="1" t="str">
        <f t="shared" si="3"/>
        <v>DC2_4-24_1</v>
      </c>
      <c r="E238" s="10">
        <v>45392</v>
      </c>
      <c r="F238" s="1">
        <v>50</v>
      </c>
      <c r="G238" s="10">
        <v>45602</v>
      </c>
      <c r="H238" s="1">
        <v>37.78</v>
      </c>
    </row>
    <row r="239" spans="1:8" hidden="1" x14ac:dyDescent="0.35">
      <c r="A239" s="1" t="s">
        <v>33</v>
      </c>
      <c r="B239" s="2" t="s">
        <v>63</v>
      </c>
      <c r="C239" s="2" t="s">
        <v>134</v>
      </c>
      <c r="D239" s="1" t="str">
        <f t="shared" si="3"/>
        <v>DCM2_4-24_1</v>
      </c>
      <c r="E239" s="10">
        <v>45392</v>
      </c>
      <c r="F239" s="1" t="s">
        <v>135</v>
      </c>
      <c r="G239" s="10">
        <v>45602</v>
      </c>
    </row>
    <row r="240" spans="1:8" hidden="1" x14ac:dyDescent="0.35">
      <c r="A240" s="1" t="s">
        <v>34</v>
      </c>
      <c r="B240" s="2" t="s">
        <v>63</v>
      </c>
      <c r="C240" s="2" t="s">
        <v>134</v>
      </c>
      <c r="D240" s="1" t="str">
        <f t="shared" si="3"/>
        <v>GB1_4-24_1</v>
      </c>
      <c r="E240" s="10">
        <v>45392</v>
      </c>
      <c r="F240" s="1">
        <v>51</v>
      </c>
      <c r="G240" s="10"/>
    </row>
    <row r="241" spans="1:8" x14ac:dyDescent="0.35">
      <c r="A241" s="1" t="s">
        <v>24</v>
      </c>
      <c r="B241" s="2" t="s">
        <v>63</v>
      </c>
      <c r="C241" s="2" t="s">
        <v>136</v>
      </c>
      <c r="D241" s="1" t="str">
        <f t="shared" si="3"/>
        <v>ACS1_4-24_2</v>
      </c>
      <c r="E241" s="10">
        <v>45392</v>
      </c>
      <c r="F241" s="1">
        <v>11</v>
      </c>
      <c r="G241" s="10">
        <v>45602</v>
      </c>
      <c r="H241" s="1">
        <v>25.49</v>
      </c>
    </row>
    <row r="242" spans="1:8" hidden="1" x14ac:dyDescent="0.35">
      <c r="A242" s="1" t="s">
        <v>25</v>
      </c>
      <c r="B242" s="2" t="s">
        <v>63</v>
      </c>
      <c r="C242" s="2" t="s">
        <v>136</v>
      </c>
      <c r="D242" s="1" t="str">
        <f t="shared" si="3"/>
        <v>ACS2_4-24_2</v>
      </c>
      <c r="E242" s="10">
        <v>45392</v>
      </c>
      <c r="F242" s="1" t="s">
        <v>135</v>
      </c>
      <c r="G242" s="10"/>
    </row>
    <row r="243" spans="1:8" x14ac:dyDescent="0.35">
      <c r="A243" s="1" t="s">
        <v>26</v>
      </c>
      <c r="B243" s="2" t="s">
        <v>63</v>
      </c>
      <c r="C243" s="2" t="s">
        <v>136</v>
      </c>
      <c r="D243" s="1" t="str">
        <f t="shared" si="3"/>
        <v>ACS3_4-24_2</v>
      </c>
      <c r="E243" s="10">
        <v>45392</v>
      </c>
      <c r="F243" s="1">
        <v>20</v>
      </c>
      <c r="G243" s="10">
        <v>45602</v>
      </c>
      <c r="H243" s="1">
        <v>29.72</v>
      </c>
    </row>
    <row r="244" spans="1:8" x14ac:dyDescent="0.35">
      <c r="A244" s="1" t="s">
        <v>27</v>
      </c>
      <c r="B244" s="2" t="s">
        <v>63</v>
      </c>
      <c r="C244" s="2" t="s">
        <v>136</v>
      </c>
      <c r="D244" s="1" t="str">
        <f t="shared" si="3"/>
        <v>ACS4_4-24_2</v>
      </c>
      <c r="E244" s="10">
        <v>45392</v>
      </c>
      <c r="F244" s="1">
        <v>20</v>
      </c>
      <c r="G244" s="10">
        <v>45602</v>
      </c>
      <c r="H244" s="1">
        <v>60.02</v>
      </c>
    </row>
    <row r="245" spans="1:8" x14ac:dyDescent="0.35">
      <c r="A245" s="1" t="s">
        <v>28</v>
      </c>
      <c r="B245" s="2" t="s">
        <v>63</v>
      </c>
      <c r="C245" s="2" t="s">
        <v>136</v>
      </c>
      <c r="D245" s="1" t="str">
        <f t="shared" si="3"/>
        <v>ACS5_4-24_2</v>
      </c>
      <c r="E245" s="10">
        <v>45392</v>
      </c>
      <c r="F245" s="1">
        <v>24</v>
      </c>
      <c r="G245" s="10">
        <v>45602</v>
      </c>
      <c r="H245" s="1">
        <v>46.73</v>
      </c>
    </row>
    <row r="246" spans="1:8" hidden="1" x14ac:dyDescent="0.35">
      <c r="A246" s="1" t="s">
        <v>29</v>
      </c>
      <c r="B246" s="2" t="s">
        <v>63</v>
      </c>
      <c r="C246" s="2" t="s">
        <v>136</v>
      </c>
      <c r="D246" s="1" t="str">
        <f t="shared" si="3"/>
        <v>GBHM_4-24_2</v>
      </c>
      <c r="E246" s="10">
        <v>45392</v>
      </c>
      <c r="F246" s="1" t="s">
        <v>135</v>
      </c>
      <c r="G246" s="10"/>
    </row>
    <row r="247" spans="1:8" x14ac:dyDescent="0.35">
      <c r="A247" s="1" t="s">
        <v>30</v>
      </c>
      <c r="B247" s="2" t="s">
        <v>63</v>
      </c>
      <c r="C247" s="2" t="s">
        <v>136</v>
      </c>
      <c r="D247" s="1" t="str">
        <f t="shared" si="3"/>
        <v>DC1_4-24_2</v>
      </c>
      <c r="E247" s="10">
        <v>45392</v>
      </c>
      <c r="F247" s="1">
        <v>28</v>
      </c>
      <c r="G247" s="10">
        <v>45602</v>
      </c>
      <c r="H247" s="1">
        <v>43.07</v>
      </c>
    </row>
    <row r="248" spans="1:8" x14ac:dyDescent="0.35">
      <c r="A248" s="1" t="s">
        <v>31</v>
      </c>
      <c r="B248" s="2" t="s">
        <v>63</v>
      </c>
      <c r="C248" s="2" t="s">
        <v>136</v>
      </c>
      <c r="D248" s="1" t="str">
        <f t="shared" si="3"/>
        <v>DCM1_4-24_2</v>
      </c>
      <c r="E248" s="10">
        <v>45392</v>
      </c>
      <c r="F248" s="1">
        <v>50</v>
      </c>
      <c r="G248" s="10">
        <v>45602</v>
      </c>
      <c r="H248" s="1">
        <v>30.69</v>
      </c>
    </row>
    <row r="249" spans="1:8" x14ac:dyDescent="0.35">
      <c r="A249" s="1" t="s">
        <v>32</v>
      </c>
      <c r="B249" s="2" t="s">
        <v>63</v>
      </c>
      <c r="C249" s="2" t="s">
        <v>136</v>
      </c>
      <c r="D249" s="1" t="str">
        <f t="shared" si="3"/>
        <v>DC2_4-24_2</v>
      </c>
      <c r="E249" s="10">
        <v>45392</v>
      </c>
      <c r="F249" s="1">
        <v>52</v>
      </c>
      <c r="G249" s="10">
        <v>45602</v>
      </c>
      <c r="H249" s="1">
        <v>36.630000000000003</v>
      </c>
    </row>
    <row r="250" spans="1:8" hidden="1" x14ac:dyDescent="0.35">
      <c r="A250" s="1" t="s">
        <v>33</v>
      </c>
      <c r="B250" s="2" t="s">
        <v>63</v>
      </c>
      <c r="C250" s="2" t="s">
        <v>136</v>
      </c>
      <c r="D250" s="1" t="str">
        <f t="shared" si="3"/>
        <v>DCM2_4-24_2</v>
      </c>
      <c r="E250" s="10">
        <v>45392</v>
      </c>
      <c r="F250" s="1" t="s">
        <v>135</v>
      </c>
      <c r="G250" s="10"/>
    </row>
    <row r="251" spans="1:8" hidden="1" x14ac:dyDescent="0.35">
      <c r="A251" s="1" t="s">
        <v>34</v>
      </c>
      <c r="B251" s="2" t="s">
        <v>63</v>
      </c>
      <c r="C251" s="2" t="s">
        <v>136</v>
      </c>
      <c r="D251" s="1" t="str">
        <f t="shared" si="3"/>
        <v>GB1_4-24_2</v>
      </c>
      <c r="E251" s="10">
        <v>45392</v>
      </c>
      <c r="F251" s="1">
        <v>50</v>
      </c>
      <c r="G251" s="10"/>
    </row>
    <row r="252" spans="1:8" x14ac:dyDescent="0.35">
      <c r="A252" s="1" t="s">
        <v>49</v>
      </c>
      <c r="B252" s="2" t="s">
        <v>63</v>
      </c>
      <c r="C252" s="2" t="s">
        <v>134</v>
      </c>
      <c r="D252" s="1" t="str">
        <f t="shared" si="3"/>
        <v>SBT2_4-24_1</v>
      </c>
      <c r="E252" s="10">
        <v>45393</v>
      </c>
      <c r="F252" s="1">
        <v>52</v>
      </c>
      <c r="G252" s="10">
        <v>45602</v>
      </c>
      <c r="H252" s="1">
        <v>14.9</v>
      </c>
    </row>
    <row r="253" spans="1:8" x14ac:dyDescent="0.35">
      <c r="A253" s="1" t="s">
        <v>43</v>
      </c>
      <c r="B253" s="2" t="s">
        <v>63</v>
      </c>
      <c r="C253" s="2" t="s">
        <v>134</v>
      </c>
      <c r="D253" s="1" t="str">
        <f t="shared" si="3"/>
        <v>GB2_4-24_1</v>
      </c>
      <c r="E253" s="10">
        <v>45393</v>
      </c>
      <c r="F253" s="1">
        <v>50</v>
      </c>
      <c r="G253" s="10">
        <v>45602</v>
      </c>
      <c r="H253" s="1">
        <v>5.81</v>
      </c>
    </row>
    <row r="254" spans="1:8" x14ac:dyDescent="0.35">
      <c r="A254" s="1" t="s">
        <v>44</v>
      </c>
      <c r="B254" s="2" t="s">
        <v>63</v>
      </c>
      <c r="C254" s="2" t="s">
        <v>134</v>
      </c>
      <c r="D254" s="1" t="str">
        <f t="shared" si="3"/>
        <v>RB_4-24_1</v>
      </c>
      <c r="E254" s="10">
        <v>45393</v>
      </c>
      <c r="F254" s="1">
        <v>50</v>
      </c>
      <c r="G254" s="10">
        <v>45602</v>
      </c>
      <c r="H254" s="1">
        <v>0.82</v>
      </c>
    </row>
    <row r="255" spans="1:8" x14ac:dyDescent="0.35">
      <c r="A255" s="1" t="s">
        <v>52</v>
      </c>
      <c r="B255" s="2" t="s">
        <v>63</v>
      </c>
      <c r="C255" s="2" t="s">
        <v>134</v>
      </c>
      <c r="D255" s="1" t="str">
        <f t="shared" ref="D255:D318" si="4">A255&amp;"_"&amp;B255&amp;"_"&amp;C255</f>
        <v>WB1_4-24_1</v>
      </c>
      <c r="E255" s="10">
        <v>45393</v>
      </c>
      <c r="F255" s="1">
        <v>52</v>
      </c>
      <c r="G255" s="10">
        <v>45602</v>
      </c>
      <c r="H255" s="1">
        <v>0.63</v>
      </c>
    </row>
    <row r="256" spans="1:8" x14ac:dyDescent="0.35">
      <c r="A256" s="1" t="s">
        <v>53</v>
      </c>
      <c r="B256" s="2" t="s">
        <v>63</v>
      </c>
      <c r="C256" s="2" t="s">
        <v>134</v>
      </c>
      <c r="D256" s="1" t="str">
        <f t="shared" si="4"/>
        <v>WB2_4-24_1</v>
      </c>
      <c r="E256" s="10">
        <v>45393</v>
      </c>
      <c r="F256" s="1">
        <v>51</v>
      </c>
      <c r="G256" s="10">
        <v>45602</v>
      </c>
      <c r="H256" s="1">
        <v>0.83</v>
      </c>
    </row>
    <row r="257" spans="1:8" x14ac:dyDescent="0.35">
      <c r="A257" s="1" t="s">
        <v>54</v>
      </c>
      <c r="B257" s="2" t="s">
        <v>63</v>
      </c>
      <c r="C257" s="2" t="s">
        <v>134</v>
      </c>
      <c r="D257" s="1" t="str">
        <f t="shared" si="4"/>
        <v>TKB_4-24_1</v>
      </c>
      <c r="E257" s="10">
        <v>45393</v>
      </c>
      <c r="F257" s="1">
        <v>51</v>
      </c>
      <c r="G257" s="10">
        <v>45602</v>
      </c>
      <c r="H257" s="1">
        <v>0.97</v>
      </c>
    </row>
    <row r="258" spans="1:8" x14ac:dyDescent="0.35">
      <c r="A258" s="1" t="s">
        <v>55</v>
      </c>
      <c r="B258" s="2" t="s">
        <v>63</v>
      </c>
      <c r="C258" s="2" t="s">
        <v>134</v>
      </c>
      <c r="D258" s="1" t="str">
        <f t="shared" si="4"/>
        <v>JB_4-24_1</v>
      </c>
      <c r="E258" s="10">
        <v>45393</v>
      </c>
      <c r="F258" s="1">
        <v>50</v>
      </c>
      <c r="G258" s="10">
        <v>45602</v>
      </c>
      <c r="H258" s="1">
        <v>0.42</v>
      </c>
    </row>
    <row r="259" spans="1:8" x14ac:dyDescent="0.35">
      <c r="A259" s="1" t="s">
        <v>56</v>
      </c>
      <c r="B259" s="2" t="s">
        <v>63</v>
      </c>
      <c r="C259" s="2" t="s">
        <v>134</v>
      </c>
      <c r="D259" s="1" t="str">
        <f t="shared" si="4"/>
        <v>CC_4-24_1</v>
      </c>
      <c r="E259" s="10">
        <v>45393</v>
      </c>
      <c r="F259" s="1">
        <v>50</v>
      </c>
      <c r="G259" s="10">
        <v>45602</v>
      </c>
      <c r="H259" s="1">
        <v>7.8</v>
      </c>
    </row>
    <row r="260" spans="1:8" x14ac:dyDescent="0.35">
      <c r="A260" s="1" t="s">
        <v>49</v>
      </c>
      <c r="B260" s="2" t="s">
        <v>63</v>
      </c>
      <c r="C260" s="2" t="s">
        <v>136</v>
      </c>
      <c r="D260" s="1" t="str">
        <f t="shared" si="4"/>
        <v>SBT2_4-24_2</v>
      </c>
      <c r="E260" s="10">
        <v>45393</v>
      </c>
      <c r="F260" s="1">
        <v>50</v>
      </c>
      <c r="G260" s="10">
        <v>45602</v>
      </c>
      <c r="H260" s="1">
        <v>13.97</v>
      </c>
    </row>
    <row r="261" spans="1:8" x14ac:dyDescent="0.35">
      <c r="A261" s="1" t="s">
        <v>43</v>
      </c>
      <c r="B261" s="2" t="s">
        <v>63</v>
      </c>
      <c r="C261" s="2" t="s">
        <v>136</v>
      </c>
      <c r="D261" s="1" t="str">
        <f t="shared" si="4"/>
        <v>GB2_4-24_2</v>
      </c>
      <c r="E261" s="10">
        <v>45393</v>
      </c>
      <c r="F261" s="1">
        <v>50</v>
      </c>
      <c r="G261" s="10">
        <v>45602</v>
      </c>
      <c r="H261" s="1">
        <v>4.5999999999999996</v>
      </c>
    </row>
    <row r="262" spans="1:8" x14ac:dyDescent="0.35">
      <c r="A262" s="1" t="s">
        <v>44</v>
      </c>
      <c r="B262" s="2" t="s">
        <v>63</v>
      </c>
      <c r="C262" s="2" t="s">
        <v>136</v>
      </c>
      <c r="D262" s="1" t="str">
        <f t="shared" si="4"/>
        <v>RB_4-24_2</v>
      </c>
      <c r="E262" s="10">
        <v>45393</v>
      </c>
      <c r="F262" s="1">
        <v>50</v>
      </c>
      <c r="G262" s="10">
        <v>45602</v>
      </c>
      <c r="H262" s="1">
        <v>0.69</v>
      </c>
    </row>
    <row r="263" spans="1:8" x14ac:dyDescent="0.35">
      <c r="A263" s="1" t="s">
        <v>52</v>
      </c>
      <c r="B263" s="2" t="s">
        <v>63</v>
      </c>
      <c r="C263" s="2" t="s">
        <v>136</v>
      </c>
      <c r="D263" s="1" t="str">
        <f t="shared" si="4"/>
        <v>WB1_4-24_2</v>
      </c>
      <c r="E263" s="10">
        <v>45393</v>
      </c>
      <c r="F263" s="1">
        <v>51</v>
      </c>
      <c r="G263" s="10">
        <v>45602</v>
      </c>
      <c r="H263" s="1">
        <v>1.38</v>
      </c>
    </row>
    <row r="264" spans="1:8" x14ac:dyDescent="0.35">
      <c r="A264" s="1" t="s">
        <v>53</v>
      </c>
      <c r="B264" s="2" t="s">
        <v>63</v>
      </c>
      <c r="C264" s="2" t="s">
        <v>136</v>
      </c>
      <c r="D264" s="1" t="str">
        <f t="shared" si="4"/>
        <v>WB2_4-24_2</v>
      </c>
      <c r="E264" s="10">
        <v>45393</v>
      </c>
      <c r="F264" s="1">
        <v>51</v>
      </c>
      <c r="G264" s="10">
        <v>45602</v>
      </c>
      <c r="H264" s="1">
        <v>0.75</v>
      </c>
    </row>
    <row r="265" spans="1:8" x14ac:dyDescent="0.35">
      <c r="A265" s="1" t="s">
        <v>54</v>
      </c>
      <c r="B265" s="2" t="s">
        <v>63</v>
      </c>
      <c r="C265" s="2" t="s">
        <v>136</v>
      </c>
      <c r="D265" s="1" t="str">
        <f t="shared" si="4"/>
        <v>TKB_4-24_2</v>
      </c>
      <c r="E265" s="10">
        <v>45393</v>
      </c>
      <c r="F265" s="1">
        <v>50</v>
      </c>
      <c r="G265" s="10">
        <v>45602</v>
      </c>
      <c r="H265" s="1">
        <v>0.76</v>
      </c>
    </row>
    <row r="266" spans="1:8" x14ac:dyDescent="0.35">
      <c r="A266" s="1" t="s">
        <v>55</v>
      </c>
      <c r="B266" s="2" t="s">
        <v>63</v>
      </c>
      <c r="C266" s="2" t="s">
        <v>136</v>
      </c>
      <c r="D266" s="1" t="str">
        <f t="shared" si="4"/>
        <v>JB_4-24_2</v>
      </c>
      <c r="E266" s="10">
        <v>45393</v>
      </c>
      <c r="F266" s="1">
        <v>50</v>
      </c>
      <c r="G266" s="10">
        <v>45602</v>
      </c>
      <c r="H266" s="1">
        <v>0.11</v>
      </c>
    </row>
    <row r="267" spans="1:8" x14ac:dyDescent="0.35">
      <c r="A267" s="1" t="s">
        <v>56</v>
      </c>
      <c r="B267" s="2" t="s">
        <v>63</v>
      </c>
      <c r="C267" s="2" t="s">
        <v>136</v>
      </c>
      <c r="D267" s="1" t="str">
        <f t="shared" si="4"/>
        <v>CC_4-24_2</v>
      </c>
      <c r="E267" s="10">
        <v>45393</v>
      </c>
      <c r="F267" s="1">
        <v>51</v>
      </c>
      <c r="G267" s="10">
        <v>45602</v>
      </c>
      <c r="H267" s="1">
        <v>5.03</v>
      </c>
    </row>
    <row r="268" spans="1:8" hidden="1" x14ac:dyDescent="0.35">
      <c r="A268" s="1" t="s">
        <v>14</v>
      </c>
      <c r="B268" s="2" t="s">
        <v>59</v>
      </c>
      <c r="C268" s="2" t="s">
        <v>134</v>
      </c>
      <c r="D268" s="1" t="str">
        <f t="shared" si="4"/>
        <v>P37_7-24_1</v>
      </c>
      <c r="E268" s="10">
        <v>45476</v>
      </c>
      <c r="F268" s="1" t="s">
        <v>135</v>
      </c>
      <c r="G268" s="1" t="s">
        <v>135</v>
      </c>
      <c r="H268" s="1" t="s">
        <v>135</v>
      </c>
    </row>
    <row r="269" spans="1:8" hidden="1" x14ac:dyDescent="0.35">
      <c r="A269" s="1" t="s">
        <v>19</v>
      </c>
      <c r="B269" s="2" t="s">
        <v>59</v>
      </c>
      <c r="C269" s="2" t="s">
        <v>134</v>
      </c>
      <c r="D269" s="1" t="str">
        <f t="shared" si="4"/>
        <v>NCL_7-24_1</v>
      </c>
      <c r="E269" s="10">
        <v>45476</v>
      </c>
      <c r="F269" s="1" t="s">
        <v>135</v>
      </c>
      <c r="G269" s="1" t="s">
        <v>135</v>
      </c>
      <c r="H269" s="1" t="s">
        <v>135</v>
      </c>
    </row>
    <row r="270" spans="1:8" hidden="1" x14ac:dyDescent="0.35">
      <c r="A270" s="1" t="s">
        <v>20</v>
      </c>
      <c r="B270" s="2" t="s">
        <v>59</v>
      </c>
      <c r="C270" s="2" t="s">
        <v>134</v>
      </c>
      <c r="D270" s="1" t="str">
        <f t="shared" si="4"/>
        <v>CP_7-24_1</v>
      </c>
      <c r="E270" s="10">
        <v>45476</v>
      </c>
      <c r="F270" s="1" t="s">
        <v>135</v>
      </c>
      <c r="G270" s="1" t="s">
        <v>135</v>
      </c>
      <c r="H270" s="1" t="s">
        <v>135</v>
      </c>
    </row>
    <row r="271" spans="1:8" hidden="1" x14ac:dyDescent="0.35">
      <c r="A271" s="1" t="s">
        <v>21</v>
      </c>
      <c r="B271" s="2" t="s">
        <v>59</v>
      </c>
      <c r="C271" s="2" t="s">
        <v>134</v>
      </c>
      <c r="D271" s="1" t="str">
        <f t="shared" si="4"/>
        <v>EP146_7-24_1</v>
      </c>
      <c r="E271" s="10">
        <v>45476</v>
      </c>
      <c r="F271" s="1" t="s">
        <v>135</v>
      </c>
      <c r="G271" s="1" t="s">
        <v>135</v>
      </c>
      <c r="H271" s="1" t="s">
        <v>135</v>
      </c>
    </row>
    <row r="272" spans="1:8" hidden="1" x14ac:dyDescent="0.35">
      <c r="A272" s="1" t="s">
        <v>22</v>
      </c>
      <c r="B272" s="2" t="s">
        <v>59</v>
      </c>
      <c r="C272" s="2" t="s">
        <v>134</v>
      </c>
      <c r="D272" s="1" t="str">
        <f t="shared" si="4"/>
        <v>OL_7-24_1</v>
      </c>
      <c r="E272" s="10">
        <v>45476</v>
      </c>
      <c r="F272" s="1" t="s">
        <v>135</v>
      </c>
      <c r="G272" s="1" t="s">
        <v>135</v>
      </c>
      <c r="H272" s="1" t="s">
        <v>135</v>
      </c>
    </row>
    <row r="273" spans="1:8" hidden="1" x14ac:dyDescent="0.35">
      <c r="A273" s="1" t="s">
        <v>58</v>
      </c>
      <c r="B273" s="2" t="s">
        <v>59</v>
      </c>
      <c r="C273" s="2" t="s">
        <v>134</v>
      </c>
      <c r="D273" s="1" t="str">
        <f t="shared" si="4"/>
        <v>TSH_7-24_1</v>
      </c>
      <c r="E273" s="10">
        <v>45476</v>
      </c>
      <c r="F273" s="1" t="s">
        <v>135</v>
      </c>
      <c r="G273" s="1" t="s">
        <v>135</v>
      </c>
      <c r="H273" s="1" t="s">
        <v>135</v>
      </c>
    </row>
    <row r="274" spans="1:8" hidden="1" x14ac:dyDescent="0.35">
      <c r="A274" s="1" t="s">
        <v>23</v>
      </c>
      <c r="B274" s="2" t="s">
        <v>59</v>
      </c>
      <c r="C274" s="2" t="s">
        <v>134</v>
      </c>
      <c r="D274" s="1" t="str">
        <f t="shared" si="4"/>
        <v>R127_7-24_1</v>
      </c>
      <c r="E274" s="10">
        <v>45476</v>
      </c>
      <c r="F274" s="1" t="s">
        <v>135</v>
      </c>
      <c r="G274" s="1" t="s">
        <v>135</v>
      </c>
      <c r="H274" s="1" t="s">
        <v>135</v>
      </c>
    </row>
    <row r="275" spans="1:8" hidden="1" x14ac:dyDescent="0.35">
      <c r="A275" s="1" t="s">
        <v>14</v>
      </c>
      <c r="B275" s="2" t="s">
        <v>59</v>
      </c>
      <c r="C275" s="2" t="s">
        <v>136</v>
      </c>
      <c r="D275" s="1" t="str">
        <f t="shared" si="4"/>
        <v>P37_7-24_2</v>
      </c>
      <c r="E275" s="10">
        <v>45476</v>
      </c>
      <c r="F275" s="1" t="s">
        <v>135</v>
      </c>
      <c r="G275" s="1" t="s">
        <v>135</v>
      </c>
      <c r="H275" s="1" t="s">
        <v>135</v>
      </c>
    </row>
    <row r="276" spans="1:8" hidden="1" x14ac:dyDescent="0.35">
      <c r="A276" s="1" t="s">
        <v>19</v>
      </c>
      <c r="B276" s="2" t="s">
        <v>59</v>
      </c>
      <c r="C276" s="2" t="s">
        <v>136</v>
      </c>
      <c r="D276" s="1" t="str">
        <f t="shared" si="4"/>
        <v>NCL_7-24_2</v>
      </c>
      <c r="E276" s="10">
        <v>45476</v>
      </c>
      <c r="F276" s="1" t="s">
        <v>135</v>
      </c>
      <c r="G276" s="1" t="s">
        <v>135</v>
      </c>
      <c r="H276" s="1" t="s">
        <v>135</v>
      </c>
    </row>
    <row r="277" spans="1:8" hidden="1" x14ac:dyDescent="0.35">
      <c r="A277" s="1" t="s">
        <v>20</v>
      </c>
      <c r="B277" s="2" t="s">
        <v>59</v>
      </c>
      <c r="C277" s="2" t="s">
        <v>136</v>
      </c>
      <c r="D277" s="1" t="str">
        <f t="shared" si="4"/>
        <v>CP_7-24_2</v>
      </c>
      <c r="E277" s="10">
        <v>45476</v>
      </c>
      <c r="F277" s="1" t="s">
        <v>135</v>
      </c>
      <c r="G277" s="1" t="s">
        <v>135</v>
      </c>
      <c r="H277" s="1" t="s">
        <v>135</v>
      </c>
    </row>
    <row r="278" spans="1:8" hidden="1" x14ac:dyDescent="0.35">
      <c r="A278" s="1" t="s">
        <v>21</v>
      </c>
      <c r="B278" s="2" t="s">
        <v>59</v>
      </c>
      <c r="C278" s="2" t="s">
        <v>136</v>
      </c>
      <c r="D278" s="1" t="str">
        <f t="shared" si="4"/>
        <v>EP146_7-24_2</v>
      </c>
      <c r="E278" s="10">
        <v>45476</v>
      </c>
      <c r="F278" s="1" t="s">
        <v>135</v>
      </c>
      <c r="G278" s="1" t="s">
        <v>135</v>
      </c>
      <c r="H278" s="1" t="s">
        <v>135</v>
      </c>
    </row>
    <row r="279" spans="1:8" hidden="1" x14ac:dyDescent="0.35">
      <c r="A279" s="1" t="s">
        <v>22</v>
      </c>
      <c r="B279" s="2" t="s">
        <v>59</v>
      </c>
      <c r="C279" s="2" t="s">
        <v>136</v>
      </c>
      <c r="D279" s="1" t="str">
        <f t="shared" si="4"/>
        <v>OL_7-24_2</v>
      </c>
      <c r="E279" s="10">
        <v>45476</v>
      </c>
      <c r="F279" s="1" t="s">
        <v>135</v>
      </c>
      <c r="G279" s="1" t="s">
        <v>135</v>
      </c>
      <c r="H279" s="1" t="s">
        <v>135</v>
      </c>
    </row>
    <row r="280" spans="1:8" hidden="1" x14ac:dyDescent="0.35">
      <c r="A280" s="1" t="s">
        <v>58</v>
      </c>
      <c r="B280" s="2" t="s">
        <v>59</v>
      </c>
      <c r="C280" s="2" t="s">
        <v>136</v>
      </c>
      <c r="D280" s="1" t="str">
        <f t="shared" si="4"/>
        <v>TSH_7-24_2</v>
      </c>
      <c r="E280" s="10">
        <v>45476</v>
      </c>
      <c r="F280" s="1" t="s">
        <v>135</v>
      </c>
      <c r="G280" s="1" t="s">
        <v>135</v>
      </c>
      <c r="H280" s="1" t="s">
        <v>135</v>
      </c>
    </row>
    <row r="281" spans="1:8" hidden="1" x14ac:dyDescent="0.35">
      <c r="A281" s="1" t="s">
        <v>23</v>
      </c>
      <c r="B281" s="2" t="s">
        <v>59</v>
      </c>
      <c r="C281" s="2" t="s">
        <v>136</v>
      </c>
      <c r="D281" s="1" t="str">
        <f t="shared" si="4"/>
        <v>R127_7-24_2</v>
      </c>
      <c r="E281" s="10">
        <v>45476</v>
      </c>
      <c r="F281" s="1" t="s">
        <v>135</v>
      </c>
      <c r="G281" s="1" t="s">
        <v>135</v>
      </c>
      <c r="H281" s="1" t="s">
        <v>135</v>
      </c>
    </row>
    <row r="282" spans="1:8" x14ac:dyDescent="0.35">
      <c r="A282" s="1" t="s">
        <v>24</v>
      </c>
      <c r="B282" s="2" t="s">
        <v>64</v>
      </c>
      <c r="C282" s="2" t="s">
        <v>134</v>
      </c>
      <c r="D282" s="1" t="str">
        <f t="shared" si="4"/>
        <v>ACS1_8-24_1</v>
      </c>
      <c r="F282" s="1">
        <v>25</v>
      </c>
      <c r="G282" s="10">
        <v>45602</v>
      </c>
      <c r="H282" s="1">
        <v>77.17</v>
      </c>
    </row>
    <row r="283" spans="1:8" x14ac:dyDescent="0.35">
      <c r="A283" s="1" t="s">
        <v>25</v>
      </c>
      <c r="B283" s="2" t="s">
        <v>64</v>
      </c>
      <c r="C283" s="2" t="s">
        <v>134</v>
      </c>
      <c r="D283" s="1" t="str">
        <f t="shared" si="4"/>
        <v>ACS2_8-24_1</v>
      </c>
      <c r="F283" s="1">
        <v>30</v>
      </c>
      <c r="G283" s="10">
        <v>45602</v>
      </c>
      <c r="H283" s="1">
        <v>8.39</v>
      </c>
    </row>
    <row r="284" spans="1:8" x14ac:dyDescent="0.35">
      <c r="A284" s="1" t="s">
        <v>26</v>
      </c>
      <c r="B284" s="2" t="s">
        <v>64</v>
      </c>
      <c r="C284" s="2" t="s">
        <v>134</v>
      </c>
      <c r="D284" s="1" t="str">
        <f t="shared" si="4"/>
        <v>ACS3_8-24_1</v>
      </c>
      <c r="G284" s="10">
        <v>45602</v>
      </c>
      <c r="H284" s="1">
        <v>5.44</v>
      </c>
    </row>
    <row r="285" spans="1:8" hidden="1" x14ac:dyDescent="0.35">
      <c r="A285" s="1" t="s">
        <v>27</v>
      </c>
      <c r="B285" s="2" t="s">
        <v>64</v>
      </c>
      <c r="C285" s="2" t="s">
        <v>134</v>
      </c>
      <c r="D285" s="1" t="str">
        <f t="shared" si="4"/>
        <v>ACS4_8-24_1</v>
      </c>
      <c r="F285" s="1">
        <v>43</v>
      </c>
      <c r="G285" s="10"/>
      <c r="H285" s="1">
        <v>1.23</v>
      </c>
    </row>
    <row r="286" spans="1:8" x14ac:dyDescent="0.35">
      <c r="A286" s="1" t="s">
        <v>28</v>
      </c>
      <c r="B286" s="2" t="s">
        <v>64</v>
      </c>
      <c r="C286" s="2" t="s">
        <v>134</v>
      </c>
      <c r="D286" s="1" t="str">
        <f t="shared" si="4"/>
        <v>ACS5_8-24_1</v>
      </c>
      <c r="F286" s="1">
        <v>50</v>
      </c>
      <c r="G286" s="10">
        <v>45602</v>
      </c>
      <c r="H286" s="1">
        <v>22.75</v>
      </c>
    </row>
    <row r="287" spans="1:8" hidden="1" x14ac:dyDescent="0.35">
      <c r="A287" s="1" t="s">
        <v>29</v>
      </c>
      <c r="B287" s="2" t="s">
        <v>64</v>
      </c>
      <c r="C287" s="2" t="s">
        <v>134</v>
      </c>
      <c r="D287" s="1" t="str">
        <f t="shared" si="4"/>
        <v>GBHM_8-24_1</v>
      </c>
      <c r="G287" s="10"/>
    </row>
    <row r="288" spans="1:8" x14ac:dyDescent="0.35">
      <c r="A288" s="1" t="s">
        <v>30</v>
      </c>
      <c r="B288" s="2" t="s">
        <v>64</v>
      </c>
      <c r="C288" s="2" t="s">
        <v>134</v>
      </c>
      <c r="D288" s="1" t="str">
        <f t="shared" si="4"/>
        <v>DC1_8-24_1</v>
      </c>
      <c r="F288" s="1">
        <v>52</v>
      </c>
      <c r="G288" s="10">
        <v>45602</v>
      </c>
      <c r="H288" s="1">
        <v>18.59</v>
      </c>
    </row>
    <row r="289" spans="1:8" x14ac:dyDescent="0.35">
      <c r="A289" s="1" t="s">
        <v>31</v>
      </c>
      <c r="B289" s="2" t="s">
        <v>64</v>
      </c>
      <c r="C289" s="2" t="s">
        <v>134</v>
      </c>
      <c r="D289" s="1" t="str">
        <f t="shared" si="4"/>
        <v>DCM1_8-24_1</v>
      </c>
      <c r="G289" s="10">
        <v>45602</v>
      </c>
      <c r="H289" s="1">
        <v>16.670000000000002</v>
      </c>
    </row>
    <row r="290" spans="1:8" x14ac:dyDescent="0.35">
      <c r="A290" s="1" t="s">
        <v>32</v>
      </c>
      <c r="B290" s="2" t="s">
        <v>64</v>
      </c>
      <c r="C290" s="2" t="s">
        <v>134</v>
      </c>
      <c r="D290" s="1" t="str">
        <f t="shared" si="4"/>
        <v>DC2_8-24_1</v>
      </c>
      <c r="G290" s="10">
        <v>45602</v>
      </c>
      <c r="H290" s="1">
        <v>22.03</v>
      </c>
    </row>
    <row r="291" spans="1:8" x14ac:dyDescent="0.35">
      <c r="A291" s="1" t="s">
        <v>33</v>
      </c>
      <c r="B291" s="2" t="s">
        <v>64</v>
      </c>
      <c r="C291" s="2" t="s">
        <v>134</v>
      </c>
      <c r="D291" s="1" t="str">
        <f t="shared" si="4"/>
        <v>DCM2_8-24_1</v>
      </c>
      <c r="G291" s="10">
        <v>45602</v>
      </c>
      <c r="H291" s="1">
        <v>56.58</v>
      </c>
    </row>
    <row r="292" spans="1:8" x14ac:dyDescent="0.35">
      <c r="A292" s="1" t="s">
        <v>34</v>
      </c>
      <c r="B292" s="2" t="s">
        <v>64</v>
      </c>
      <c r="C292" s="2" t="s">
        <v>134</v>
      </c>
      <c r="D292" s="1" t="str">
        <f t="shared" si="4"/>
        <v>GB1_8-24_1</v>
      </c>
      <c r="G292" s="10">
        <v>45602</v>
      </c>
      <c r="H292" s="1">
        <v>22.9</v>
      </c>
    </row>
    <row r="293" spans="1:8" x14ac:dyDescent="0.35">
      <c r="A293" s="1" t="s">
        <v>35</v>
      </c>
      <c r="B293" s="2" t="s">
        <v>64</v>
      </c>
      <c r="C293" s="2" t="s">
        <v>134</v>
      </c>
      <c r="D293" s="1" t="str">
        <f t="shared" si="4"/>
        <v>MCS1_8-24_1</v>
      </c>
      <c r="G293" s="10">
        <v>45602</v>
      </c>
      <c r="H293" s="1">
        <v>9.43</v>
      </c>
    </row>
    <row r="294" spans="1:8" x14ac:dyDescent="0.35">
      <c r="A294" s="1" t="s">
        <v>36</v>
      </c>
      <c r="B294" s="2" t="s">
        <v>64</v>
      </c>
      <c r="C294" s="2" t="s">
        <v>134</v>
      </c>
      <c r="D294" s="1" t="str">
        <f t="shared" si="4"/>
        <v>MCS2_8-24_1</v>
      </c>
      <c r="G294" s="10">
        <v>45602</v>
      </c>
      <c r="H294" s="1">
        <v>10.119999999999999</v>
      </c>
    </row>
    <row r="295" spans="1:8" x14ac:dyDescent="0.35">
      <c r="A295" s="1" t="s">
        <v>37</v>
      </c>
      <c r="B295" s="2" t="s">
        <v>64</v>
      </c>
      <c r="C295" s="2" t="s">
        <v>134</v>
      </c>
      <c r="D295" s="1" t="str">
        <f t="shared" si="4"/>
        <v>MCS3_8-24_1</v>
      </c>
      <c r="G295" s="10">
        <v>45602</v>
      </c>
      <c r="H295" s="1">
        <v>13.7</v>
      </c>
    </row>
    <row r="296" spans="1:8" x14ac:dyDescent="0.35">
      <c r="A296" s="1" t="s">
        <v>38</v>
      </c>
      <c r="B296" s="2" t="s">
        <v>64</v>
      </c>
      <c r="C296" s="2" t="s">
        <v>134</v>
      </c>
      <c r="D296" s="1" t="str">
        <f t="shared" si="4"/>
        <v>MCS4_8-24_1</v>
      </c>
      <c r="G296" s="10">
        <v>45602</v>
      </c>
      <c r="H296" s="1">
        <v>11.05</v>
      </c>
    </row>
    <row r="297" spans="1:8" x14ac:dyDescent="0.35">
      <c r="A297" s="1" t="s">
        <v>51</v>
      </c>
      <c r="B297" s="2" t="s">
        <v>64</v>
      </c>
      <c r="C297" s="2" t="s">
        <v>134</v>
      </c>
      <c r="D297" s="1" t="str">
        <f t="shared" si="4"/>
        <v>TBC_8-24_1</v>
      </c>
      <c r="G297" s="10">
        <v>45602</v>
      </c>
      <c r="H297" s="1">
        <v>5.5</v>
      </c>
    </row>
    <row r="298" spans="1:8" x14ac:dyDescent="0.35">
      <c r="A298" s="1" t="s">
        <v>39</v>
      </c>
      <c r="B298" s="2" t="s">
        <v>64</v>
      </c>
      <c r="C298" s="2" t="s">
        <v>134</v>
      </c>
      <c r="D298" s="1" t="str">
        <f t="shared" si="4"/>
        <v>TBHM_8-24_1</v>
      </c>
      <c r="G298" s="10">
        <v>45602</v>
      </c>
      <c r="H298" s="1">
        <v>13.51</v>
      </c>
    </row>
    <row r="299" spans="1:8" x14ac:dyDescent="0.35">
      <c r="A299" s="1" t="s">
        <v>40</v>
      </c>
      <c r="B299" s="2" t="s">
        <v>64</v>
      </c>
      <c r="C299" s="2" t="s">
        <v>134</v>
      </c>
      <c r="D299" s="1" t="str">
        <f t="shared" si="4"/>
        <v>TBCM_8-24_1</v>
      </c>
      <c r="G299" s="10">
        <v>45602</v>
      </c>
      <c r="H299" s="1">
        <v>8.16</v>
      </c>
    </row>
    <row r="300" spans="1:8" x14ac:dyDescent="0.35">
      <c r="A300" s="1" t="s">
        <v>41</v>
      </c>
      <c r="B300" s="2" t="s">
        <v>64</v>
      </c>
      <c r="C300" s="2" t="s">
        <v>134</v>
      </c>
      <c r="D300" s="1" t="str">
        <f t="shared" si="4"/>
        <v>TB1_8-24_1</v>
      </c>
      <c r="G300" s="10">
        <v>45602</v>
      </c>
      <c r="H300" s="1">
        <v>2.91</v>
      </c>
    </row>
    <row r="301" spans="1:8" x14ac:dyDescent="0.35">
      <c r="A301" s="1" t="s">
        <v>42</v>
      </c>
      <c r="B301" s="2" t="s">
        <v>64</v>
      </c>
      <c r="C301" s="2" t="s">
        <v>134</v>
      </c>
      <c r="D301" s="1" t="str">
        <f t="shared" si="4"/>
        <v>TB2_8-24_1</v>
      </c>
      <c r="G301" s="10">
        <v>45602</v>
      </c>
      <c r="H301" s="1">
        <v>7.6</v>
      </c>
    </row>
    <row r="302" spans="1:8" x14ac:dyDescent="0.35">
      <c r="A302" s="1" t="s">
        <v>43</v>
      </c>
      <c r="B302" s="2" t="s">
        <v>64</v>
      </c>
      <c r="C302" s="2" t="s">
        <v>134</v>
      </c>
      <c r="D302" s="1" t="str">
        <f t="shared" si="4"/>
        <v>GB2_8-24_1</v>
      </c>
      <c r="G302" s="10">
        <v>45602</v>
      </c>
      <c r="H302" s="1">
        <v>17.46</v>
      </c>
    </row>
    <row r="303" spans="1:8" hidden="1" x14ac:dyDescent="0.35">
      <c r="A303" s="1" t="s">
        <v>44</v>
      </c>
      <c r="B303" s="2" t="s">
        <v>64</v>
      </c>
      <c r="C303" s="2" t="s">
        <v>134</v>
      </c>
      <c r="D303" s="1" t="str">
        <f t="shared" si="4"/>
        <v>RB_8-24_1</v>
      </c>
      <c r="G303" s="10"/>
    </row>
    <row r="304" spans="1:8" hidden="1" x14ac:dyDescent="0.35">
      <c r="A304" s="1" t="s">
        <v>45</v>
      </c>
      <c r="B304" s="2" t="s">
        <v>64</v>
      </c>
      <c r="C304" s="2" t="s">
        <v>134</v>
      </c>
      <c r="D304" s="1" t="str">
        <f t="shared" si="4"/>
        <v>TSM1_8-24_1</v>
      </c>
      <c r="G304" s="10"/>
    </row>
    <row r="305" spans="1:8" x14ac:dyDescent="0.35">
      <c r="A305" s="1" t="s">
        <v>46</v>
      </c>
      <c r="B305" s="2" t="s">
        <v>64</v>
      </c>
      <c r="C305" s="2" t="s">
        <v>134</v>
      </c>
      <c r="D305" s="1" t="str">
        <f t="shared" si="4"/>
        <v>TSM3_8-24_1</v>
      </c>
      <c r="G305" s="10">
        <v>45602</v>
      </c>
      <c r="H305" s="1">
        <v>9.6199999999999992</v>
      </c>
    </row>
    <row r="306" spans="1:8" x14ac:dyDescent="0.35">
      <c r="A306" s="1" t="s">
        <v>47</v>
      </c>
      <c r="B306" s="2" t="s">
        <v>64</v>
      </c>
      <c r="C306" s="2" t="s">
        <v>134</v>
      </c>
      <c r="D306" s="1" t="str">
        <f t="shared" si="4"/>
        <v>TSM4_8-24_1</v>
      </c>
      <c r="G306" s="10">
        <v>45602</v>
      </c>
      <c r="H306" s="1">
        <v>7.92</v>
      </c>
    </row>
    <row r="307" spans="1:8" x14ac:dyDescent="0.35">
      <c r="A307" s="1" t="s">
        <v>48</v>
      </c>
      <c r="B307" s="2" t="s">
        <v>64</v>
      </c>
      <c r="C307" s="2" t="s">
        <v>134</v>
      </c>
      <c r="D307" s="1" t="str">
        <f t="shared" si="4"/>
        <v>SBT1_8-24_1</v>
      </c>
      <c r="G307" s="10">
        <v>45602</v>
      </c>
      <c r="H307" s="1">
        <v>15.61</v>
      </c>
    </row>
    <row r="308" spans="1:8" x14ac:dyDescent="0.35">
      <c r="A308" s="1" t="s">
        <v>49</v>
      </c>
      <c r="B308" s="2" t="s">
        <v>64</v>
      </c>
      <c r="C308" s="2" t="s">
        <v>134</v>
      </c>
      <c r="D308" s="1" t="str">
        <f t="shared" si="4"/>
        <v>SBT2_8-24_1</v>
      </c>
      <c r="G308" s="10">
        <v>45602</v>
      </c>
      <c r="H308" s="1">
        <v>7.54</v>
      </c>
    </row>
    <row r="309" spans="1:8" hidden="1" x14ac:dyDescent="0.35">
      <c r="A309" s="1" t="s">
        <v>52</v>
      </c>
      <c r="B309" s="2" t="s">
        <v>64</v>
      </c>
      <c r="C309" s="2" t="s">
        <v>134</v>
      </c>
      <c r="D309" s="1" t="str">
        <f t="shared" si="4"/>
        <v>WB1_8-24_1</v>
      </c>
      <c r="G309" s="10"/>
    </row>
    <row r="310" spans="1:8" x14ac:dyDescent="0.35">
      <c r="A310" s="1" t="s">
        <v>53</v>
      </c>
      <c r="B310" s="2" t="s">
        <v>64</v>
      </c>
      <c r="C310" s="2" t="s">
        <v>134</v>
      </c>
      <c r="D310" s="1" t="str">
        <f t="shared" si="4"/>
        <v>WB2_8-24_1</v>
      </c>
      <c r="G310" s="10">
        <v>45602</v>
      </c>
      <c r="H310" s="1">
        <v>1.79</v>
      </c>
    </row>
    <row r="311" spans="1:8" x14ac:dyDescent="0.35">
      <c r="A311" s="1" t="s">
        <v>54</v>
      </c>
      <c r="B311" s="2" t="s">
        <v>64</v>
      </c>
      <c r="C311" s="2" t="s">
        <v>134</v>
      </c>
      <c r="D311" s="1" t="str">
        <f t="shared" si="4"/>
        <v>TKB_8-24_1</v>
      </c>
      <c r="G311" s="10">
        <v>45602</v>
      </c>
      <c r="H311" s="1">
        <v>2.2799999999999998</v>
      </c>
    </row>
    <row r="312" spans="1:8" x14ac:dyDescent="0.35">
      <c r="A312" s="1" t="s">
        <v>55</v>
      </c>
      <c r="B312" s="2" t="s">
        <v>64</v>
      </c>
      <c r="C312" s="2" t="s">
        <v>134</v>
      </c>
      <c r="D312" s="1" t="str">
        <f t="shared" si="4"/>
        <v>JB_8-24_1</v>
      </c>
      <c r="G312" s="10">
        <v>45602</v>
      </c>
      <c r="H312" s="1">
        <v>1.31</v>
      </c>
    </row>
    <row r="313" spans="1:8" x14ac:dyDescent="0.35">
      <c r="A313" s="1" t="s">
        <v>56</v>
      </c>
      <c r="B313" s="2" t="s">
        <v>64</v>
      </c>
      <c r="C313" s="2" t="s">
        <v>134</v>
      </c>
      <c r="D313" s="1" t="str">
        <f t="shared" si="4"/>
        <v>CC_8-24_1</v>
      </c>
      <c r="G313" s="10">
        <v>45602</v>
      </c>
      <c r="H313" s="1">
        <v>8.93</v>
      </c>
    </row>
    <row r="314" spans="1:8" x14ac:dyDescent="0.35">
      <c r="A314" s="1" t="s">
        <v>24</v>
      </c>
      <c r="B314" s="2" t="s">
        <v>64</v>
      </c>
      <c r="C314" s="2" t="s">
        <v>136</v>
      </c>
      <c r="D314" s="1" t="str">
        <f t="shared" si="4"/>
        <v>ACS1_8-24_2</v>
      </c>
      <c r="F314" s="1">
        <v>25</v>
      </c>
      <c r="G314" s="10">
        <v>45602</v>
      </c>
      <c r="H314" s="1">
        <v>49.32</v>
      </c>
    </row>
    <row r="315" spans="1:8" hidden="1" x14ac:dyDescent="0.35">
      <c r="A315" s="1" t="s">
        <v>25</v>
      </c>
      <c r="B315" s="2" t="s">
        <v>64</v>
      </c>
      <c r="C315" s="2" t="s">
        <v>136</v>
      </c>
      <c r="D315" s="1" t="str">
        <f t="shared" si="4"/>
        <v>ACS2_8-24_2</v>
      </c>
      <c r="F315" s="1">
        <v>29</v>
      </c>
      <c r="G315" s="10"/>
      <c r="H315" s="1">
        <v>4.8600000000000003</v>
      </c>
    </row>
    <row r="316" spans="1:8" x14ac:dyDescent="0.35">
      <c r="A316" s="1" t="s">
        <v>26</v>
      </c>
      <c r="B316" s="2" t="s">
        <v>64</v>
      </c>
      <c r="C316" s="2" t="s">
        <v>136</v>
      </c>
      <c r="D316" s="1" t="str">
        <f t="shared" si="4"/>
        <v>ACS3_8-24_2</v>
      </c>
      <c r="G316" s="10">
        <v>45602</v>
      </c>
      <c r="H316" s="1">
        <v>38.42</v>
      </c>
    </row>
    <row r="317" spans="1:8" hidden="1" x14ac:dyDescent="0.35">
      <c r="A317" s="1" t="s">
        <v>27</v>
      </c>
      <c r="B317" s="2" t="s">
        <v>64</v>
      </c>
      <c r="C317" s="2" t="s">
        <v>136</v>
      </c>
      <c r="D317" s="1" t="str">
        <f t="shared" si="4"/>
        <v>ACS4_8-24_2</v>
      </c>
      <c r="F317" s="1">
        <v>37</v>
      </c>
      <c r="G317" s="10"/>
      <c r="H317" s="1">
        <v>1.83</v>
      </c>
    </row>
    <row r="318" spans="1:8" x14ac:dyDescent="0.35">
      <c r="A318" s="1" t="s">
        <v>28</v>
      </c>
      <c r="B318" s="2" t="s">
        <v>64</v>
      </c>
      <c r="C318" s="2" t="s">
        <v>136</v>
      </c>
      <c r="D318" s="1" t="str">
        <f t="shared" si="4"/>
        <v>ACS5_8-24_2</v>
      </c>
      <c r="F318" s="1">
        <v>50</v>
      </c>
      <c r="G318" s="10">
        <v>45602</v>
      </c>
      <c r="H318" s="1">
        <v>22.37</v>
      </c>
    </row>
    <row r="319" spans="1:8" hidden="1" x14ac:dyDescent="0.35">
      <c r="A319" s="1" t="s">
        <v>29</v>
      </c>
      <c r="B319" s="2" t="s">
        <v>64</v>
      </c>
      <c r="C319" s="2" t="s">
        <v>136</v>
      </c>
      <c r="D319" s="1" t="str">
        <f t="shared" ref="D319:D347" si="5">A319&amp;"_"&amp;B319&amp;"_"&amp;C319</f>
        <v>GBHM_8-24_2</v>
      </c>
      <c r="G319" s="10"/>
    </row>
    <row r="320" spans="1:8" x14ac:dyDescent="0.35">
      <c r="A320" s="1" t="s">
        <v>30</v>
      </c>
      <c r="B320" s="2" t="s">
        <v>64</v>
      </c>
      <c r="C320" s="2" t="s">
        <v>136</v>
      </c>
      <c r="D320" s="1" t="str">
        <f t="shared" si="5"/>
        <v>DC1_8-24_2</v>
      </c>
      <c r="F320" s="1">
        <v>51</v>
      </c>
      <c r="G320" s="10">
        <v>45602</v>
      </c>
      <c r="H320" s="1">
        <v>27.11</v>
      </c>
    </row>
    <row r="321" spans="1:8" x14ac:dyDescent="0.35">
      <c r="A321" s="1" t="s">
        <v>31</v>
      </c>
      <c r="B321" s="2" t="s">
        <v>64</v>
      </c>
      <c r="C321" s="2" t="s">
        <v>136</v>
      </c>
      <c r="D321" s="1" t="str">
        <f t="shared" si="5"/>
        <v>DCM1_8-24_2</v>
      </c>
      <c r="G321" s="10">
        <v>45602</v>
      </c>
      <c r="H321" s="1">
        <v>17.11</v>
      </c>
    </row>
    <row r="322" spans="1:8" x14ac:dyDescent="0.35">
      <c r="A322" s="1" t="s">
        <v>32</v>
      </c>
      <c r="B322" s="2" t="s">
        <v>64</v>
      </c>
      <c r="C322" s="2" t="s">
        <v>136</v>
      </c>
      <c r="D322" s="1" t="str">
        <f t="shared" si="5"/>
        <v>DC2_8-24_2</v>
      </c>
      <c r="G322" s="10">
        <v>45602</v>
      </c>
      <c r="H322" s="1">
        <v>23.52</v>
      </c>
    </row>
    <row r="323" spans="1:8" x14ac:dyDescent="0.35">
      <c r="A323" s="1" t="s">
        <v>33</v>
      </c>
      <c r="B323" s="2" t="s">
        <v>64</v>
      </c>
      <c r="C323" s="2" t="s">
        <v>136</v>
      </c>
      <c r="D323" s="1" t="str">
        <f t="shared" si="5"/>
        <v>DCM2_8-24_2</v>
      </c>
      <c r="G323" s="10">
        <v>45602</v>
      </c>
      <c r="H323" s="1">
        <v>31.19</v>
      </c>
    </row>
    <row r="324" spans="1:8" x14ac:dyDescent="0.35">
      <c r="A324" s="1" t="s">
        <v>34</v>
      </c>
      <c r="B324" s="2" t="s">
        <v>64</v>
      </c>
      <c r="C324" s="2" t="s">
        <v>136</v>
      </c>
      <c r="D324" s="1" t="str">
        <f t="shared" si="5"/>
        <v>GB1_8-24_2</v>
      </c>
      <c r="G324" s="10">
        <v>45602</v>
      </c>
      <c r="H324" s="1">
        <v>22.9</v>
      </c>
    </row>
    <row r="325" spans="1:8" x14ac:dyDescent="0.35">
      <c r="A325" s="1" t="s">
        <v>35</v>
      </c>
      <c r="B325" s="2" t="s">
        <v>64</v>
      </c>
      <c r="C325" s="2" t="s">
        <v>136</v>
      </c>
      <c r="D325" s="1" t="str">
        <f t="shared" si="5"/>
        <v>MCS1_8-24_2</v>
      </c>
      <c r="G325" s="10">
        <v>45602</v>
      </c>
      <c r="H325" s="1">
        <v>10.050000000000001</v>
      </c>
    </row>
    <row r="326" spans="1:8" x14ac:dyDescent="0.35">
      <c r="A326" s="1" t="s">
        <v>36</v>
      </c>
      <c r="B326" s="2" t="s">
        <v>64</v>
      </c>
      <c r="C326" s="2" t="s">
        <v>136</v>
      </c>
      <c r="D326" s="1" t="str">
        <f t="shared" si="5"/>
        <v>MCS2_8-24_2</v>
      </c>
      <c r="G326" s="10">
        <v>45602</v>
      </c>
      <c r="H326" s="1">
        <v>9.8800000000000008</v>
      </c>
    </row>
    <row r="327" spans="1:8" x14ac:dyDescent="0.35">
      <c r="A327" s="1" t="s">
        <v>37</v>
      </c>
      <c r="B327" s="2" t="s">
        <v>64</v>
      </c>
      <c r="C327" s="2" t="s">
        <v>136</v>
      </c>
      <c r="D327" s="1" t="str">
        <f t="shared" si="5"/>
        <v>MCS3_8-24_2</v>
      </c>
      <c r="G327" s="10">
        <v>45602</v>
      </c>
      <c r="H327" s="1">
        <v>11.36</v>
      </c>
    </row>
    <row r="328" spans="1:8" x14ac:dyDescent="0.35">
      <c r="A328" s="1" t="s">
        <v>38</v>
      </c>
      <c r="B328" s="2" t="s">
        <v>64</v>
      </c>
      <c r="C328" s="2" t="s">
        <v>136</v>
      </c>
      <c r="D328" s="1" t="str">
        <f t="shared" si="5"/>
        <v>MCS4_8-24_2</v>
      </c>
      <c r="G328" s="10">
        <v>45602</v>
      </c>
      <c r="H328" s="1">
        <v>12.88</v>
      </c>
    </row>
    <row r="329" spans="1:8" x14ac:dyDescent="0.35">
      <c r="A329" s="1" t="s">
        <v>51</v>
      </c>
      <c r="B329" s="2" t="s">
        <v>64</v>
      </c>
      <c r="C329" s="2" t="s">
        <v>136</v>
      </c>
      <c r="D329" s="1" t="str">
        <f t="shared" si="5"/>
        <v>TBC_8-24_2</v>
      </c>
      <c r="G329" s="10">
        <v>45602</v>
      </c>
      <c r="H329" s="1">
        <v>5.4</v>
      </c>
    </row>
    <row r="330" spans="1:8" x14ac:dyDescent="0.35">
      <c r="A330" s="1" t="s">
        <v>39</v>
      </c>
      <c r="B330" s="2" t="s">
        <v>64</v>
      </c>
      <c r="C330" s="2" t="s">
        <v>136</v>
      </c>
      <c r="D330" s="1" t="str">
        <f t="shared" si="5"/>
        <v>TBHM_8-24_2</v>
      </c>
      <c r="G330" s="10">
        <v>45602</v>
      </c>
      <c r="H330" s="1">
        <v>24.49</v>
      </c>
    </row>
    <row r="331" spans="1:8" x14ac:dyDescent="0.35">
      <c r="A331" s="1" t="s">
        <v>40</v>
      </c>
      <c r="B331" s="2" t="s">
        <v>64</v>
      </c>
      <c r="C331" s="2" t="s">
        <v>136</v>
      </c>
      <c r="D331" s="1" t="str">
        <f t="shared" si="5"/>
        <v>TBCM_8-24_2</v>
      </c>
      <c r="G331" s="10">
        <v>45602</v>
      </c>
      <c r="H331" s="1">
        <v>8.1300000000000008</v>
      </c>
    </row>
    <row r="332" spans="1:8" x14ac:dyDescent="0.35">
      <c r="A332" s="1" t="s">
        <v>41</v>
      </c>
      <c r="B332" s="2" t="s">
        <v>64</v>
      </c>
      <c r="C332" s="2" t="s">
        <v>136</v>
      </c>
      <c r="D332" s="1" t="str">
        <f t="shared" si="5"/>
        <v>TB1_8-24_2</v>
      </c>
      <c r="G332" s="10">
        <v>45602</v>
      </c>
      <c r="H332" s="1">
        <v>6.58</v>
      </c>
    </row>
    <row r="333" spans="1:8" x14ac:dyDescent="0.35">
      <c r="A333" s="1" t="s">
        <v>42</v>
      </c>
      <c r="B333" s="2" t="s">
        <v>64</v>
      </c>
      <c r="C333" s="2" t="s">
        <v>136</v>
      </c>
      <c r="D333" s="1" t="str">
        <f t="shared" si="5"/>
        <v>TB2_8-24_2</v>
      </c>
      <c r="G333" s="10">
        <v>45602</v>
      </c>
      <c r="H333" s="1">
        <v>6.43</v>
      </c>
    </row>
    <row r="334" spans="1:8" x14ac:dyDescent="0.35">
      <c r="A334" s="1" t="s">
        <v>43</v>
      </c>
      <c r="B334" s="2" t="s">
        <v>64</v>
      </c>
      <c r="C334" s="2" t="s">
        <v>136</v>
      </c>
      <c r="D334" s="1" t="str">
        <f t="shared" si="5"/>
        <v>GB2_8-24_2</v>
      </c>
      <c r="G334" s="10">
        <v>45602</v>
      </c>
      <c r="H334" s="1">
        <v>14.2</v>
      </c>
    </row>
    <row r="335" spans="1:8" hidden="1" x14ac:dyDescent="0.35">
      <c r="A335" s="1" t="s">
        <v>44</v>
      </c>
      <c r="B335" s="2" t="s">
        <v>64</v>
      </c>
      <c r="C335" s="2" t="s">
        <v>136</v>
      </c>
      <c r="D335" s="1" t="str">
        <f t="shared" si="5"/>
        <v>RB_8-24_2</v>
      </c>
      <c r="G335" s="10"/>
    </row>
    <row r="336" spans="1:8" hidden="1" x14ac:dyDescent="0.35">
      <c r="A336" s="1" t="s">
        <v>45</v>
      </c>
      <c r="B336" s="2" t="s">
        <v>64</v>
      </c>
      <c r="C336" s="2" t="s">
        <v>136</v>
      </c>
      <c r="D336" s="1" t="str">
        <f t="shared" si="5"/>
        <v>TSM1_8-24_2</v>
      </c>
      <c r="G336" s="10"/>
    </row>
    <row r="337" spans="1:8" x14ac:dyDescent="0.35">
      <c r="A337" s="1" t="s">
        <v>46</v>
      </c>
      <c r="B337" s="2" t="s">
        <v>64</v>
      </c>
      <c r="C337" s="2" t="s">
        <v>136</v>
      </c>
      <c r="D337" s="1" t="str">
        <f t="shared" si="5"/>
        <v>TSM3_8-24_2</v>
      </c>
      <c r="G337" s="10">
        <v>45602</v>
      </c>
      <c r="H337" s="1">
        <v>11.43</v>
      </c>
    </row>
    <row r="338" spans="1:8" x14ac:dyDescent="0.35">
      <c r="A338" s="1" t="s">
        <v>47</v>
      </c>
      <c r="B338" s="2" t="s">
        <v>64</v>
      </c>
      <c r="C338" s="2" t="s">
        <v>136</v>
      </c>
      <c r="D338" s="1" t="str">
        <f t="shared" si="5"/>
        <v>TSM4_8-24_2</v>
      </c>
      <c r="G338" s="10">
        <v>45602</v>
      </c>
      <c r="H338" s="1">
        <v>8.5399999999999991</v>
      </c>
    </row>
    <row r="339" spans="1:8" x14ac:dyDescent="0.35">
      <c r="A339" s="1" t="s">
        <v>48</v>
      </c>
      <c r="B339" s="2" t="s">
        <v>64</v>
      </c>
      <c r="C339" s="2" t="s">
        <v>136</v>
      </c>
      <c r="D339" s="1" t="str">
        <f t="shared" si="5"/>
        <v>SBT1_8-24_2</v>
      </c>
      <c r="G339" s="10">
        <v>45602</v>
      </c>
      <c r="H339" s="1">
        <v>16.64</v>
      </c>
    </row>
    <row r="340" spans="1:8" x14ac:dyDescent="0.35">
      <c r="A340" s="1" t="s">
        <v>49</v>
      </c>
      <c r="B340" s="2" t="s">
        <v>64</v>
      </c>
      <c r="C340" s="2" t="s">
        <v>136</v>
      </c>
      <c r="D340" s="1" t="str">
        <f t="shared" si="5"/>
        <v>SBT2_8-24_2</v>
      </c>
      <c r="G340" s="10">
        <v>45602</v>
      </c>
      <c r="H340" s="1">
        <v>6.93</v>
      </c>
    </row>
    <row r="341" spans="1:8" x14ac:dyDescent="0.35">
      <c r="A341" s="1" t="s">
        <v>52</v>
      </c>
      <c r="B341" s="2" t="s">
        <v>64</v>
      </c>
      <c r="C341" s="2" t="s">
        <v>136</v>
      </c>
      <c r="D341" s="1" t="str">
        <f t="shared" si="5"/>
        <v>WB1_8-24_2</v>
      </c>
      <c r="G341" s="10">
        <v>45602</v>
      </c>
      <c r="H341" s="1">
        <v>8.1999999999999993</v>
      </c>
    </row>
    <row r="342" spans="1:8" x14ac:dyDescent="0.35">
      <c r="A342" s="1" t="s">
        <v>53</v>
      </c>
      <c r="B342" s="2" t="s">
        <v>64</v>
      </c>
      <c r="C342" s="2" t="s">
        <v>136</v>
      </c>
      <c r="D342" s="1" t="str">
        <f t="shared" si="5"/>
        <v>WB2_8-24_2</v>
      </c>
      <c r="G342" s="10">
        <v>45602</v>
      </c>
      <c r="H342" s="1">
        <v>1.87</v>
      </c>
    </row>
    <row r="343" spans="1:8" x14ac:dyDescent="0.35">
      <c r="A343" s="1" t="s">
        <v>54</v>
      </c>
      <c r="B343" s="2" t="s">
        <v>64</v>
      </c>
      <c r="C343" s="2" t="s">
        <v>136</v>
      </c>
      <c r="D343" s="1" t="str">
        <f t="shared" si="5"/>
        <v>TKB_8-24_2</v>
      </c>
      <c r="G343" s="10">
        <v>45602</v>
      </c>
      <c r="H343" s="1">
        <v>2.1</v>
      </c>
    </row>
    <row r="344" spans="1:8" x14ac:dyDescent="0.35">
      <c r="A344" s="1" t="s">
        <v>55</v>
      </c>
      <c r="B344" s="2" t="s">
        <v>64</v>
      </c>
      <c r="C344" s="2" t="s">
        <v>136</v>
      </c>
      <c r="D344" s="1" t="str">
        <f t="shared" si="5"/>
        <v>JB_8-24_2</v>
      </c>
      <c r="G344" s="10">
        <v>45602</v>
      </c>
      <c r="H344" s="1">
        <v>0.84</v>
      </c>
    </row>
    <row r="345" spans="1:8" x14ac:dyDescent="0.35">
      <c r="A345" s="1" t="s">
        <v>56</v>
      </c>
      <c r="B345" s="2" t="s">
        <v>64</v>
      </c>
      <c r="C345" s="2" t="s">
        <v>136</v>
      </c>
      <c r="D345" s="1" t="str">
        <f t="shared" si="5"/>
        <v>CC_8-24_2</v>
      </c>
      <c r="G345" s="10">
        <v>45602</v>
      </c>
      <c r="H345" s="1">
        <v>4.07</v>
      </c>
    </row>
    <row r="346" spans="1:8" x14ac:dyDescent="0.35">
      <c r="A346" s="1" t="s">
        <v>22</v>
      </c>
      <c r="B346" s="2" t="s">
        <v>137</v>
      </c>
      <c r="C346" s="2" t="s">
        <v>134</v>
      </c>
      <c r="D346" s="1" t="str">
        <f t="shared" si="5"/>
        <v>OL_7_24_1</v>
      </c>
      <c r="E346" s="10">
        <v>45502</v>
      </c>
      <c r="F346" s="1">
        <v>54</v>
      </c>
      <c r="G346" s="10">
        <v>45602</v>
      </c>
      <c r="H346" s="1">
        <v>3.52</v>
      </c>
    </row>
    <row r="347" spans="1:8" x14ac:dyDescent="0.35">
      <c r="A347" s="1" t="s">
        <v>22</v>
      </c>
      <c r="B347" s="2" t="s">
        <v>137</v>
      </c>
      <c r="C347" s="2" t="s">
        <v>136</v>
      </c>
      <c r="D347" s="1" t="str">
        <f t="shared" si="5"/>
        <v>OL_7_24_2</v>
      </c>
      <c r="E347" s="10">
        <v>45502</v>
      </c>
      <c r="F347" s="1">
        <v>54</v>
      </c>
      <c r="G347" s="10">
        <v>45602</v>
      </c>
      <c r="H347" s="1">
        <v>1.18</v>
      </c>
    </row>
    <row r="348" spans="1:8" x14ac:dyDescent="0.35">
      <c r="A348" s="1" t="s">
        <v>46</v>
      </c>
      <c r="B348" s="2" t="s">
        <v>138</v>
      </c>
      <c r="C348" s="2" t="s">
        <v>134</v>
      </c>
      <c r="D348" s="1" t="s">
        <v>139</v>
      </c>
      <c r="E348" s="10">
        <v>45524</v>
      </c>
      <c r="F348" s="1">
        <v>54</v>
      </c>
      <c r="G348" s="10">
        <v>45602</v>
      </c>
      <c r="H348" s="1">
        <v>9.6199999999999992</v>
      </c>
    </row>
    <row r="349" spans="1:8" x14ac:dyDescent="0.35">
      <c r="A349" s="1" t="s">
        <v>47</v>
      </c>
      <c r="B349" s="2" t="s">
        <v>138</v>
      </c>
      <c r="C349" s="2" t="s">
        <v>134</v>
      </c>
      <c r="D349" s="1" t="s">
        <v>140</v>
      </c>
      <c r="E349" s="10">
        <v>45524</v>
      </c>
      <c r="F349" s="1">
        <v>55</v>
      </c>
      <c r="G349" s="10">
        <v>45602</v>
      </c>
      <c r="H349" s="1">
        <v>11.43</v>
      </c>
    </row>
    <row r="350" spans="1:8" x14ac:dyDescent="0.35">
      <c r="A350" s="1" t="s">
        <v>46</v>
      </c>
      <c r="B350" s="2" t="s">
        <v>138</v>
      </c>
      <c r="C350" s="2" t="s">
        <v>136</v>
      </c>
      <c r="D350" s="1" t="s">
        <v>141</v>
      </c>
      <c r="E350" s="10">
        <v>45524</v>
      </c>
      <c r="F350" s="1">
        <v>56</v>
      </c>
      <c r="G350" s="10">
        <v>45602</v>
      </c>
      <c r="H350" s="1">
        <v>7.92</v>
      </c>
    </row>
    <row r="351" spans="1:8" x14ac:dyDescent="0.35">
      <c r="A351" s="1" t="s">
        <v>47</v>
      </c>
      <c r="B351" s="2" t="s">
        <v>138</v>
      </c>
      <c r="C351" s="2" t="s">
        <v>136</v>
      </c>
      <c r="D351" s="1" t="s">
        <v>142</v>
      </c>
      <c r="E351" s="10">
        <v>45524</v>
      </c>
      <c r="F351" s="1">
        <v>53</v>
      </c>
      <c r="G351" s="10">
        <v>45602</v>
      </c>
      <c r="H351" s="1">
        <v>8.5399999999999991</v>
      </c>
    </row>
  </sheetData>
  <autoFilter ref="A1:H351" xr:uid="{27BD15E3-4BDC-454A-A05D-20BB71F17961}">
    <filterColumn colId="5">
      <filters blank="1">
        <filter val="11"/>
        <filter val="17"/>
        <filter val="20"/>
        <filter val="22"/>
        <filter val="24"/>
        <filter val="25"/>
        <filter val="28"/>
        <filter val="30"/>
        <filter val="48"/>
        <filter val="5"/>
        <filter val="50"/>
        <filter val="51"/>
        <filter val="52"/>
        <filter val="53"/>
        <filter val="54"/>
        <filter val="55"/>
        <filter val="56"/>
        <filter val="57"/>
        <filter val="58"/>
      </filters>
    </filterColumn>
    <filterColumn colId="6">
      <filters>
        <dateGroupItem year="2024" dateTimeGrouping="year"/>
        <dateGroupItem year="2023" dateTimeGrouping="year"/>
      </filters>
    </filterColumn>
    <filterColumn colId="7">
      <filters>
        <filter val="0.11"/>
        <filter val="0.39"/>
        <filter val="0.41"/>
        <filter val="0.42"/>
        <filter val="0.56"/>
        <filter val="0.59"/>
        <filter val="0.63"/>
        <filter val="0.66"/>
        <filter val="0.69"/>
        <filter val="0.75"/>
        <filter val="0.76"/>
        <filter val="0.78"/>
        <filter val="0.82"/>
        <filter val="0.83"/>
        <filter val="0.84"/>
        <filter val="0.86"/>
        <filter val="0.97"/>
        <filter val="1.06"/>
        <filter val="1.18"/>
        <filter val="1.25"/>
        <filter val="1.3"/>
        <filter val="1.31"/>
        <filter val="1.36"/>
        <filter val="1.38"/>
        <filter val="1.47"/>
        <filter val="1.64"/>
        <filter val="1.66"/>
        <filter val="1.69"/>
        <filter val="1.79"/>
        <filter val="1.87"/>
        <filter val="1.9"/>
        <filter val="10.05"/>
        <filter val="10.1"/>
        <filter val="10.12"/>
        <filter val="11.05"/>
        <filter val="11.36"/>
        <filter val="11.43"/>
        <filter val="12.88"/>
        <filter val="13.29"/>
        <filter val="13.47"/>
        <filter val="13.51"/>
        <filter val="13.7"/>
        <filter val="13.85"/>
        <filter val="13.95"/>
        <filter val="13.97"/>
        <filter val="13.99"/>
        <filter val="14.2"/>
        <filter val="14.23"/>
        <filter val="14.25"/>
        <filter val="14.61"/>
        <filter val="14.74"/>
        <filter val="14.9"/>
        <filter val="15.17"/>
        <filter val="15.23"/>
        <filter val="15.24"/>
        <filter val="15.42"/>
        <filter val="15.61"/>
        <filter val="15.8"/>
        <filter val="16.18"/>
        <filter val="16.47"/>
        <filter val="16.59"/>
        <filter val="16.64"/>
        <filter val="16.67"/>
        <filter val="16.77"/>
        <filter val="16.8"/>
        <filter val="16.95"/>
        <filter val="17.04"/>
        <filter val="17.11"/>
        <filter val="17.21"/>
        <filter val="17.46"/>
        <filter val="17.52"/>
        <filter val="17.71"/>
        <filter val="17.75"/>
        <filter val="18.15"/>
        <filter val="18.33"/>
        <filter val="18.42"/>
        <filter val="18.59"/>
        <filter val="19.06"/>
        <filter val="19.61"/>
        <filter val="19.83"/>
        <filter val="19.95"/>
        <filter val="2.1"/>
        <filter val="2.28"/>
        <filter val="2.42"/>
        <filter val="2.69"/>
        <filter val="2.74"/>
        <filter val="2.91"/>
        <filter val="21.26"/>
        <filter val="21.45"/>
        <filter val="22.03"/>
        <filter val="22.23"/>
        <filter val="22.27"/>
        <filter val="22.37"/>
        <filter val="22.51"/>
        <filter val="22.75"/>
        <filter val="22.79"/>
        <filter val="22.9"/>
        <filter val="23.29"/>
        <filter val="23.46"/>
        <filter val="23.52"/>
        <filter val="24.49"/>
        <filter val="24.9"/>
        <filter val="25.07"/>
        <filter val="25.22"/>
        <filter val="25.49"/>
        <filter val="25.69"/>
        <filter val="26.73"/>
        <filter val="26.89"/>
        <filter val="27.11"/>
        <filter val="27.93"/>
        <filter val="28.1"/>
        <filter val="28.52"/>
        <filter val="29.72"/>
        <filter val="3.08"/>
        <filter val="3.13"/>
        <filter val="3.31"/>
        <filter val="3.4"/>
        <filter val="3.52"/>
        <filter val="30.08"/>
        <filter val="30.25"/>
        <filter val="30.69"/>
        <filter val="30.97"/>
        <filter val="31.19"/>
        <filter val="31.63"/>
        <filter val="32.87"/>
        <filter val="33.15"/>
        <filter val="34.13"/>
        <filter val="34.39"/>
        <filter val="34.88"/>
        <filter val="35.99"/>
        <filter val="36.63"/>
        <filter val="37.78"/>
        <filter val="38.42"/>
        <filter val="38.77"/>
        <filter val="39.03"/>
        <filter val="4.07"/>
        <filter val="4.09"/>
        <filter val="4.6"/>
        <filter val="43.07"/>
        <filter val="46.73"/>
        <filter val="49.32"/>
        <filter val="5.03"/>
        <filter val="5.04"/>
        <filter val="5.4"/>
        <filter val="5.44"/>
        <filter val="5.5"/>
        <filter val="5.81"/>
        <filter val="51.02"/>
        <filter val="54.16"/>
        <filter val="56.58"/>
        <filter val="6.43"/>
        <filter val="6.58"/>
        <filter val="6.85"/>
        <filter val="6.93"/>
        <filter val="60.02"/>
        <filter val="7.54"/>
        <filter val="7.59"/>
        <filter val="7.6"/>
        <filter val="7.8"/>
        <filter val="7.92"/>
        <filter val="7.98"/>
        <filter val="77.17"/>
        <filter val="8.12"/>
        <filter val="8.13"/>
        <filter val="8.16"/>
        <filter val="8.17"/>
        <filter val="8.2"/>
        <filter val="8.39"/>
        <filter val="8.54"/>
        <filter val="8.93"/>
        <filter val="9.32"/>
        <filter val="9.43"/>
        <filter val="9.62"/>
        <filter val="9.88"/>
      </filters>
    </filterColumn>
    <sortState xmlns:xlrd2="http://schemas.microsoft.com/office/spreadsheetml/2017/richdata2" ref="A2:H345">
      <sortCondition ref="E1:E345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0173-BB48-499D-B1BF-7653EF6BEBB4}">
  <dimension ref="A1:E25"/>
  <sheetViews>
    <sheetView workbookViewId="0">
      <pane ySplit="1" topLeftCell="A17" activePane="bottomLeft" state="frozen"/>
      <selection pane="bottomLeft" activeCell="B36" sqref="B36"/>
    </sheetView>
  </sheetViews>
  <sheetFormatPr defaultRowHeight="14.5" x14ac:dyDescent="0.35"/>
  <cols>
    <col min="1" max="1" width="15.54296875" style="1" customWidth="1"/>
    <col min="2" max="2" width="17.1796875" style="2" customWidth="1"/>
    <col min="3" max="4" width="16.54296875" style="1" customWidth="1"/>
    <col min="5" max="5" width="16.1796875" style="1" customWidth="1"/>
  </cols>
  <sheetData>
    <row r="1" spans="1:5" s="7" customFormat="1" x14ac:dyDescent="0.35">
      <c r="A1" s="8" t="s">
        <v>0</v>
      </c>
      <c r="B1" s="9" t="s">
        <v>1</v>
      </c>
      <c r="C1" s="8" t="s">
        <v>3</v>
      </c>
      <c r="D1" s="8" t="s">
        <v>4</v>
      </c>
      <c r="E1" s="8" t="s">
        <v>143</v>
      </c>
    </row>
    <row r="2" spans="1:5" x14ac:dyDescent="0.35">
      <c r="A2" s="1" t="s">
        <v>24</v>
      </c>
      <c r="B2" s="2" t="s">
        <v>15</v>
      </c>
      <c r="C2" s="1" t="str">
        <f>A2&amp;"_"&amp;B2&amp;"_"&amp;"A"</f>
        <v>ACS1_9-23_A</v>
      </c>
      <c r="D2" s="10">
        <v>45195</v>
      </c>
    </row>
    <row r="3" spans="1:5" x14ac:dyDescent="0.35">
      <c r="A3" s="1" t="s">
        <v>27</v>
      </c>
      <c r="B3" s="2" t="s">
        <v>15</v>
      </c>
      <c r="C3" s="1" t="str">
        <f t="shared" ref="C3:C17" si="0">A3&amp;"_"&amp;B3&amp;"_"&amp;"A"</f>
        <v>ACS4_9-23_A</v>
      </c>
      <c r="D3" s="10">
        <v>45195</v>
      </c>
    </row>
    <row r="4" spans="1:5" x14ac:dyDescent="0.35">
      <c r="A4" s="1" t="s">
        <v>35</v>
      </c>
      <c r="B4" s="2" t="s">
        <v>15</v>
      </c>
      <c r="C4" s="1" t="str">
        <f t="shared" si="0"/>
        <v>MCS1_9-23_A</v>
      </c>
      <c r="D4" s="10">
        <v>45196</v>
      </c>
    </row>
    <row r="5" spans="1:5" x14ac:dyDescent="0.35">
      <c r="A5" s="1" t="s">
        <v>37</v>
      </c>
      <c r="B5" s="2" t="s">
        <v>15</v>
      </c>
      <c r="C5" s="1" t="str">
        <f t="shared" si="0"/>
        <v>MCS3_9-23_A</v>
      </c>
      <c r="D5" s="10">
        <v>45196</v>
      </c>
    </row>
    <row r="6" spans="1:5" x14ac:dyDescent="0.35">
      <c r="A6" s="1" t="s">
        <v>41</v>
      </c>
      <c r="B6" s="2" t="s">
        <v>15</v>
      </c>
      <c r="C6" s="1" t="str">
        <f t="shared" si="0"/>
        <v>TB1_9-23_A</v>
      </c>
      <c r="D6" s="10">
        <v>45196</v>
      </c>
    </row>
    <row r="7" spans="1:5" x14ac:dyDescent="0.35">
      <c r="A7" s="1" t="s">
        <v>34</v>
      </c>
      <c r="B7" s="2" t="s">
        <v>15</v>
      </c>
      <c r="C7" s="1" t="str">
        <f t="shared" si="0"/>
        <v>GB1_9-23_A</v>
      </c>
      <c r="D7" s="10">
        <v>45195</v>
      </c>
    </row>
    <row r="8" spans="1:5" x14ac:dyDescent="0.35">
      <c r="A8" s="1" t="s">
        <v>44</v>
      </c>
      <c r="B8" s="2" t="s">
        <v>15</v>
      </c>
      <c r="C8" s="1" t="str">
        <f t="shared" si="0"/>
        <v>RB_9-23_A</v>
      </c>
      <c r="D8" s="10">
        <v>45196</v>
      </c>
    </row>
    <row r="9" spans="1:5" x14ac:dyDescent="0.35">
      <c r="A9" s="1" t="s">
        <v>52</v>
      </c>
      <c r="B9" s="2" t="s">
        <v>15</v>
      </c>
      <c r="C9" s="1" t="str">
        <f t="shared" si="0"/>
        <v>WB1_9-23_A</v>
      </c>
      <c r="D9" s="1" t="s">
        <v>60</v>
      </c>
    </row>
    <row r="10" spans="1:5" x14ac:dyDescent="0.35">
      <c r="A10" s="1" t="s">
        <v>24</v>
      </c>
      <c r="B10" s="2" t="s">
        <v>61</v>
      </c>
      <c r="C10" s="1" t="str">
        <f t="shared" si="0"/>
        <v>ACS1_1-24_A</v>
      </c>
      <c r="D10" s="10">
        <v>45324</v>
      </c>
    </row>
    <row r="11" spans="1:5" x14ac:dyDescent="0.35">
      <c r="A11" s="1" t="s">
        <v>27</v>
      </c>
      <c r="B11" s="2" t="s">
        <v>61</v>
      </c>
      <c r="C11" s="1" t="str">
        <f t="shared" si="0"/>
        <v>ACS4_1-24_A</v>
      </c>
      <c r="D11" s="10">
        <v>45324</v>
      </c>
    </row>
    <row r="12" spans="1:5" x14ac:dyDescent="0.35">
      <c r="A12" s="1" t="s">
        <v>35</v>
      </c>
      <c r="B12" s="2" t="s">
        <v>61</v>
      </c>
      <c r="C12" s="1" t="str">
        <f t="shared" si="0"/>
        <v>MCS1_1-24_A</v>
      </c>
      <c r="D12" s="10">
        <v>45298</v>
      </c>
    </row>
    <row r="13" spans="1:5" x14ac:dyDescent="0.35">
      <c r="A13" s="1" t="s">
        <v>37</v>
      </c>
      <c r="B13" s="2" t="s">
        <v>61</v>
      </c>
      <c r="C13" s="1" t="str">
        <f t="shared" si="0"/>
        <v>MCS3_1-24_A</v>
      </c>
      <c r="D13" s="10">
        <v>45298</v>
      </c>
    </row>
    <row r="14" spans="1:5" x14ac:dyDescent="0.35">
      <c r="A14" s="1" t="s">
        <v>41</v>
      </c>
      <c r="B14" s="2" t="s">
        <v>61</v>
      </c>
      <c r="C14" s="1" t="str">
        <f t="shared" si="0"/>
        <v>TB1_1-24_A</v>
      </c>
      <c r="D14" s="10">
        <v>45298</v>
      </c>
    </row>
    <row r="15" spans="1:5" x14ac:dyDescent="0.35">
      <c r="A15" s="1" t="s">
        <v>34</v>
      </c>
      <c r="B15" s="2" t="s">
        <v>61</v>
      </c>
      <c r="C15" s="1" t="str">
        <f t="shared" si="0"/>
        <v>GB1_1-24_A</v>
      </c>
      <c r="D15" s="10">
        <v>45324</v>
      </c>
    </row>
    <row r="16" spans="1:5" x14ac:dyDescent="0.35">
      <c r="A16" s="1" t="s">
        <v>44</v>
      </c>
      <c r="B16" s="2" t="s">
        <v>61</v>
      </c>
      <c r="C16" s="1" t="str">
        <f t="shared" si="0"/>
        <v>RB_1-24_A</v>
      </c>
      <c r="D16" s="10">
        <v>45297</v>
      </c>
    </row>
    <row r="17" spans="1:4" x14ac:dyDescent="0.35">
      <c r="A17" s="1" t="s">
        <v>52</v>
      </c>
      <c r="B17" s="2" t="s">
        <v>61</v>
      </c>
      <c r="C17" s="1" t="str">
        <f t="shared" si="0"/>
        <v>WB1_1-24_A</v>
      </c>
      <c r="D17" s="10">
        <v>45298</v>
      </c>
    </row>
    <row r="18" spans="1:4" x14ac:dyDescent="0.35">
      <c r="A18" s="1" t="s">
        <v>24</v>
      </c>
      <c r="B18" s="2" t="s">
        <v>63</v>
      </c>
      <c r="C18" s="1" t="str">
        <f t="shared" ref="C18:C25" si="1">A18&amp;"_"&amp;B18&amp;"_"&amp;"A"</f>
        <v>ACS1_4-24_A</v>
      </c>
      <c r="D18" s="10">
        <v>45392</v>
      </c>
    </row>
    <row r="19" spans="1:4" x14ac:dyDescent="0.35">
      <c r="A19" s="1" t="s">
        <v>27</v>
      </c>
      <c r="B19" s="2" t="s">
        <v>63</v>
      </c>
      <c r="C19" s="1" t="str">
        <f t="shared" si="1"/>
        <v>ACS4_4-24_A</v>
      </c>
      <c r="D19" s="10">
        <v>45392</v>
      </c>
    </row>
    <row r="20" spans="1:4" x14ac:dyDescent="0.35">
      <c r="A20" s="1" t="s">
        <v>35</v>
      </c>
      <c r="B20" s="2" t="s">
        <v>63</v>
      </c>
      <c r="C20" s="1" t="str">
        <f t="shared" si="1"/>
        <v>MCS1_4-24_A</v>
      </c>
      <c r="D20" s="10">
        <v>45390</v>
      </c>
    </row>
    <row r="21" spans="1:4" x14ac:dyDescent="0.35">
      <c r="A21" s="1" t="s">
        <v>37</v>
      </c>
      <c r="B21" s="2" t="s">
        <v>63</v>
      </c>
      <c r="C21" s="1" t="str">
        <f t="shared" si="1"/>
        <v>MCS3_4-24_A</v>
      </c>
      <c r="D21" s="10">
        <v>45390</v>
      </c>
    </row>
    <row r="22" spans="1:4" x14ac:dyDescent="0.35">
      <c r="A22" s="1" t="s">
        <v>41</v>
      </c>
      <c r="B22" s="2" t="s">
        <v>63</v>
      </c>
      <c r="C22" s="1" t="str">
        <f t="shared" si="1"/>
        <v>TB1_4-24_A</v>
      </c>
      <c r="D22" s="10">
        <v>45390</v>
      </c>
    </row>
    <row r="23" spans="1:4" x14ac:dyDescent="0.35">
      <c r="A23" s="1" t="s">
        <v>34</v>
      </c>
      <c r="B23" s="2" t="s">
        <v>63</v>
      </c>
      <c r="C23" s="1" t="str">
        <f t="shared" si="1"/>
        <v>GB1_4-24_A</v>
      </c>
      <c r="D23" s="10">
        <v>45392</v>
      </c>
    </row>
    <row r="24" spans="1:4" x14ac:dyDescent="0.35">
      <c r="A24" s="1" t="s">
        <v>44</v>
      </c>
      <c r="B24" s="2" t="s">
        <v>63</v>
      </c>
      <c r="C24" s="1" t="str">
        <f t="shared" si="1"/>
        <v>RB_4-24_A</v>
      </c>
      <c r="D24" s="10">
        <v>45393</v>
      </c>
    </row>
    <row r="25" spans="1:4" x14ac:dyDescent="0.35">
      <c r="A25" s="1" t="s">
        <v>52</v>
      </c>
      <c r="B25" s="2" t="s">
        <v>63</v>
      </c>
      <c r="C25" s="1" t="str">
        <f t="shared" si="1"/>
        <v>WB1_4-24_A</v>
      </c>
      <c r="D25" s="10">
        <v>45393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8975-6BA6-40AD-A670-E89DE19AE9EF}">
  <dimension ref="A1:I40"/>
  <sheetViews>
    <sheetView workbookViewId="0">
      <selection activeCell="E9" sqref="E9"/>
    </sheetView>
  </sheetViews>
  <sheetFormatPr defaultRowHeight="14.5" x14ac:dyDescent="0.35"/>
  <cols>
    <col min="1" max="1" width="14.81640625" style="1" customWidth="1"/>
    <col min="2" max="2" width="11.7265625" style="1" customWidth="1"/>
    <col min="3" max="3" width="12.453125" style="1" customWidth="1"/>
    <col min="4" max="4" width="11.26953125" style="1" customWidth="1"/>
    <col min="5" max="5" width="15" style="1" customWidth="1"/>
    <col min="6" max="6" width="14.7265625" style="1" customWidth="1"/>
    <col min="7" max="7" width="11.26953125" style="1" customWidth="1"/>
    <col min="8" max="8" width="14" style="1" customWidth="1"/>
    <col min="9" max="9" width="15.453125" style="1" customWidth="1"/>
  </cols>
  <sheetData>
    <row r="1" spans="1:9" s="7" customFormat="1" x14ac:dyDescent="0.35">
      <c r="A1" s="5" t="s">
        <v>144</v>
      </c>
      <c r="B1" s="6" t="s">
        <v>0</v>
      </c>
      <c r="C1" s="6" t="s">
        <v>145</v>
      </c>
      <c r="D1" s="6" t="s">
        <v>146</v>
      </c>
      <c r="E1" s="6" t="s">
        <v>147</v>
      </c>
      <c r="F1" s="6" t="s">
        <v>148</v>
      </c>
      <c r="G1" s="6" t="s">
        <v>149</v>
      </c>
      <c r="H1" s="6" t="s">
        <v>150</v>
      </c>
      <c r="I1" s="5" t="s">
        <v>151</v>
      </c>
    </row>
    <row r="2" spans="1:9" ht="43.5" x14ac:dyDescent="0.35">
      <c r="A2" s="3" t="s">
        <v>152</v>
      </c>
      <c r="B2" s="4" t="s">
        <v>45</v>
      </c>
      <c r="C2" s="4">
        <v>25.406877000000001</v>
      </c>
      <c r="D2" s="4">
        <v>-80.605754000000005</v>
      </c>
      <c r="E2" s="4">
        <v>539651.39</v>
      </c>
      <c r="F2" s="4">
        <v>2810060.39</v>
      </c>
      <c r="G2" s="4" t="s">
        <v>153</v>
      </c>
      <c r="H2" s="4" t="s">
        <v>60</v>
      </c>
      <c r="I2" s="3" t="s">
        <v>154</v>
      </c>
    </row>
    <row r="3" spans="1:9" ht="43.5" x14ac:dyDescent="0.35">
      <c r="A3" s="3" t="s">
        <v>155</v>
      </c>
      <c r="B3" s="4" t="s">
        <v>46</v>
      </c>
      <c r="C3" s="4">
        <v>25.283386</v>
      </c>
      <c r="D3" s="4">
        <v>-80.797905</v>
      </c>
      <c r="E3" s="4">
        <v>520346.36</v>
      </c>
      <c r="F3" s="4">
        <v>2796342.59</v>
      </c>
      <c r="G3" s="4" t="s">
        <v>153</v>
      </c>
      <c r="H3" s="4" t="s">
        <v>60</v>
      </c>
      <c r="I3" s="3" t="s">
        <v>156</v>
      </c>
    </row>
    <row r="4" spans="1:9" ht="43.5" x14ac:dyDescent="0.35">
      <c r="A4" s="3" t="s">
        <v>157</v>
      </c>
      <c r="B4" s="4" t="s">
        <v>47</v>
      </c>
      <c r="C4" s="4">
        <v>25.250482999999999</v>
      </c>
      <c r="D4" s="4">
        <v>-80.797746000000004</v>
      </c>
      <c r="E4" s="4">
        <v>520367.89</v>
      </c>
      <c r="F4" s="4">
        <v>2792699.17</v>
      </c>
      <c r="G4" s="4" t="s">
        <v>153</v>
      </c>
      <c r="H4" s="4" t="s">
        <v>60</v>
      </c>
      <c r="I4" s="3" t="s">
        <v>158</v>
      </c>
    </row>
    <row r="5" spans="1:9" ht="29" x14ac:dyDescent="0.35">
      <c r="A5" s="3" t="s">
        <v>159</v>
      </c>
      <c r="B5" s="4" t="s">
        <v>48</v>
      </c>
      <c r="C5" s="4">
        <v>25.184066000000001</v>
      </c>
      <c r="D5" s="4">
        <v>-80.873553000000001</v>
      </c>
      <c r="E5" s="4">
        <v>512740.66</v>
      </c>
      <c r="F5" s="4">
        <v>2785335.4</v>
      </c>
      <c r="G5" s="4" t="s">
        <v>160</v>
      </c>
      <c r="H5" s="4" t="s">
        <v>60</v>
      </c>
      <c r="I5" s="3" t="s">
        <v>161</v>
      </c>
    </row>
    <row r="6" spans="1:9" ht="29" x14ac:dyDescent="0.35">
      <c r="A6" s="3" t="s">
        <v>162</v>
      </c>
      <c r="B6" s="4" t="s">
        <v>49</v>
      </c>
      <c r="C6" s="4">
        <v>25.173629999999999</v>
      </c>
      <c r="D6" s="4">
        <v>-80.873795000000001</v>
      </c>
      <c r="E6" s="4">
        <v>512717.37</v>
      </c>
      <c r="F6" s="4">
        <v>2784179.71</v>
      </c>
      <c r="G6" s="4" t="s">
        <v>163</v>
      </c>
      <c r="H6" s="4" t="s">
        <v>60</v>
      </c>
      <c r="I6" s="3" t="s">
        <v>164</v>
      </c>
    </row>
    <row r="7" spans="1:9" x14ac:dyDescent="0.35">
      <c r="A7" s="3" t="s">
        <v>165</v>
      </c>
      <c r="B7" s="4" t="s">
        <v>24</v>
      </c>
      <c r="C7" s="4">
        <v>25.208037000000001</v>
      </c>
      <c r="D7" s="4">
        <v>-80.818275</v>
      </c>
      <c r="E7" s="4">
        <v>518306.83</v>
      </c>
      <c r="F7" s="4">
        <v>2787996.12</v>
      </c>
      <c r="G7" s="4" t="s">
        <v>166</v>
      </c>
      <c r="H7" s="4" t="s">
        <v>17</v>
      </c>
      <c r="I7" s="3" t="s">
        <v>165</v>
      </c>
    </row>
    <row r="8" spans="1:9" x14ac:dyDescent="0.35">
      <c r="A8" s="3" t="s">
        <v>167</v>
      </c>
      <c r="B8" s="4" t="s">
        <v>25</v>
      </c>
      <c r="C8" s="4">
        <v>25.196525999999999</v>
      </c>
      <c r="D8" s="4">
        <v>-80.791628000000003</v>
      </c>
      <c r="E8" s="4">
        <v>520993.25</v>
      </c>
      <c r="F8" s="4">
        <v>2786725.29</v>
      </c>
      <c r="G8" s="4" t="s">
        <v>166</v>
      </c>
      <c r="H8" s="4" t="s">
        <v>60</v>
      </c>
      <c r="I8" s="3" t="s">
        <v>167</v>
      </c>
    </row>
    <row r="9" spans="1:9" ht="72.5" x14ac:dyDescent="0.35">
      <c r="A9" s="3" t="s">
        <v>168</v>
      </c>
      <c r="B9" s="4" t="s">
        <v>26</v>
      </c>
      <c r="C9" s="4">
        <v>25.201426999999999</v>
      </c>
      <c r="D9" s="4">
        <v>-80.786670000000001</v>
      </c>
      <c r="E9" s="4">
        <v>521491.83</v>
      </c>
      <c r="F9" s="4">
        <v>2787268.83</v>
      </c>
      <c r="G9" s="4" t="s">
        <v>169</v>
      </c>
      <c r="H9" s="4" t="s">
        <v>60</v>
      </c>
      <c r="I9" s="3" t="s">
        <v>170</v>
      </c>
    </row>
    <row r="10" spans="1:9" x14ac:dyDescent="0.35">
      <c r="A10" s="3" t="s">
        <v>171</v>
      </c>
      <c r="B10" s="4" t="s">
        <v>27</v>
      </c>
      <c r="C10" s="4">
        <v>25.171946999999999</v>
      </c>
      <c r="D10" s="4">
        <v>-80.769233999999997</v>
      </c>
      <c r="E10" s="4">
        <v>523254.03</v>
      </c>
      <c r="F10" s="4">
        <v>2784007.35</v>
      </c>
      <c r="G10" s="4" t="s">
        <v>166</v>
      </c>
      <c r="H10" s="4" t="s">
        <v>17</v>
      </c>
      <c r="I10" s="3" t="s">
        <v>171</v>
      </c>
    </row>
    <row r="11" spans="1:9" ht="43.5" x14ac:dyDescent="0.35">
      <c r="A11" s="3" t="s">
        <v>172</v>
      </c>
      <c r="B11" s="4" t="s">
        <v>28</v>
      </c>
      <c r="C11" s="4">
        <v>25.176182000000001</v>
      </c>
      <c r="D11" s="4">
        <v>-80.793887999999995</v>
      </c>
      <c r="E11" s="4">
        <v>520768.94</v>
      </c>
      <c r="F11" s="4">
        <v>2784472.26</v>
      </c>
      <c r="G11" s="4" t="s">
        <v>163</v>
      </c>
      <c r="H11" s="4" t="s">
        <v>60</v>
      </c>
      <c r="I11" s="3" t="s">
        <v>173</v>
      </c>
    </row>
    <row r="12" spans="1:9" ht="43.5" x14ac:dyDescent="0.35">
      <c r="A12" s="3" t="s">
        <v>174</v>
      </c>
      <c r="B12" s="4" t="s">
        <v>29</v>
      </c>
      <c r="C12" s="4">
        <v>25.177109000000002</v>
      </c>
      <c r="D12" s="4">
        <v>-80.794167000000002</v>
      </c>
      <c r="E12" s="4">
        <v>520740.72</v>
      </c>
      <c r="F12" s="4">
        <v>2784574.87</v>
      </c>
      <c r="G12" s="4" t="s">
        <v>160</v>
      </c>
      <c r="H12" s="4" t="s">
        <v>60</v>
      </c>
      <c r="I12" s="3" t="s">
        <v>175</v>
      </c>
    </row>
    <row r="13" spans="1:9" ht="29" x14ac:dyDescent="0.35">
      <c r="A13" s="3" t="s">
        <v>176</v>
      </c>
      <c r="B13" s="4" t="s">
        <v>30</v>
      </c>
      <c r="C13" s="4">
        <v>25.175073999999999</v>
      </c>
      <c r="D13" s="4">
        <v>-80.813946999999999</v>
      </c>
      <c r="E13" s="4">
        <v>518747.92</v>
      </c>
      <c r="F13" s="4">
        <v>2784346.65</v>
      </c>
      <c r="G13" s="4" t="s">
        <v>163</v>
      </c>
      <c r="H13" s="4" t="s">
        <v>60</v>
      </c>
      <c r="I13" s="3" t="s">
        <v>177</v>
      </c>
    </row>
    <row r="14" spans="1:9" ht="43.5" x14ac:dyDescent="0.35">
      <c r="A14" s="3" t="s">
        <v>178</v>
      </c>
      <c r="B14" s="4" t="s">
        <v>31</v>
      </c>
      <c r="C14" s="4">
        <v>25.174365000000002</v>
      </c>
      <c r="D14" s="4">
        <v>-80.813505000000006</v>
      </c>
      <c r="E14" s="4">
        <v>518792.55</v>
      </c>
      <c r="F14" s="4">
        <v>2784268.19</v>
      </c>
      <c r="G14" s="4" t="s">
        <v>160</v>
      </c>
      <c r="H14" s="4" t="s">
        <v>60</v>
      </c>
      <c r="I14" s="3" t="s">
        <v>179</v>
      </c>
    </row>
    <row r="15" spans="1:9" ht="29" x14ac:dyDescent="0.35">
      <c r="A15" s="3" t="s">
        <v>180</v>
      </c>
      <c r="B15" s="4" t="s">
        <v>32</v>
      </c>
      <c r="C15" s="4">
        <v>25.180799</v>
      </c>
      <c r="D15" s="4">
        <v>-80.812926000000004</v>
      </c>
      <c r="E15" s="4">
        <v>518849.89</v>
      </c>
      <c r="F15" s="4">
        <v>2784980.74</v>
      </c>
      <c r="G15" s="4" t="s">
        <v>163</v>
      </c>
      <c r="H15" s="4" t="s">
        <v>60</v>
      </c>
      <c r="I15" s="3" t="s">
        <v>181</v>
      </c>
    </row>
    <row r="16" spans="1:9" ht="43.5" x14ac:dyDescent="0.35">
      <c r="A16" s="3" t="s">
        <v>182</v>
      </c>
      <c r="B16" s="4" t="s">
        <v>33</v>
      </c>
      <c r="C16" s="4">
        <v>25.181357999999999</v>
      </c>
      <c r="D16" s="4">
        <v>-80.811421999999993</v>
      </c>
      <c r="E16" s="4">
        <v>519001.33</v>
      </c>
      <c r="F16" s="4">
        <v>2785042.77</v>
      </c>
      <c r="G16" s="4" t="s">
        <v>160</v>
      </c>
      <c r="H16" s="4" t="s">
        <v>60</v>
      </c>
      <c r="I16" s="3" t="s">
        <v>183</v>
      </c>
    </row>
    <row r="17" spans="1:9" ht="43.5" x14ac:dyDescent="0.35">
      <c r="A17" s="3" t="s">
        <v>184</v>
      </c>
      <c r="B17" s="4" t="s">
        <v>35</v>
      </c>
      <c r="C17" s="4">
        <v>25.183945999999999</v>
      </c>
      <c r="D17" s="4">
        <v>-80.720982000000006</v>
      </c>
      <c r="E17" s="4">
        <v>528113.6</v>
      </c>
      <c r="F17" s="4">
        <v>2785345.22</v>
      </c>
      <c r="G17" s="4" t="s">
        <v>166</v>
      </c>
      <c r="H17" s="4" t="s">
        <v>17</v>
      </c>
      <c r="I17" s="3" t="s">
        <v>185</v>
      </c>
    </row>
    <row r="18" spans="1:9" x14ac:dyDescent="0.35">
      <c r="A18" s="3" t="s">
        <v>186</v>
      </c>
      <c r="B18" s="4" t="s">
        <v>36</v>
      </c>
      <c r="C18" s="4">
        <v>25.180071000000002</v>
      </c>
      <c r="D18" s="4">
        <v>-80.732185999999999</v>
      </c>
      <c r="E18" s="4">
        <v>526985.57999999996</v>
      </c>
      <c r="F18" s="4">
        <v>2784913.85</v>
      </c>
      <c r="G18" s="4" t="s">
        <v>166</v>
      </c>
      <c r="H18" s="4" t="s">
        <v>60</v>
      </c>
      <c r="I18" s="3" t="s">
        <v>186</v>
      </c>
    </row>
    <row r="19" spans="1:9" x14ac:dyDescent="0.35">
      <c r="A19" s="3" t="s">
        <v>187</v>
      </c>
      <c r="B19" s="4" t="s">
        <v>37</v>
      </c>
      <c r="C19" s="4">
        <v>25.174664</v>
      </c>
      <c r="D19" s="4">
        <v>-80.738545999999999</v>
      </c>
      <c r="E19" s="4">
        <v>526345.93000000005</v>
      </c>
      <c r="F19" s="4">
        <v>2784313.79</v>
      </c>
      <c r="G19" s="4" t="s">
        <v>166</v>
      </c>
      <c r="H19" s="4" t="s">
        <v>17</v>
      </c>
      <c r="I19" s="3" t="s">
        <v>187</v>
      </c>
    </row>
    <row r="20" spans="1:9" ht="43.5" x14ac:dyDescent="0.35">
      <c r="A20" s="3" t="s">
        <v>188</v>
      </c>
      <c r="B20" s="4" t="s">
        <v>38</v>
      </c>
      <c r="C20" s="4">
        <v>25.167059999999999</v>
      </c>
      <c r="D20" s="4">
        <v>-80.731255000000004</v>
      </c>
      <c r="E20" s="4">
        <v>527082.21</v>
      </c>
      <c r="F20" s="4">
        <v>2783473.3</v>
      </c>
      <c r="G20" s="4" t="s">
        <v>163</v>
      </c>
      <c r="H20" s="4" t="s">
        <v>60</v>
      </c>
      <c r="I20" s="3" t="s">
        <v>189</v>
      </c>
    </row>
    <row r="21" spans="1:9" ht="43.5" x14ac:dyDescent="0.35">
      <c r="A21" s="3" t="s">
        <v>190</v>
      </c>
      <c r="B21" s="4" t="s">
        <v>39</v>
      </c>
      <c r="C21" s="4">
        <v>25.166281999999999</v>
      </c>
      <c r="D21" s="4">
        <v>-80.731938999999997</v>
      </c>
      <c r="E21" s="4">
        <v>527013.52</v>
      </c>
      <c r="F21" s="4">
        <v>2783386.99</v>
      </c>
      <c r="G21" s="4" t="s">
        <v>160</v>
      </c>
      <c r="H21" s="4" t="s">
        <v>60</v>
      </c>
      <c r="I21" s="3" t="s">
        <v>191</v>
      </c>
    </row>
    <row r="22" spans="1:9" ht="43.5" x14ac:dyDescent="0.35">
      <c r="A22" s="3" t="s">
        <v>192</v>
      </c>
      <c r="B22" s="4" t="s">
        <v>51</v>
      </c>
      <c r="C22" s="4">
        <v>25.156611000000002</v>
      </c>
      <c r="D22" s="4">
        <v>-80.71696</v>
      </c>
      <c r="E22" s="4">
        <v>528524.5</v>
      </c>
      <c r="F22" s="4">
        <v>2782319.2</v>
      </c>
      <c r="G22" s="4" t="s">
        <v>163</v>
      </c>
      <c r="H22" s="4" t="s">
        <v>60</v>
      </c>
      <c r="I22" s="3" t="s">
        <v>193</v>
      </c>
    </row>
    <row r="23" spans="1:9" ht="43.5" x14ac:dyDescent="0.35">
      <c r="A23" s="3" t="s">
        <v>194</v>
      </c>
      <c r="B23" s="4" t="s">
        <v>40</v>
      </c>
      <c r="C23" s="4">
        <v>25.156911000000001</v>
      </c>
      <c r="D23" s="4">
        <v>-80.715074000000001</v>
      </c>
      <c r="E23" s="4">
        <v>528715.23</v>
      </c>
      <c r="F23" s="4">
        <v>2782352.82</v>
      </c>
      <c r="G23" s="4" t="s">
        <v>160</v>
      </c>
      <c r="H23" s="4" t="s">
        <v>60</v>
      </c>
      <c r="I23" s="3" t="s">
        <v>195</v>
      </c>
    </row>
    <row r="24" spans="1:9" ht="29" x14ac:dyDescent="0.35">
      <c r="A24" s="3" t="s">
        <v>196</v>
      </c>
      <c r="B24" s="4" t="s">
        <v>41</v>
      </c>
      <c r="C24" s="4">
        <v>25.158573000000001</v>
      </c>
      <c r="D24" s="4">
        <v>-80.726274000000004</v>
      </c>
      <c r="E24" s="4">
        <v>527586.12</v>
      </c>
      <c r="F24" s="4">
        <v>2782534.55</v>
      </c>
      <c r="G24" s="4" t="s">
        <v>197</v>
      </c>
      <c r="H24" s="4" t="s">
        <v>17</v>
      </c>
      <c r="I24" s="3" t="s">
        <v>198</v>
      </c>
    </row>
    <row r="25" spans="1:9" ht="43.5" x14ac:dyDescent="0.35">
      <c r="A25" s="3" t="s">
        <v>199</v>
      </c>
      <c r="B25" s="4" t="s">
        <v>42</v>
      </c>
      <c r="C25" s="4">
        <v>25.126646999999998</v>
      </c>
      <c r="D25" s="4">
        <v>-80.714867999999996</v>
      </c>
      <c r="E25" s="4">
        <v>528743.15</v>
      </c>
      <c r="F25" s="4">
        <v>2779001.64</v>
      </c>
      <c r="G25" s="4" t="s">
        <v>197</v>
      </c>
      <c r="H25" s="4" t="s">
        <v>60</v>
      </c>
      <c r="I25" s="3" t="s">
        <v>200</v>
      </c>
    </row>
    <row r="26" spans="1:9" ht="29" x14ac:dyDescent="0.35">
      <c r="A26" s="3" t="s">
        <v>201</v>
      </c>
      <c r="B26" s="4" t="s">
        <v>34</v>
      </c>
      <c r="C26" s="4">
        <v>25.167618999999998</v>
      </c>
      <c r="D26" s="4">
        <v>-80.804658000000003</v>
      </c>
      <c r="E26" s="4">
        <v>519685.12</v>
      </c>
      <c r="F26" s="4">
        <v>2783522.46</v>
      </c>
      <c r="G26" s="4" t="s">
        <v>197</v>
      </c>
      <c r="H26" s="4" t="s">
        <v>17</v>
      </c>
      <c r="I26" s="3" t="s">
        <v>202</v>
      </c>
    </row>
    <row r="27" spans="1:9" ht="43.5" x14ac:dyDescent="0.35">
      <c r="A27" s="3" t="s">
        <v>203</v>
      </c>
      <c r="B27" s="4" t="s">
        <v>43</v>
      </c>
      <c r="C27" s="4">
        <v>25.148194</v>
      </c>
      <c r="D27" s="4">
        <v>-80.809977000000003</v>
      </c>
      <c r="E27" s="4">
        <v>519152.11</v>
      </c>
      <c r="F27" s="4">
        <v>2781370.71</v>
      </c>
      <c r="G27" s="4" t="s">
        <v>204</v>
      </c>
      <c r="H27" s="4" t="s">
        <v>60</v>
      </c>
      <c r="I27" s="3" t="s">
        <v>205</v>
      </c>
    </row>
    <row r="28" spans="1:9" x14ac:dyDescent="0.35">
      <c r="A28" s="3" t="s">
        <v>206</v>
      </c>
      <c r="B28" s="4" t="s">
        <v>44</v>
      </c>
      <c r="C28" s="4">
        <v>25.125171000000002</v>
      </c>
      <c r="D28" s="4">
        <v>-80.807714000000004</v>
      </c>
      <c r="E28" s="4">
        <v>519383.82</v>
      </c>
      <c r="F28" s="4">
        <v>2778821.64</v>
      </c>
      <c r="G28" s="4" t="s">
        <v>197</v>
      </c>
      <c r="H28" s="4" t="s">
        <v>17</v>
      </c>
      <c r="I28" s="3" t="s">
        <v>206</v>
      </c>
    </row>
    <row r="29" spans="1:9" x14ac:dyDescent="0.35">
      <c r="A29" s="3" t="s">
        <v>207</v>
      </c>
      <c r="B29" s="4" t="s">
        <v>52</v>
      </c>
      <c r="C29" s="4">
        <v>25.081420999999999</v>
      </c>
      <c r="D29" s="4">
        <v>-80.762105000000005</v>
      </c>
      <c r="E29" s="4">
        <v>523990.16</v>
      </c>
      <c r="F29" s="4">
        <v>2773984.49</v>
      </c>
      <c r="G29" s="4" t="s">
        <v>197</v>
      </c>
      <c r="H29" s="4" t="s">
        <v>17</v>
      </c>
      <c r="I29" s="3" t="s">
        <v>207</v>
      </c>
    </row>
    <row r="30" spans="1:9" ht="29" x14ac:dyDescent="0.35">
      <c r="A30" s="3" t="s">
        <v>208</v>
      </c>
      <c r="B30" s="4" t="s">
        <v>53</v>
      </c>
      <c r="C30" s="4">
        <v>25.049658999999998</v>
      </c>
      <c r="D30" s="4">
        <v>-80.766102000000004</v>
      </c>
      <c r="E30" s="4">
        <v>523593.1</v>
      </c>
      <c r="F30" s="4">
        <v>2770466.86</v>
      </c>
      <c r="G30" s="4" t="s">
        <v>209</v>
      </c>
      <c r="H30" s="4" t="s">
        <v>60</v>
      </c>
      <c r="I30" s="3" t="s">
        <v>208</v>
      </c>
    </row>
    <row r="31" spans="1:9" x14ac:dyDescent="0.35">
      <c r="A31" s="3" t="s">
        <v>210</v>
      </c>
      <c r="B31" s="4" t="s">
        <v>54</v>
      </c>
      <c r="C31" s="4">
        <v>24.982970999999999</v>
      </c>
      <c r="D31" s="4">
        <v>-80.765823999999995</v>
      </c>
      <c r="E31" s="4">
        <v>523633.91</v>
      </c>
      <c r="F31" s="4">
        <v>2763082.59</v>
      </c>
      <c r="G31" s="4" t="s">
        <v>197</v>
      </c>
      <c r="H31" s="4" t="s">
        <v>60</v>
      </c>
      <c r="I31" s="3" t="s">
        <v>210</v>
      </c>
    </row>
    <row r="32" spans="1:9" x14ac:dyDescent="0.35">
      <c r="A32" s="3" t="s">
        <v>211</v>
      </c>
      <c r="B32" s="4" t="s">
        <v>55</v>
      </c>
      <c r="C32" s="4">
        <v>25.049651000000001</v>
      </c>
      <c r="D32" s="4">
        <v>-80.908714000000003</v>
      </c>
      <c r="E32" s="4">
        <v>509207.91</v>
      </c>
      <c r="F32" s="4">
        <v>2770448.64</v>
      </c>
      <c r="G32" s="4" t="s">
        <v>197</v>
      </c>
      <c r="H32" s="4" t="s">
        <v>60</v>
      </c>
      <c r="I32" s="3" t="s">
        <v>211</v>
      </c>
    </row>
    <row r="33" spans="1:9" ht="29" x14ac:dyDescent="0.35">
      <c r="A33" s="3" t="s">
        <v>212</v>
      </c>
      <c r="B33" s="4" t="s">
        <v>56</v>
      </c>
      <c r="C33" s="4">
        <v>25.115717</v>
      </c>
      <c r="D33" s="4">
        <v>-81.025998999999999</v>
      </c>
      <c r="E33" s="4">
        <v>497378.96</v>
      </c>
      <c r="F33" s="4">
        <v>2777761.33</v>
      </c>
      <c r="G33" s="4" t="s">
        <v>197</v>
      </c>
      <c r="H33" s="4" t="s">
        <v>60</v>
      </c>
      <c r="I33" s="3" t="s">
        <v>213</v>
      </c>
    </row>
    <row r="34" spans="1:9" x14ac:dyDescent="0.35">
      <c r="A34" s="1" t="s">
        <v>14</v>
      </c>
      <c r="B34" s="1" t="s">
        <v>14</v>
      </c>
      <c r="C34" s="1">
        <v>25.285955999999999</v>
      </c>
      <c r="D34" s="1">
        <v>-80.688672999999994</v>
      </c>
      <c r="E34" s="1">
        <v>531343</v>
      </c>
      <c r="F34" s="1">
        <v>2796648</v>
      </c>
      <c r="G34" s="1" t="s">
        <v>153</v>
      </c>
      <c r="H34" s="1" t="s">
        <v>60</v>
      </c>
      <c r="I34" s="1" t="s">
        <v>214</v>
      </c>
    </row>
    <row r="35" spans="1:9" x14ac:dyDescent="0.35">
      <c r="A35" s="1" t="s">
        <v>19</v>
      </c>
      <c r="B35" s="1" t="s">
        <v>19</v>
      </c>
      <c r="C35" s="1">
        <v>25.244240000000001</v>
      </c>
      <c r="D35" s="1">
        <v>-80.744820000000004</v>
      </c>
      <c r="E35" s="1">
        <v>525699</v>
      </c>
      <c r="F35" s="1">
        <v>2792017</v>
      </c>
      <c r="G35" s="1" t="s">
        <v>153</v>
      </c>
      <c r="H35" s="1" t="s">
        <v>60</v>
      </c>
      <c r="I35" s="1" t="s">
        <v>214</v>
      </c>
    </row>
    <row r="36" spans="1:9" x14ac:dyDescent="0.35">
      <c r="A36" s="1" t="s">
        <v>20</v>
      </c>
      <c r="B36" s="1" t="s">
        <v>20</v>
      </c>
      <c r="C36" s="1">
        <v>25.22935</v>
      </c>
      <c r="D36" s="1">
        <v>-80.702879999999993</v>
      </c>
      <c r="E36" s="1">
        <v>529926</v>
      </c>
      <c r="F36" s="1">
        <v>2790377</v>
      </c>
      <c r="G36" s="1" t="s">
        <v>153</v>
      </c>
      <c r="H36" s="1" t="s">
        <v>60</v>
      </c>
      <c r="I36" s="1" t="s">
        <v>214</v>
      </c>
    </row>
    <row r="37" spans="1:9" x14ac:dyDescent="0.35">
      <c r="A37" s="1" t="s">
        <v>215</v>
      </c>
      <c r="B37" s="1" t="s">
        <v>215</v>
      </c>
      <c r="C37" s="1">
        <v>25.252520000000001</v>
      </c>
      <c r="D37" s="1">
        <v>-80.666259999999994</v>
      </c>
      <c r="E37" s="1">
        <v>533609</v>
      </c>
      <c r="F37" s="1">
        <v>2792951</v>
      </c>
      <c r="G37" s="1" t="s">
        <v>153</v>
      </c>
      <c r="H37" s="1" t="s">
        <v>60</v>
      </c>
      <c r="I37" s="1" t="s">
        <v>214</v>
      </c>
    </row>
    <row r="38" spans="1:9" x14ac:dyDescent="0.35">
      <c r="A38" s="1" t="s">
        <v>22</v>
      </c>
      <c r="B38" s="1" t="s">
        <v>22</v>
      </c>
      <c r="C38" s="1">
        <v>25.26529</v>
      </c>
      <c r="D38" s="1">
        <v>-80.613309999999998</v>
      </c>
      <c r="E38" s="1">
        <v>538937</v>
      </c>
      <c r="F38" s="1">
        <v>2794380</v>
      </c>
      <c r="G38" s="1" t="s">
        <v>153</v>
      </c>
      <c r="H38" s="1" t="s">
        <v>60</v>
      </c>
      <c r="I38" s="1" t="s">
        <v>214</v>
      </c>
    </row>
    <row r="39" spans="1:9" x14ac:dyDescent="0.35">
      <c r="A39" s="1" t="s">
        <v>58</v>
      </c>
      <c r="B39" s="1" t="s">
        <v>58</v>
      </c>
      <c r="C39" s="1">
        <v>25.31073</v>
      </c>
      <c r="D39" s="1">
        <v>-80.631</v>
      </c>
      <c r="E39" s="1">
        <v>537142</v>
      </c>
      <c r="F39" s="1">
        <v>2799406</v>
      </c>
      <c r="G39" s="1" t="s">
        <v>153</v>
      </c>
      <c r="H39" s="1" t="s">
        <v>60</v>
      </c>
      <c r="I39" s="1" t="s">
        <v>214</v>
      </c>
    </row>
    <row r="40" spans="1:9" x14ac:dyDescent="0.35">
      <c r="A40" s="1" t="s">
        <v>23</v>
      </c>
      <c r="B40" s="1" t="s">
        <v>23</v>
      </c>
      <c r="C40" s="1">
        <v>25.352810000000002</v>
      </c>
      <c r="D40" s="1">
        <v>-80.606549999999999</v>
      </c>
      <c r="E40" s="1">
        <v>539589</v>
      </c>
      <c r="F40" s="1">
        <v>2804073</v>
      </c>
      <c r="G40" s="1" t="s">
        <v>153</v>
      </c>
      <c r="H40" s="1" t="s">
        <v>60</v>
      </c>
      <c r="I40" s="1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283D-E022-4798-85C9-75D1DB9B75C3}">
  <dimension ref="A1:B22"/>
  <sheetViews>
    <sheetView topLeftCell="A4" workbookViewId="0">
      <selection activeCell="D6" sqref="D6"/>
    </sheetView>
  </sheetViews>
  <sheetFormatPr defaultRowHeight="14.5" x14ac:dyDescent="0.35"/>
  <cols>
    <col min="1" max="1" width="26.26953125" style="12" customWidth="1"/>
    <col min="2" max="2" width="43.1796875" style="12" customWidth="1"/>
  </cols>
  <sheetData>
    <row r="1" spans="1:2" s="7" customFormat="1" x14ac:dyDescent="0.35">
      <c r="A1" s="13" t="s">
        <v>216</v>
      </c>
      <c r="B1" s="13" t="s">
        <v>217</v>
      </c>
    </row>
    <row r="2" spans="1:2" x14ac:dyDescent="0.35">
      <c r="A2" s="12" t="s">
        <v>0</v>
      </c>
      <c r="B2" s="12" t="s">
        <v>218</v>
      </c>
    </row>
    <row r="3" spans="1:2" ht="43.5" x14ac:dyDescent="0.35">
      <c r="A3" s="12" t="s">
        <v>1</v>
      </c>
      <c r="B3" s="12" t="s">
        <v>219</v>
      </c>
    </row>
    <row r="4" spans="1:2" ht="43.5" x14ac:dyDescent="0.35">
      <c r="A4" s="12" t="s">
        <v>115</v>
      </c>
      <c r="B4" s="12" t="s">
        <v>220</v>
      </c>
    </row>
    <row r="5" spans="1:2" ht="43.5" x14ac:dyDescent="0.35">
      <c r="A5" s="12" t="s">
        <v>2</v>
      </c>
      <c r="B5" s="12" t="s">
        <v>221</v>
      </c>
    </row>
    <row r="6" spans="1:2" x14ac:dyDescent="0.35">
      <c r="A6" s="12" t="s">
        <v>116</v>
      </c>
      <c r="B6" s="12" t="s">
        <v>222</v>
      </c>
    </row>
    <row r="7" spans="1:2" ht="43.5" x14ac:dyDescent="0.35">
      <c r="A7" s="12" t="s">
        <v>3</v>
      </c>
      <c r="B7" s="12" t="s">
        <v>223</v>
      </c>
    </row>
    <row r="8" spans="1:2" x14ac:dyDescent="0.35">
      <c r="A8" s="12" t="s">
        <v>4</v>
      </c>
      <c r="B8" s="12" t="s">
        <v>224</v>
      </c>
    </row>
    <row r="9" spans="1:2" ht="29" x14ac:dyDescent="0.35">
      <c r="A9" s="12" t="s">
        <v>122</v>
      </c>
      <c r="B9" s="12" t="s">
        <v>225</v>
      </c>
    </row>
    <row r="10" spans="1:2" ht="29" x14ac:dyDescent="0.35">
      <c r="A10" s="12" t="s">
        <v>226</v>
      </c>
      <c r="B10" s="12" t="s">
        <v>227</v>
      </c>
    </row>
    <row r="11" spans="1:2" ht="29" x14ac:dyDescent="0.35">
      <c r="A11" s="12" t="s">
        <v>108</v>
      </c>
      <c r="B11" s="12" t="s">
        <v>228</v>
      </c>
    </row>
    <row r="12" spans="1:2" ht="29" x14ac:dyDescent="0.35">
      <c r="A12" s="12" t="s">
        <v>5</v>
      </c>
      <c r="B12" s="12" t="s">
        <v>229</v>
      </c>
    </row>
    <row r="13" spans="1:2" ht="29" x14ac:dyDescent="0.35">
      <c r="A13" s="12" t="s">
        <v>7</v>
      </c>
      <c r="B13" s="12" t="s">
        <v>230</v>
      </c>
    </row>
    <row r="14" spans="1:2" ht="29" x14ac:dyDescent="0.35">
      <c r="A14" s="12" t="s">
        <v>8</v>
      </c>
      <c r="B14" s="12" t="s">
        <v>231</v>
      </c>
    </row>
    <row r="15" spans="1:2" ht="43.5" x14ac:dyDescent="0.35">
      <c r="A15" s="12" t="s">
        <v>9</v>
      </c>
      <c r="B15" s="12" t="s">
        <v>232</v>
      </c>
    </row>
    <row r="16" spans="1:2" ht="43.5" x14ac:dyDescent="0.35">
      <c r="A16" s="12" t="s">
        <v>10</v>
      </c>
      <c r="B16" s="12" t="s">
        <v>233</v>
      </c>
    </row>
    <row r="17" spans="1:2" ht="58" x14ac:dyDescent="0.35">
      <c r="A17" s="12" t="s">
        <v>11</v>
      </c>
      <c r="B17" s="12" t="s">
        <v>234</v>
      </c>
    </row>
    <row r="18" spans="1:2" ht="29" x14ac:dyDescent="0.35">
      <c r="A18" s="12" t="s">
        <v>131</v>
      </c>
      <c r="B18" s="12" t="s">
        <v>235</v>
      </c>
    </row>
    <row r="19" spans="1:2" ht="29" x14ac:dyDescent="0.35">
      <c r="A19" s="12" t="s">
        <v>132</v>
      </c>
      <c r="B19" s="12" t="s">
        <v>236</v>
      </c>
    </row>
    <row r="20" spans="1:2" x14ac:dyDescent="0.35">
      <c r="A20" s="12" t="s">
        <v>133</v>
      </c>
      <c r="B20" s="12" t="s">
        <v>237</v>
      </c>
    </row>
    <row r="21" spans="1:2" ht="29" x14ac:dyDescent="0.35">
      <c r="A21" s="12" t="s">
        <v>12</v>
      </c>
      <c r="B21" s="12" t="s">
        <v>238</v>
      </c>
    </row>
    <row r="22" spans="1:2" ht="29" x14ac:dyDescent="0.35">
      <c r="A22" s="12" t="s">
        <v>143</v>
      </c>
      <c r="B22" s="12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0538-F9D9-467E-806A-03CA506B4419}">
  <dimension ref="A1:G29"/>
  <sheetViews>
    <sheetView zoomScale="112" workbookViewId="0">
      <selection activeCell="D2" sqref="D2"/>
    </sheetView>
  </sheetViews>
  <sheetFormatPr defaultRowHeight="14.5" x14ac:dyDescent="0.35"/>
  <cols>
    <col min="1" max="1" width="14.81640625" customWidth="1"/>
    <col min="2" max="2" width="21.1796875" customWidth="1"/>
    <col min="3" max="3" width="19.26953125" customWidth="1"/>
    <col min="4" max="4" width="25.453125" customWidth="1"/>
    <col min="5" max="5" width="21.81640625" customWidth="1"/>
    <col min="6" max="6" width="17.453125" customWidth="1"/>
    <col min="7" max="7" width="16" customWidth="1"/>
  </cols>
  <sheetData>
    <row r="1" spans="1:7" ht="15" thickBot="1" x14ac:dyDescent="0.4">
      <c r="A1" s="18" t="s">
        <v>240</v>
      </c>
      <c r="B1" s="18" t="s">
        <v>241</v>
      </c>
      <c r="C1" s="18" t="s">
        <v>242</v>
      </c>
      <c r="D1" s="18" t="s">
        <v>243</v>
      </c>
      <c r="F1" s="23" t="s">
        <v>244</v>
      </c>
      <c r="G1" s="22"/>
    </row>
    <row r="2" spans="1:7" x14ac:dyDescent="0.35">
      <c r="A2" s="20" t="s">
        <v>245</v>
      </c>
      <c r="B2" s="14" t="s">
        <v>53</v>
      </c>
      <c r="C2" s="20">
        <v>150</v>
      </c>
      <c r="D2" s="15">
        <f>C2-$B$20</f>
        <v>22.849999999999994</v>
      </c>
      <c r="F2" s="14" t="s">
        <v>55</v>
      </c>
      <c r="G2" s="15" t="s">
        <v>43</v>
      </c>
    </row>
    <row r="3" spans="1:7" x14ac:dyDescent="0.35">
      <c r="A3" s="20" t="s">
        <v>245</v>
      </c>
      <c r="B3" s="14" t="s">
        <v>47</v>
      </c>
      <c r="C3" s="20">
        <v>129.30000000000001</v>
      </c>
      <c r="D3" s="15">
        <f t="shared" ref="D3:D11" si="0">C3-$B$20</f>
        <v>2.1500000000000057</v>
      </c>
      <c r="F3" s="14" t="s">
        <v>39</v>
      </c>
      <c r="G3" s="15" t="s">
        <v>44</v>
      </c>
    </row>
    <row r="4" spans="1:7" x14ac:dyDescent="0.35">
      <c r="A4" s="20" t="s">
        <v>245</v>
      </c>
      <c r="B4" s="14" t="s">
        <v>42</v>
      </c>
      <c r="C4" s="20">
        <v>130</v>
      </c>
      <c r="D4" s="15">
        <f t="shared" si="0"/>
        <v>2.8499999999999943</v>
      </c>
      <c r="F4" s="14" t="s">
        <v>46</v>
      </c>
      <c r="G4" s="15" t="s">
        <v>42</v>
      </c>
    </row>
    <row r="5" spans="1:7" x14ac:dyDescent="0.35">
      <c r="A5" s="20" t="s">
        <v>245</v>
      </c>
      <c r="B5" s="14" t="s">
        <v>43</v>
      </c>
      <c r="C5" s="20">
        <v>140.80000000000001</v>
      </c>
      <c r="D5" s="15">
        <f t="shared" si="0"/>
        <v>13.650000000000006</v>
      </c>
      <c r="F5" s="14" t="s">
        <v>52</v>
      </c>
      <c r="G5" s="15" t="s">
        <v>47</v>
      </c>
    </row>
    <row r="6" spans="1:7" x14ac:dyDescent="0.35">
      <c r="A6" s="21" t="s">
        <v>245</v>
      </c>
      <c r="B6" s="16" t="s">
        <v>52</v>
      </c>
      <c r="C6" s="21">
        <v>142.69999999999999</v>
      </c>
      <c r="D6" s="17">
        <f t="shared" si="0"/>
        <v>15.549999999999983</v>
      </c>
      <c r="F6" s="14" t="s">
        <v>53</v>
      </c>
      <c r="G6" s="15"/>
    </row>
    <row r="7" spans="1:7" x14ac:dyDescent="0.35">
      <c r="A7" s="19" t="s">
        <v>246</v>
      </c>
      <c r="B7" s="14" t="s">
        <v>39</v>
      </c>
      <c r="C7" s="20">
        <v>141.80000000000001</v>
      </c>
      <c r="D7" s="15">
        <f t="shared" si="0"/>
        <v>14.650000000000006</v>
      </c>
      <c r="F7" s="16" t="s">
        <v>54</v>
      </c>
      <c r="G7" s="17"/>
    </row>
    <row r="8" spans="1:7" x14ac:dyDescent="0.35">
      <c r="A8" s="20" t="s">
        <v>246</v>
      </c>
      <c r="B8" s="14" t="s">
        <v>48</v>
      </c>
      <c r="C8" s="20">
        <v>150.4</v>
      </c>
      <c r="D8" s="15">
        <f t="shared" si="0"/>
        <v>23.25</v>
      </c>
    </row>
    <row r="9" spans="1:7" x14ac:dyDescent="0.35">
      <c r="A9" s="20" t="s">
        <v>246</v>
      </c>
      <c r="B9" s="14" t="s">
        <v>40</v>
      </c>
      <c r="C9" s="20">
        <v>148.80000000000001</v>
      </c>
      <c r="D9" s="15">
        <f t="shared" si="0"/>
        <v>21.650000000000006</v>
      </c>
    </row>
    <row r="10" spans="1:7" x14ac:dyDescent="0.35">
      <c r="A10" s="20" t="s">
        <v>246</v>
      </c>
      <c r="B10" s="14" t="s">
        <v>37</v>
      </c>
      <c r="C10" s="20">
        <v>145.80000000000001</v>
      </c>
      <c r="D10" s="15">
        <f t="shared" si="0"/>
        <v>18.650000000000006</v>
      </c>
    </row>
    <row r="11" spans="1:7" x14ac:dyDescent="0.35">
      <c r="A11" s="21" t="s">
        <v>246</v>
      </c>
      <c r="B11" s="16" t="s">
        <v>34</v>
      </c>
      <c r="C11" s="21">
        <v>143.19999999999999</v>
      </c>
      <c r="D11" s="17">
        <f t="shared" si="0"/>
        <v>16.049999999999983</v>
      </c>
    </row>
    <row r="19" spans="1:2" x14ac:dyDescent="0.35">
      <c r="A19" t="s">
        <v>247</v>
      </c>
      <c r="B19" t="s">
        <v>248</v>
      </c>
    </row>
    <row r="20" spans="1:2" x14ac:dyDescent="0.35">
      <c r="A20">
        <v>127.4</v>
      </c>
      <c r="B20">
        <f>AVERAGE(A20:A29)</f>
        <v>127.15</v>
      </c>
    </row>
    <row r="21" spans="1:2" x14ac:dyDescent="0.35">
      <c r="A21">
        <v>123.5</v>
      </c>
    </row>
    <row r="22" spans="1:2" x14ac:dyDescent="0.35">
      <c r="A22">
        <v>122.7</v>
      </c>
    </row>
    <row r="23" spans="1:2" x14ac:dyDescent="0.35">
      <c r="A23">
        <v>128.30000000000001</v>
      </c>
    </row>
    <row r="24" spans="1:2" x14ac:dyDescent="0.35">
      <c r="A24">
        <v>127.2</v>
      </c>
    </row>
    <row r="25" spans="1:2" x14ac:dyDescent="0.35">
      <c r="A25">
        <v>128.9</v>
      </c>
    </row>
    <row r="26" spans="1:2" x14ac:dyDescent="0.35">
      <c r="A26">
        <v>129.30000000000001</v>
      </c>
    </row>
    <row r="27" spans="1:2" x14ac:dyDescent="0.35">
      <c r="A27">
        <v>127.4</v>
      </c>
    </row>
    <row r="28" spans="1:2" x14ac:dyDescent="0.35">
      <c r="A28">
        <v>127.3</v>
      </c>
    </row>
    <row r="29" spans="1:2" x14ac:dyDescent="0.35">
      <c r="A29">
        <v>129.5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5" ma:contentTypeDescription="Create a new document." ma:contentTypeScope="" ma:versionID="66198a59cffaaab90b3748495dc2c240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0f278bc53202b7bd9d9ba101fffe66d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a09771-0e81-4fa1-9a48-772c84f58d97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8A928-CE83-4D0C-984B-50032A88B5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B20740-A4DA-43AD-A9DF-1A5FC7C27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AD90D9-B989-47E3-BB5D-231A9F3D0093}">
  <ds:schemaRefs>
    <ds:schemaRef ds:uri="http://schemas.microsoft.com/office/2006/metadata/properties"/>
    <ds:schemaRef ds:uri="http://schemas.microsoft.com/office/infopath/2007/PartnerControls"/>
    <ds:schemaRef ds:uri="0633b4e0-801d-4bd0-8271-7209c556b6f1"/>
    <ds:schemaRef ds:uri="b412a07d-44b9-43b4-9667-43ab44cb46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Sediment</vt:lpstr>
      <vt:lpstr>Water_SIA</vt:lpstr>
      <vt:lpstr>Water_nutrients</vt:lpstr>
      <vt:lpstr>Water_Quality</vt:lpstr>
      <vt:lpstr>WQ</vt:lpstr>
      <vt:lpstr>Chlorophyll</vt:lpstr>
      <vt:lpstr>Algal_ID</vt:lpstr>
      <vt:lpstr>Site_Metadata</vt:lpstr>
      <vt:lpstr>List_Metadata</vt:lpstr>
      <vt:lpstr>SIA Filter 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Rodemann</dc:creator>
  <cp:keywords/>
  <dc:description/>
  <cp:lastModifiedBy>Jonathan Rodemann</cp:lastModifiedBy>
  <cp:revision/>
  <dcterms:created xsi:type="dcterms:W3CDTF">2024-01-30T17:34:57Z</dcterms:created>
  <dcterms:modified xsi:type="dcterms:W3CDTF">2025-04-01T16:01:52Z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